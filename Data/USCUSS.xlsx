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https://clgcr.sharepoint.com/sites/ClimateLeadGroup-NDC_Ecu/Documentos compartidos/03_Reportes/Resultados_Exportados_Excel/"/>
    </mc:Choice>
  </mc:AlternateContent>
  <xr:revisionPtr revIDLastSave="141" documentId="8_{0BDF0FCA-03AE-47E7-A89E-46A513D10CC1}" xr6:coauthVersionLast="47" xr6:coauthVersionMax="47" xr10:uidLastSave="{D25E13C4-46EC-4C03-81E2-95627F7B1026}"/>
  <bookViews>
    <workbookView xWindow="-1410" yWindow="-16320" windowWidth="29040" windowHeight="15720" firstSheet="7" activeTab="12" xr2:uid="{BD0CFADF-1C3D-43BA-A9CB-311DAA41743A}"/>
  </bookViews>
  <sheets>
    <sheet name="RESULTADOS" sheetId="14" r:id="rId1"/>
    <sheet name="DATOS_INGEI" sheetId="2" r:id="rId2"/>
    <sheet name="CALIBRACION_COMPARE" sheetId="4" r:id="rId3"/>
    <sheet name="COBERTURA_BOSQUE" sheetId="6" r:id="rId4"/>
    <sheet name="COBERTURA_HACIA_TF" sheetId="3" r:id="rId5"/>
    <sheet name="COBERTURA_CAMBIOS_TF" sheetId="15" r:id="rId6"/>
    <sheet name="MEDIDAS_INCOND" sheetId="16" r:id="rId7"/>
    <sheet name="MEDIDAS_COND" sheetId="17" r:id="rId8"/>
    <sheet name="EMISIONES_FOR" sheetId="7" r:id="rId9"/>
    <sheet name="EMISIONES_CUL" sheetId="9" r:id="rId10"/>
    <sheet name="EMISIONES_PAS" sheetId="10" r:id="rId11"/>
    <sheet name="EMISIONES_HUM" sheetId="11" r:id="rId12"/>
    <sheet name="EMISIONES_ASE" sheetId="12" r:id="rId13"/>
    <sheet name="EMISIONES_OTI" sheetId="13"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12" l="1"/>
  <c r="N19" i="12"/>
  <c r="O23" i="10"/>
  <c r="M23" i="10"/>
  <c r="Q38" i="9" l="1"/>
  <c r="R38" i="9"/>
  <c r="S38" i="9"/>
  <c r="T38" i="9"/>
  <c r="U38" i="9"/>
  <c r="V38" i="9"/>
  <c r="W38" i="9"/>
  <c r="X38" i="9"/>
  <c r="Y38" i="9"/>
  <c r="Z38" i="9"/>
  <c r="AA38" i="9"/>
  <c r="AB38" i="9"/>
  <c r="P38" i="9"/>
  <c r="P39" i="9"/>
  <c r="C3" i="7"/>
  <c r="D176" i="17"/>
  <c r="E176" i="17"/>
  <c r="F176" i="17"/>
  <c r="G176" i="17"/>
  <c r="H176" i="17"/>
  <c r="I176" i="17"/>
  <c r="J176" i="17"/>
  <c r="K176" i="17"/>
  <c r="L176" i="17"/>
  <c r="C176" i="17"/>
  <c r="D146" i="17"/>
  <c r="E146" i="17"/>
  <c r="F146" i="17"/>
  <c r="G146" i="17"/>
  <c r="H146" i="17"/>
  <c r="I146" i="17"/>
  <c r="J146" i="17"/>
  <c r="K146" i="17"/>
  <c r="L146" i="17"/>
  <c r="C146" i="17"/>
  <c r="D97" i="17"/>
  <c r="E97" i="17"/>
  <c r="F97" i="17"/>
  <c r="G97" i="17"/>
  <c r="H97" i="17"/>
  <c r="I97" i="17"/>
  <c r="J97" i="17"/>
  <c r="K97" i="17"/>
  <c r="L97" i="17"/>
  <c r="C97" i="17"/>
  <c r="D52" i="17"/>
  <c r="E52" i="17"/>
  <c r="F52" i="17"/>
  <c r="G52" i="17"/>
  <c r="H52" i="17"/>
  <c r="I52" i="17"/>
  <c r="J52" i="17"/>
  <c r="K52" i="17"/>
  <c r="L52" i="17"/>
  <c r="C52" i="17"/>
  <c r="D40" i="16"/>
  <c r="E40" i="16"/>
  <c r="F40" i="16"/>
  <c r="G40" i="16"/>
  <c r="H40" i="16"/>
  <c r="I40" i="16"/>
  <c r="J40" i="16"/>
  <c r="K40" i="16"/>
  <c r="L40" i="16"/>
  <c r="C40" i="16"/>
  <c r="D25" i="16"/>
  <c r="E25" i="16"/>
  <c r="F25" i="16"/>
  <c r="G25" i="16"/>
  <c r="H25" i="16"/>
  <c r="I25" i="16"/>
  <c r="J25" i="16"/>
  <c r="K25" i="16"/>
  <c r="L25" i="16"/>
  <c r="C25" i="16"/>
  <c r="J26" i="6"/>
  <c r="H26" i="6"/>
  <c r="F26" i="6"/>
  <c r="D26" i="6"/>
  <c r="F24" i="6" l="1"/>
  <c r="P3" i="3" l="1"/>
  <c r="Q3" i="3" s="1"/>
  <c r="R3" i="3" s="1"/>
  <c r="S3" i="3" s="1"/>
  <c r="T3" i="3" s="1"/>
  <c r="U3" i="3" s="1"/>
  <c r="V3" i="3" s="1"/>
  <c r="W3" i="3" s="1"/>
  <c r="X3" i="3" s="1"/>
  <c r="Y3" i="3" s="1"/>
  <c r="Z3" i="3" s="1"/>
  <c r="AA3" i="3" s="1"/>
  <c r="AB3" i="3" s="1"/>
  <c r="P4" i="3"/>
  <c r="Q4" i="3" s="1"/>
  <c r="R4" i="3" s="1"/>
  <c r="S4" i="3" s="1"/>
  <c r="T4" i="3" s="1"/>
  <c r="U4" i="3" s="1"/>
  <c r="V4" i="3" s="1"/>
  <c r="W4" i="3" s="1"/>
  <c r="X4" i="3" s="1"/>
  <c r="Y4" i="3" s="1"/>
  <c r="Z4" i="3" s="1"/>
  <c r="AA4" i="3" s="1"/>
  <c r="AB4" i="3" s="1"/>
  <c r="P5" i="3"/>
  <c r="Q5" i="3" s="1"/>
  <c r="R5" i="3" s="1"/>
  <c r="S5" i="3" s="1"/>
  <c r="T5" i="3" s="1"/>
  <c r="U5" i="3" s="1"/>
  <c r="V5" i="3" s="1"/>
  <c r="W5" i="3" s="1"/>
  <c r="X5" i="3" s="1"/>
  <c r="Y5" i="3" s="1"/>
  <c r="Z5" i="3" s="1"/>
  <c r="AA5" i="3" s="1"/>
  <c r="AB5" i="3" s="1"/>
  <c r="P6" i="3"/>
  <c r="Q6" i="3" s="1"/>
  <c r="R6" i="3" s="1"/>
  <c r="S6" i="3" s="1"/>
  <c r="T6" i="3" s="1"/>
  <c r="U6" i="3" s="1"/>
  <c r="V6" i="3" s="1"/>
  <c r="W6" i="3" s="1"/>
  <c r="X6" i="3" s="1"/>
  <c r="Y6" i="3" s="1"/>
  <c r="Z6" i="3" s="1"/>
  <c r="AA6" i="3" s="1"/>
  <c r="AB6" i="3" s="1"/>
  <c r="P2" i="3"/>
  <c r="P10" i="3" s="1"/>
  <c r="E106" i="14"/>
  <c r="M106" i="14"/>
  <c r="C105" i="14"/>
  <c r="C106" i="14" s="1"/>
  <c r="D105" i="14"/>
  <c r="D106" i="14" s="1"/>
  <c r="E105" i="14"/>
  <c r="F105" i="14"/>
  <c r="F106" i="14" s="1"/>
  <c r="G105" i="14"/>
  <c r="G106" i="14" s="1"/>
  <c r="H105" i="14"/>
  <c r="H106" i="14" s="1"/>
  <c r="I105" i="14"/>
  <c r="I106" i="14" s="1"/>
  <c r="J105" i="14"/>
  <c r="J106" i="14" s="1"/>
  <c r="K105" i="14"/>
  <c r="K106" i="14" s="1"/>
  <c r="L105" i="14"/>
  <c r="L106" i="14" s="1"/>
  <c r="M105" i="14"/>
  <c r="N105" i="14"/>
  <c r="N106" i="14" s="1"/>
  <c r="P36" i="6"/>
  <c r="P37" i="6"/>
  <c r="P38" i="6"/>
  <c r="P39" i="6"/>
  <c r="P40" i="6"/>
  <c r="P41" i="6"/>
  <c r="P42" i="6"/>
  <c r="P43" i="6"/>
  <c r="P44" i="6"/>
  <c r="P35" i="6"/>
  <c r="O45" i="6"/>
  <c r="O36" i="6"/>
  <c r="O37" i="6"/>
  <c r="O38" i="6"/>
  <c r="O39" i="6"/>
  <c r="O40" i="6"/>
  <c r="O41" i="6"/>
  <c r="O42" i="6"/>
  <c r="O43" i="6"/>
  <c r="O44" i="6"/>
  <c r="O35" i="6"/>
  <c r="P46" i="13"/>
  <c r="P45" i="13"/>
  <c r="P46" i="12"/>
  <c r="P45" i="12"/>
  <c r="P46" i="11"/>
  <c r="P45" i="11"/>
  <c r="P49" i="10"/>
  <c r="P48" i="10"/>
  <c r="P47" i="10"/>
  <c r="Q2" i="3" l="1"/>
  <c r="R2" i="3" s="1"/>
  <c r="S2" i="3" s="1"/>
  <c r="T2" i="3" s="1"/>
  <c r="U2" i="3" s="1"/>
  <c r="V2" i="3" s="1"/>
  <c r="W2" i="3" s="1"/>
  <c r="X2" i="3" s="1"/>
  <c r="Y2" i="3" s="1"/>
  <c r="Z2" i="3" s="1"/>
  <c r="AA2" i="3" s="1"/>
  <c r="AB2" i="3" s="1"/>
  <c r="P45" i="6"/>
  <c r="P52" i="9" l="1"/>
  <c r="P51" i="9"/>
  <c r="P50" i="9"/>
  <c r="P49" i="9"/>
  <c r="D49" i="12" l="1"/>
  <c r="E49" i="12"/>
  <c r="F49" i="12"/>
  <c r="G49" i="12"/>
  <c r="H49" i="12"/>
  <c r="I49" i="12"/>
  <c r="J49" i="12"/>
  <c r="K49" i="12"/>
  <c r="L49" i="12"/>
  <c r="M49" i="12"/>
  <c r="N49" i="12"/>
  <c r="O49" i="12"/>
  <c r="D50" i="12"/>
  <c r="E50" i="12"/>
  <c r="F50" i="12"/>
  <c r="G50" i="12"/>
  <c r="H50" i="12"/>
  <c r="I50" i="12"/>
  <c r="J50" i="12"/>
  <c r="K50" i="12"/>
  <c r="L50" i="12"/>
  <c r="M50" i="12"/>
  <c r="N50" i="12"/>
  <c r="O50" i="12"/>
  <c r="C50" i="12"/>
  <c r="C49" i="12"/>
  <c r="O50" i="13"/>
  <c r="N50" i="13"/>
  <c r="M50" i="13"/>
  <c r="L50" i="13"/>
  <c r="K50" i="13"/>
  <c r="J50" i="13"/>
  <c r="I50" i="13"/>
  <c r="H50" i="13"/>
  <c r="G50" i="13"/>
  <c r="F50" i="13"/>
  <c r="E50" i="13"/>
  <c r="D50" i="13"/>
  <c r="C50" i="13"/>
  <c r="O49" i="13"/>
  <c r="N49" i="13"/>
  <c r="M49" i="13"/>
  <c r="L49" i="13"/>
  <c r="K49" i="13"/>
  <c r="J49" i="13"/>
  <c r="I49" i="13"/>
  <c r="H49" i="13"/>
  <c r="G49" i="13"/>
  <c r="F49" i="13"/>
  <c r="E49" i="13"/>
  <c r="D49" i="13"/>
  <c r="C49" i="13"/>
  <c r="D49" i="11"/>
  <c r="E49" i="11"/>
  <c r="F49" i="11"/>
  <c r="G49" i="11"/>
  <c r="H49" i="11"/>
  <c r="I49" i="11"/>
  <c r="J49" i="11"/>
  <c r="K49" i="11"/>
  <c r="L49" i="11"/>
  <c r="M49" i="11"/>
  <c r="N49" i="11"/>
  <c r="O49" i="11"/>
  <c r="D50" i="11"/>
  <c r="E50" i="11"/>
  <c r="F50" i="11"/>
  <c r="G50" i="11"/>
  <c r="H50" i="11"/>
  <c r="I50" i="11"/>
  <c r="J50" i="11"/>
  <c r="K50" i="11"/>
  <c r="L50" i="11"/>
  <c r="M50" i="11"/>
  <c r="N50" i="11"/>
  <c r="O50" i="11"/>
  <c r="C50" i="11"/>
  <c r="C49" i="11"/>
  <c r="O52" i="10"/>
  <c r="D52" i="10"/>
  <c r="E52" i="10"/>
  <c r="F52" i="10"/>
  <c r="G52" i="10"/>
  <c r="H52" i="10"/>
  <c r="I52" i="10"/>
  <c r="J52" i="10"/>
  <c r="K52" i="10"/>
  <c r="L52" i="10"/>
  <c r="M52" i="10"/>
  <c r="N52" i="10"/>
  <c r="D53" i="10"/>
  <c r="E53" i="10"/>
  <c r="F53" i="10"/>
  <c r="G53" i="10"/>
  <c r="H53" i="10"/>
  <c r="I53" i="10"/>
  <c r="J53" i="10"/>
  <c r="K53" i="10"/>
  <c r="L53" i="10"/>
  <c r="M53" i="10"/>
  <c r="N53" i="10"/>
  <c r="O53" i="10"/>
  <c r="C53" i="10"/>
  <c r="C52" i="10"/>
  <c r="D55" i="9"/>
  <c r="E55" i="9"/>
  <c r="F55" i="9"/>
  <c r="G55" i="9"/>
  <c r="H55" i="9"/>
  <c r="I55" i="9"/>
  <c r="J55" i="9"/>
  <c r="K55" i="9"/>
  <c r="L55" i="9"/>
  <c r="M55" i="9"/>
  <c r="N55" i="9"/>
  <c r="O55" i="9"/>
  <c r="D56" i="9"/>
  <c r="E56" i="9"/>
  <c r="F56" i="9"/>
  <c r="G56" i="9"/>
  <c r="H56" i="9"/>
  <c r="I56" i="9"/>
  <c r="J56" i="9"/>
  <c r="K56" i="9"/>
  <c r="L56" i="9"/>
  <c r="M56" i="9"/>
  <c r="N56" i="9"/>
  <c r="O56" i="9"/>
  <c r="C56" i="9"/>
  <c r="C55" i="9"/>
  <c r="F3" i="15"/>
  <c r="G3" i="15"/>
  <c r="H3" i="15"/>
  <c r="I3" i="15"/>
  <c r="J3" i="15"/>
  <c r="K3" i="15"/>
  <c r="L3" i="15"/>
  <c r="M3" i="15"/>
  <c r="N3" i="15"/>
  <c r="O3" i="15"/>
  <c r="P3" i="15"/>
  <c r="Q3" i="15"/>
  <c r="D179" i="7"/>
  <c r="E179" i="7"/>
  <c r="F179" i="7"/>
  <c r="G179" i="7"/>
  <c r="H179" i="7"/>
  <c r="I179" i="7"/>
  <c r="J179" i="7"/>
  <c r="K179" i="7"/>
  <c r="L179" i="7"/>
  <c r="M179" i="7"/>
  <c r="N179" i="7"/>
  <c r="O179" i="7"/>
  <c r="D180" i="7"/>
  <c r="E180" i="7"/>
  <c r="F180" i="7"/>
  <c r="G180" i="7"/>
  <c r="H180" i="7"/>
  <c r="I180" i="7"/>
  <c r="J180" i="7"/>
  <c r="K180" i="7"/>
  <c r="L180" i="7"/>
  <c r="M180" i="7"/>
  <c r="N180" i="7"/>
  <c r="O180" i="7"/>
  <c r="C180" i="7"/>
  <c r="C179" i="7"/>
  <c r="B105" i="14" s="1"/>
  <c r="B106" i="14" s="1"/>
  <c r="N15" i="13"/>
  <c r="B57" i="15"/>
  <c r="B58" i="15"/>
  <c r="B59" i="15"/>
  <c r="B60" i="15"/>
  <c r="B61" i="15"/>
  <c r="B62" i="15"/>
  <c r="B63" i="15"/>
  <c r="B64" i="15"/>
  <c r="B65" i="15"/>
  <c r="B56" i="15"/>
  <c r="B75" i="15"/>
  <c r="B76" i="15"/>
  <c r="B77" i="15"/>
  <c r="B78" i="15"/>
  <c r="B79" i="15"/>
  <c r="B80" i="15"/>
  <c r="B81" i="15"/>
  <c r="B82" i="15"/>
  <c r="B83" i="15"/>
  <c r="B74" i="15"/>
  <c r="B40" i="15"/>
  <c r="B41" i="15"/>
  <c r="B42" i="15"/>
  <c r="B43" i="15"/>
  <c r="B44" i="15"/>
  <c r="B45" i="15"/>
  <c r="B46" i="15"/>
  <c r="B47" i="15"/>
  <c r="B48" i="15"/>
  <c r="B39" i="15"/>
  <c r="B23" i="15"/>
  <c r="B24" i="15"/>
  <c r="B25" i="15"/>
  <c r="B26" i="15"/>
  <c r="B27" i="15"/>
  <c r="B28" i="15"/>
  <c r="B29" i="15"/>
  <c r="B30" i="15"/>
  <c r="B31" i="15"/>
  <c r="B22" i="15"/>
  <c r="Q4" i="15"/>
  <c r="Q5" i="15"/>
  <c r="J108" i="14" l="1"/>
  <c r="J109" i="14"/>
  <c r="J107" i="14"/>
  <c r="I108" i="14"/>
  <c r="I109" i="14"/>
  <c r="I107" i="14"/>
  <c r="H108" i="14"/>
  <c r="H109" i="14"/>
  <c r="H107" i="14"/>
  <c r="B108" i="14"/>
  <c r="B109" i="14"/>
  <c r="B107" i="14"/>
  <c r="G107" i="14"/>
  <c r="G108" i="14"/>
  <c r="G109" i="14"/>
  <c r="N107" i="14"/>
  <c r="N108" i="14"/>
  <c r="N109" i="14"/>
  <c r="F107" i="14"/>
  <c r="F108" i="14"/>
  <c r="F109" i="14"/>
  <c r="M109" i="14"/>
  <c r="M107" i="14"/>
  <c r="M108" i="14"/>
  <c r="E109" i="14"/>
  <c r="E107" i="14"/>
  <c r="E108" i="14"/>
  <c r="L109" i="14"/>
  <c r="L107" i="14"/>
  <c r="L108" i="14"/>
  <c r="D109" i="14"/>
  <c r="D107" i="14"/>
  <c r="D108" i="14"/>
  <c r="K108" i="14"/>
  <c r="K109" i="14"/>
  <c r="K107" i="14"/>
  <c r="C109" i="14"/>
  <c r="C107" i="14"/>
  <c r="C108" i="14"/>
  <c r="C17" i="6"/>
  <c r="R39" i="14"/>
  <c r="H6" i="7"/>
  <c r="E2" i="14"/>
  <c r="E3" i="14"/>
  <c r="E4" i="14"/>
  <c r="E5" i="14"/>
  <c r="E6" i="14"/>
  <c r="E7" i="14"/>
  <c r="E73" i="17"/>
  <c r="F73" i="17"/>
  <c r="G73" i="17"/>
  <c r="H73" i="17"/>
  <c r="I73" i="17"/>
  <c r="J73" i="17"/>
  <c r="K73" i="17"/>
  <c r="L73" i="17"/>
  <c r="D73" i="17"/>
  <c r="C73" i="17"/>
  <c r="D74" i="17"/>
  <c r="D76" i="17"/>
  <c r="D75" i="17"/>
  <c r="C74" i="17"/>
  <c r="D67" i="17"/>
  <c r="D69" i="17"/>
  <c r="C76" i="17"/>
  <c r="C71" i="17"/>
  <c r="E67" i="17" l="1"/>
  <c r="E69" i="17"/>
  <c r="C91" i="17"/>
  <c r="D71" i="17"/>
  <c r="C72" i="17"/>
  <c r="C75" i="17"/>
  <c r="E11" i="16"/>
  <c r="D11" i="16"/>
  <c r="C11" i="16"/>
  <c r="C111" i="17"/>
  <c r="C120" i="17" s="1"/>
  <c r="D111" i="17"/>
  <c r="D120" i="17" s="1"/>
  <c r="E111" i="17"/>
  <c r="E120" i="17" s="1"/>
  <c r="F111" i="17"/>
  <c r="F120" i="17" s="1"/>
  <c r="G111" i="17"/>
  <c r="G120" i="17" s="1"/>
  <c r="H111" i="17"/>
  <c r="H120" i="17" s="1"/>
  <c r="I111" i="17"/>
  <c r="I120" i="17" s="1"/>
  <c r="J111" i="17"/>
  <c r="J120" i="17" s="1"/>
  <c r="K111" i="17"/>
  <c r="K120" i="17" s="1"/>
  <c r="L111" i="17"/>
  <c r="L120" i="17" s="1"/>
  <c r="D112" i="17"/>
  <c r="D121" i="17" s="1"/>
  <c r="E112" i="17"/>
  <c r="E121" i="17" s="1"/>
  <c r="F112" i="17"/>
  <c r="F121" i="17" s="1"/>
  <c r="G112" i="17"/>
  <c r="G121" i="17" s="1"/>
  <c r="H112" i="17"/>
  <c r="H121" i="17" s="1"/>
  <c r="I112" i="17"/>
  <c r="I121" i="17" s="1"/>
  <c r="J112" i="17"/>
  <c r="J121" i="17" s="1"/>
  <c r="K112" i="17"/>
  <c r="K121" i="17" s="1"/>
  <c r="L112" i="17"/>
  <c r="L121" i="17" s="1"/>
  <c r="D113" i="17"/>
  <c r="D122" i="17" s="1"/>
  <c r="E113" i="17"/>
  <c r="E122" i="17" s="1"/>
  <c r="F113" i="17"/>
  <c r="F122" i="17" s="1"/>
  <c r="G113" i="17"/>
  <c r="G122" i="17" s="1"/>
  <c r="H113" i="17"/>
  <c r="H122" i="17" s="1"/>
  <c r="I113" i="17"/>
  <c r="I122" i="17" s="1"/>
  <c r="J113" i="17"/>
  <c r="J122" i="17" s="1"/>
  <c r="K113" i="17"/>
  <c r="K122" i="17" s="1"/>
  <c r="L113" i="17"/>
  <c r="L122" i="17" s="1"/>
  <c r="D114" i="17"/>
  <c r="D123" i="17" s="1"/>
  <c r="E114" i="17"/>
  <c r="E123" i="17" s="1"/>
  <c r="F114" i="17"/>
  <c r="F123" i="17" s="1"/>
  <c r="G114" i="17"/>
  <c r="G123" i="17" s="1"/>
  <c r="H114" i="17"/>
  <c r="H123" i="17" s="1"/>
  <c r="I114" i="17"/>
  <c r="I123" i="17" s="1"/>
  <c r="J114" i="17"/>
  <c r="J123" i="17" s="1"/>
  <c r="K114" i="17"/>
  <c r="K123" i="17" s="1"/>
  <c r="L114" i="17"/>
  <c r="L123" i="17" s="1"/>
  <c r="D115" i="17"/>
  <c r="D124" i="17" s="1"/>
  <c r="E115" i="17"/>
  <c r="E124" i="17" s="1"/>
  <c r="F115" i="17"/>
  <c r="F124" i="17" s="1"/>
  <c r="G115" i="17"/>
  <c r="G124" i="17" s="1"/>
  <c r="H115" i="17"/>
  <c r="H124" i="17" s="1"/>
  <c r="I115" i="17"/>
  <c r="I124" i="17" s="1"/>
  <c r="J115" i="17"/>
  <c r="J124" i="17" s="1"/>
  <c r="K115" i="17"/>
  <c r="K124" i="17" s="1"/>
  <c r="L115" i="17"/>
  <c r="L124" i="17" s="1"/>
  <c r="D116" i="17"/>
  <c r="D125" i="17" s="1"/>
  <c r="E116" i="17"/>
  <c r="E125" i="17" s="1"/>
  <c r="F116" i="17"/>
  <c r="F125" i="17" s="1"/>
  <c r="G116" i="17"/>
  <c r="G125" i="17" s="1"/>
  <c r="H116" i="17"/>
  <c r="H125" i="17" s="1"/>
  <c r="I116" i="17"/>
  <c r="I125" i="17" s="1"/>
  <c r="J116" i="17"/>
  <c r="J125" i="17" s="1"/>
  <c r="K116" i="17"/>
  <c r="K125" i="17" s="1"/>
  <c r="L116" i="17"/>
  <c r="L125" i="17" s="1"/>
  <c r="D117" i="17"/>
  <c r="D126" i="17" s="1"/>
  <c r="E117" i="17"/>
  <c r="E126" i="17" s="1"/>
  <c r="F117" i="17"/>
  <c r="F126" i="17" s="1"/>
  <c r="G117" i="17"/>
  <c r="G126" i="17" s="1"/>
  <c r="H117" i="17"/>
  <c r="H126" i="17" s="1"/>
  <c r="I117" i="17"/>
  <c r="I126" i="17" s="1"/>
  <c r="J117" i="17"/>
  <c r="J126" i="17" s="1"/>
  <c r="K117" i="17"/>
  <c r="K126" i="17" s="1"/>
  <c r="L117" i="17"/>
  <c r="L126" i="17" s="1"/>
  <c r="D118" i="17"/>
  <c r="D127" i="17" s="1"/>
  <c r="E118" i="17"/>
  <c r="E127" i="17" s="1"/>
  <c r="F118" i="17"/>
  <c r="F127" i="17" s="1"/>
  <c r="G118" i="17"/>
  <c r="G127" i="17" s="1"/>
  <c r="H118" i="17"/>
  <c r="H127" i="17" s="1"/>
  <c r="I118" i="17"/>
  <c r="I127" i="17" s="1"/>
  <c r="J118" i="17"/>
  <c r="J127" i="17" s="1"/>
  <c r="K118" i="17"/>
  <c r="K127" i="17" s="1"/>
  <c r="L118" i="17"/>
  <c r="L127" i="17" s="1"/>
  <c r="C112" i="17"/>
  <c r="C121" i="17" s="1"/>
  <c r="C113" i="17"/>
  <c r="C122" i="17" s="1"/>
  <c r="C114" i="17"/>
  <c r="C123" i="17" s="1"/>
  <c r="C115" i="17"/>
  <c r="C124" i="17" s="1"/>
  <c r="C116" i="17"/>
  <c r="C125" i="17" s="1"/>
  <c r="C117" i="17"/>
  <c r="C126" i="17" s="1"/>
  <c r="C118" i="17"/>
  <c r="C127" i="17" s="1"/>
  <c r="C7" i="17"/>
  <c r="C159" i="17"/>
  <c r="C5" i="17"/>
  <c r="C4" i="17"/>
  <c r="E159" i="17"/>
  <c r="F159" i="17"/>
  <c r="G159" i="17"/>
  <c r="H159" i="17"/>
  <c r="I159" i="17"/>
  <c r="J159" i="17"/>
  <c r="K159" i="17"/>
  <c r="L159" i="17"/>
  <c r="D160" i="17"/>
  <c r="E160" i="17"/>
  <c r="F160" i="17"/>
  <c r="G160" i="17"/>
  <c r="H160" i="17"/>
  <c r="I160" i="17"/>
  <c r="J160" i="17"/>
  <c r="K160" i="17"/>
  <c r="L160" i="17"/>
  <c r="D161" i="17"/>
  <c r="E161" i="17"/>
  <c r="F161" i="17"/>
  <c r="G161" i="17"/>
  <c r="H161" i="17"/>
  <c r="I161" i="17"/>
  <c r="J161" i="17"/>
  <c r="K161" i="17"/>
  <c r="L161" i="17"/>
  <c r="D162" i="17"/>
  <c r="E162" i="17"/>
  <c r="F162" i="17"/>
  <c r="G162" i="17"/>
  <c r="H162" i="17"/>
  <c r="I162" i="17"/>
  <c r="J162" i="17"/>
  <c r="K162" i="17"/>
  <c r="L162" i="17"/>
  <c r="D163" i="17"/>
  <c r="E163" i="17"/>
  <c r="F163" i="17"/>
  <c r="G163" i="17"/>
  <c r="H163" i="17"/>
  <c r="I163" i="17"/>
  <c r="J163" i="17"/>
  <c r="K163" i="17"/>
  <c r="L163" i="17"/>
  <c r="D164" i="17"/>
  <c r="E164" i="17"/>
  <c r="F164" i="17"/>
  <c r="G164" i="17"/>
  <c r="H164" i="17"/>
  <c r="I164" i="17"/>
  <c r="J164" i="17"/>
  <c r="K164" i="17"/>
  <c r="L164" i="17"/>
  <c r="D165" i="17"/>
  <c r="E165" i="17"/>
  <c r="F165" i="17"/>
  <c r="G165" i="17"/>
  <c r="H165" i="17"/>
  <c r="I165" i="17"/>
  <c r="J165" i="17"/>
  <c r="K165" i="17"/>
  <c r="L165" i="17"/>
  <c r="D166" i="17"/>
  <c r="E166" i="17"/>
  <c r="F166" i="17"/>
  <c r="G166" i="17"/>
  <c r="H166" i="17"/>
  <c r="I166" i="17"/>
  <c r="J166" i="17"/>
  <c r="K166" i="17"/>
  <c r="L166" i="17"/>
  <c r="C160" i="17"/>
  <c r="C161" i="17"/>
  <c r="C162" i="17"/>
  <c r="C163" i="17"/>
  <c r="C164" i="17"/>
  <c r="C165" i="17"/>
  <c r="C166" i="17"/>
  <c r="D24" i="17"/>
  <c r="E24" i="17"/>
  <c r="F24" i="17"/>
  <c r="G24" i="17"/>
  <c r="H24" i="17"/>
  <c r="I24" i="17"/>
  <c r="J24" i="17"/>
  <c r="K24" i="17"/>
  <c r="L24" i="17"/>
  <c r="C24" i="17"/>
  <c r="D14" i="17"/>
  <c r="E14" i="17"/>
  <c r="F14" i="17"/>
  <c r="C14" i="17"/>
  <c r="E55" i="16"/>
  <c r="D55" i="16"/>
  <c r="C55" i="16"/>
  <c r="E54" i="16"/>
  <c r="D54" i="16"/>
  <c r="C54" i="16"/>
  <c r="D47" i="16"/>
  <c r="E47" i="16"/>
  <c r="C47" i="16"/>
  <c r="C59" i="16"/>
  <c r="D4" i="16"/>
  <c r="C33" i="16"/>
  <c r="D33" i="16"/>
  <c r="E33" i="16"/>
  <c r="F33" i="16"/>
  <c r="G33" i="16"/>
  <c r="H33" i="16"/>
  <c r="I33" i="16"/>
  <c r="J33" i="16"/>
  <c r="K33" i="16"/>
  <c r="L33" i="16"/>
  <c r="D34" i="16"/>
  <c r="E34" i="16"/>
  <c r="F34" i="16"/>
  <c r="G34" i="16"/>
  <c r="H34" i="16"/>
  <c r="I34" i="16"/>
  <c r="J34" i="16"/>
  <c r="K34" i="16"/>
  <c r="L34" i="16"/>
  <c r="D35" i="16"/>
  <c r="E35" i="16"/>
  <c r="F35" i="16"/>
  <c r="G35" i="16"/>
  <c r="H35" i="16"/>
  <c r="I35" i="16"/>
  <c r="J35" i="16"/>
  <c r="K35" i="16"/>
  <c r="L35" i="16"/>
  <c r="C34" i="16"/>
  <c r="C35" i="16"/>
  <c r="C13" i="16"/>
  <c r="C12" i="16"/>
  <c r="C23" i="16" s="1"/>
  <c r="C14" i="16"/>
  <c r="E74" i="17" l="1"/>
  <c r="F67" i="17"/>
  <c r="F69" i="17"/>
  <c r="E76" i="17"/>
  <c r="C79" i="17"/>
  <c r="D72" i="17"/>
  <c r="E71" i="17"/>
  <c r="F71" i="17" s="1"/>
  <c r="E75" i="17"/>
  <c r="F75" i="17" s="1"/>
  <c r="C77" i="17"/>
  <c r="E72" i="17"/>
  <c r="F72" i="17" s="1"/>
  <c r="C78" i="17"/>
  <c r="G71" i="17"/>
  <c r="H71" i="17" s="1"/>
  <c r="C138" i="17"/>
  <c r="D159" i="17"/>
  <c r="D78" i="17"/>
  <c r="C82" i="17"/>
  <c r="C80" i="17"/>
  <c r="C81" i="17"/>
  <c r="C93" i="17"/>
  <c r="D82" i="17"/>
  <c r="C22" i="16"/>
  <c r="F11" i="16"/>
  <c r="D13" i="16"/>
  <c r="D12" i="16"/>
  <c r="E12" i="16" s="1"/>
  <c r="C16" i="16"/>
  <c r="C15" i="16"/>
  <c r="F74" i="17" l="1"/>
  <c r="G67" i="17"/>
  <c r="G69" i="17"/>
  <c r="F76" i="17"/>
  <c r="D80" i="17"/>
  <c r="G75" i="17"/>
  <c r="E79" i="17"/>
  <c r="G72" i="17"/>
  <c r="H72" i="17"/>
  <c r="I72" i="17" s="1"/>
  <c r="J72" i="17" s="1"/>
  <c r="I71" i="17"/>
  <c r="J71" i="17" s="1"/>
  <c r="E78" i="17"/>
  <c r="D77" i="17"/>
  <c r="E82" i="17"/>
  <c r="D81" i="17"/>
  <c r="F81" i="17"/>
  <c r="D79" i="17"/>
  <c r="F79" i="17"/>
  <c r="D15" i="16"/>
  <c r="D14" i="16"/>
  <c r="E14" i="16"/>
  <c r="G11" i="16"/>
  <c r="H11" i="16" s="1"/>
  <c r="F12" i="16"/>
  <c r="F15" i="16" s="1"/>
  <c r="E15" i="16"/>
  <c r="E13" i="16"/>
  <c r="F14" i="16"/>
  <c r="D16" i="16"/>
  <c r="H67" i="17" l="1"/>
  <c r="G74" i="17"/>
  <c r="H69" i="17"/>
  <c r="G76" i="17"/>
  <c r="K71" i="17"/>
  <c r="L71" i="17" s="1"/>
  <c r="H75" i="17"/>
  <c r="I75" i="17" s="1"/>
  <c r="J75" i="17" s="1"/>
  <c r="K75" i="17" s="1"/>
  <c r="L75" i="17" s="1"/>
  <c r="F82" i="17"/>
  <c r="K72" i="17"/>
  <c r="L72" i="17" s="1"/>
  <c r="E77" i="17"/>
  <c r="G82" i="17"/>
  <c r="E80" i="17"/>
  <c r="G81" i="17"/>
  <c r="E81" i="17"/>
  <c r="G80" i="17"/>
  <c r="F80" i="17"/>
  <c r="G79" i="17"/>
  <c r="I11" i="16"/>
  <c r="J11" i="16" s="1"/>
  <c r="K11" i="16" s="1"/>
  <c r="G14" i="16"/>
  <c r="F13" i="16"/>
  <c r="F16" i="16" s="1"/>
  <c r="E16" i="16"/>
  <c r="G12" i="16"/>
  <c r="G15" i="16" s="1"/>
  <c r="I67" i="17" l="1"/>
  <c r="H74" i="17"/>
  <c r="I69" i="17"/>
  <c r="H76" i="17"/>
  <c r="H81" i="17"/>
  <c r="I144" i="17"/>
  <c r="G78" i="17"/>
  <c r="H78" i="17"/>
  <c r="F78" i="17"/>
  <c r="F77" i="17"/>
  <c r="G77" i="17"/>
  <c r="H82" i="17"/>
  <c r="I81" i="17"/>
  <c r="G13" i="16"/>
  <c r="G16" i="16" s="1"/>
  <c r="L11" i="16"/>
  <c r="L22" i="16" s="1"/>
  <c r="H12" i="16"/>
  <c r="I14" i="16"/>
  <c r="H14" i="16"/>
  <c r="O17" i="6"/>
  <c r="Q42" i="13"/>
  <c r="R42" i="13"/>
  <c r="S42" i="13"/>
  <c r="T42" i="13"/>
  <c r="U42" i="13"/>
  <c r="V42" i="13"/>
  <c r="W42" i="13"/>
  <c r="X42" i="13"/>
  <c r="Y42" i="13"/>
  <c r="Z42" i="13"/>
  <c r="AA42" i="13"/>
  <c r="AB42" i="13"/>
  <c r="Q43" i="13"/>
  <c r="R43" i="13"/>
  <c r="S43" i="13"/>
  <c r="T43" i="13"/>
  <c r="U43" i="13"/>
  <c r="V43" i="13"/>
  <c r="W43" i="13"/>
  <c r="X43" i="13"/>
  <c r="Y43" i="13"/>
  <c r="Z43" i="13"/>
  <c r="AA43" i="13"/>
  <c r="AB43" i="13"/>
  <c r="P42" i="13"/>
  <c r="P43" i="13"/>
  <c r="D38" i="13"/>
  <c r="E38" i="13"/>
  <c r="F38" i="13"/>
  <c r="G38" i="13"/>
  <c r="H38" i="13"/>
  <c r="I38" i="13"/>
  <c r="J38" i="13"/>
  <c r="K38" i="13"/>
  <c r="L38" i="13"/>
  <c r="M38" i="13"/>
  <c r="N38" i="13"/>
  <c r="O38" i="13"/>
  <c r="C38" i="13"/>
  <c r="C39" i="12"/>
  <c r="Q42" i="12"/>
  <c r="R42" i="12"/>
  <c r="S42" i="12"/>
  <c r="T42" i="12"/>
  <c r="U42" i="12"/>
  <c r="V42" i="12"/>
  <c r="W42" i="12"/>
  <c r="X42" i="12"/>
  <c r="Y42" i="12"/>
  <c r="Z42" i="12"/>
  <c r="AA42" i="12"/>
  <c r="AB42" i="12"/>
  <c r="Q43" i="12"/>
  <c r="R43" i="12"/>
  <c r="S43" i="12"/>
  <c r="T43" i="12"/>
  <c r="U43" i="12"/>
  <c r="V43" i="12"/>
  <c r="W43" i="12"/>
  <c r="X43" i="12"/>
  <c r="Y43" i="12"/>
  <c r="Z43" i="12"/>
  <c r="AA43" i="12"/>
  <c r="AB43" i="12"/>
  <c r="P42" i="12"/>
  <c r="P43" i="12"/>
  <c r="D38" i="12"/>
  <c r="E38" i="12"/>
  <c r="F38" i="12"/>
  <c r="G38" i="12"/>
  <c r="H38" i="12"/>
  <c r="I38" i="12"/>
  <c r="J38" i="12"/>
  <c r="K38" i="12"/>
  <c r="L38" i="12"/>
  <c r="M38" i="12"/>
  <c r="N38" i="12"/>
  <c r="O38" i="12"/>
  <c r="C38" i="12"/>
  <c r="Q42" i="11"/>
  <c r="R42" i="11"/>
  <c r="S42" i="11"/>
  <c r="T42" i="11"/>
  <c r="U42" i="11"/>
  <c r="V42" i="11"/>
  <c r="W42" i="11"/>
  <c r="X42" i="11"/>
  <c r="Y42" i="11"/>
  <c r="Z42" i="11"/>
  <c r="AA42" i="11"/>
  <c r="AB42" i="11"/>
  <c r="Q43" i="11"/>
  <c r="R43" i="11"/>
  <c r="S43" i="11"/>
  <c r="T43" i="11"/>
  <c r="U43" i="11"/>
  <c r="V43" i="11"/>
  <c r="W43" i="11"/>
  <c r="X43" i="11"/>
  <c r="Y43" i="11"/>
  <c r="Z43" i="11"/>
  <c r="AA43" i="11"/>
  <c r="AB43" i="11"/>
  <c r="P42" i="11"/>
  <c r="P43" i="11"/>
  <c r="D38" i="11"/>
  <c r="E38" i="11"/>
  <c r="F38" i="11"/>
  <c r="G38" i="11"/>
  <c r="H38" i="11"/>
  <c r="I38" i="11"/>
  <c r="J38" i="11"/>
  <c r="K38" i="11"/>
  <c r="L38" i="11"/>
  <c r="M38" i="11"/>
  <c r="N38" i="11"/>
  <c r="O38" i="11"/>
  <c r="C38" i="11"/>
  <c r="Q43" i="10"/>
  <c r="R43" i="10"/>
  <c r="S43" i="10"/>
  <c r="T43" i="10"/>
  <c r="U43" i="10"/>
  <c r="V43" i="10"/>
  <c r="W43" i="10"/>
  <c r="X43" i="10"/>
  <c r="Y43" i="10"/>
  <c r="Z43" i="10"/>
  <c r="AA43" i="10"/>
  <c r="AB43" i="10"/>
  <c r="Q44" i="10"/>
  <c r="R44" i="10"/>
  <c r="S44" i="10"/>
  <c r="T44" i="10"/>
  <c r="U44" i="10"/>
  <c r="V44" i="10"/>
  <c r="W44" i="10"/>
  <c r="X44" i="10"/>
  <c r="Y44" i="10"/>
  <c r="Z44" i="10"/>
  <c r="AA44" i="10"/>
  <c r="AB44" i="10"/>
  <c r="Q45" i="10"/>
  <c r="R45" i="10"/>
  <c r="S45" i="10"/>
  <c r="T45" i="10"/>
  <c r="U45" i="10"/>
  <c r="V45" i="10"/>
  <c r="W45" i="10"/>
  <c r="X45" i="10"/>
  <c r="Y45" i="10"/>
  <c r="Z45" i="10"/>
  <c r="AA45" i="10"/>
  <c r="AB45" i="10"/>
  <c r="P43" i="10"/>
  <c r="P44" i="10"/>
  <c r="P45" i="10"/>
  <c r="D38" i="10"/>
  <c r="E38" i="10"/>
  <c r="F38" i="10"/>
  <c r="G38" i="10"/>
  <c r="H38" i="10"/>
  <c r="I38" i="10"/>
  <c r="J38" i="10"/>
  <c r="K38" i="10"/>
  <c r="L38" i="10"/>
  <c r="M38" i="10"/>
  <c r="N38" i="10"/>
  <c r="O38" i="10"/>
  <c r="C38" i="10"/>
  <c r="Q44" i="9"/>
  <c r="R44" i="9"/>
  <c r="S44" i="9"/>
  <c r="T44" i="9"/>
  <c r="U44" i="9"/>
  <c r="V44" i="9"/>
  <c r="W44" i="9"/>
  <c r="X44" i="9"/>
  <c r="Y44" i="9"/>
  <c r="Z44" i="9"/>
  <c r="AA44" i="9"/>
  <c r="AB44" i="9"/>
  <c r="Q45" i="9"/>
  <c r="R45" i="9"/>
  <c r="S45" i="9"/>
  <c r="T45" i="9"/>
  <c r="U45" i="9"/>
  <c r="V45" i="9"/>
  <c r="W45" i="9"/>
  <c r="X45" i="9"/>
  <c r="Y45" i="9"/>
  <c r="Z45" i="9"/>
  <c r="AA45" i="9"/>
  <c r="AB45" i="9"/>
  <c r="Q46" i="9"/>
  <c r="R46" i="9"/>
  <c r="S46" i="9"/>
  <c r="T46" i="9"/>
  <c r="U46" i="9"/>
  <c r="V46" i="9"/>
  <c r="W46" i="9"/>
  <c r="X46" i="9"/>
  <c r="Y46" i="9"/>
  <c r="Z46" i="9"/>
  <c r="AA46" i="9"/>
  <c r="AB46" i="9"/>
  <c r="P44" i="9"/>
  <c r="P45" i="9"/>
  <c r="P46" i="9"/>
  <c r="D42" i="9"/>
  <c r="E42" i="9"/>
  <c r="F42" i="9"/>
  <c r="G42" i="9"/>
  <c r="H42" i="9"/>
  <c r="I42" i="9"/>
  <c r="J42" i="9"/>
  <c r="K42" i="9"/>
  <c r="L42" i="9"/>
  <c r="M42" i="9"/>
  <c r="N42" i="9"/>
  <c r="O42" i="9"/>
  <c r="C45" i="9"/>
  <c r="C50" i="9" s="1"/>
  <c r="C46" i="9"/>
  <c r="C44" i="9"/>
  <c r="C40" i="9"/>
  <c r="C41" i="9"/>
  <c r="C42" i="9"/>
  <c r="C39" i="9"/>
  <c r="C38" i="9"/>
  <c r="D38" i="9"/>
  <c r="E38" i="9"/>
  <c r="F38" i="9"/>
  <c r="G38" i="9"/>
  <c r="H38" i="9"/>
  <c r="I38" i="9"/>
  <c r="J38" i="9"/>
  <c r="K38" i="9"/>
  <c r="L38" i="9"/>
  <c r="M38" i="9"/>
  <c r="N38" i="9"/>
  <c r="O38" i="9"/>
  <c r="C144" i="7"/>
  <c r="D144" i="7"/>
  <c r="E144" i="7"/>
  <c r="F144" i="7"/>
  <c r="G144" i="7"/>
  <c r="H144" i="7"/>
  <c r="I144" i="7"/>
  <c r="J144" i="7"/>
  <c r="K144" i="7"/>
  <c r="L144" i="7"/>
  <c r="M144" i="7"/>
  <c r="N144" i="7"/>
  <c r="O144" i="7"/>
  <c r="D4" i="7"/>
  <c r="F4" i="7"/>
  <c r="H4" i="7"/>
  <c r="J4" i="7"/>
  <c r="D5" i="7"/>
  <c r="F5" i="7"/>
  <c r="H5" i="7"/>
  <c r="J5" i="7"/>
  <c r="D6" i="7"/>
  <c r="F6" i="7"/>
  <c r="J6" i="7"/>
  <c r="D7" i="7"/>
  <c r="F7" i="7"/>
  <c r="H7" i="7"/>
  <c r="J7" i="7"/>
  <c r="D8" i="7"/>
  <c r="F8" i="7"/>
  <c r="H8" i="7"/>
  <c r="J8" i="7"/>
  <c r="D9" i="7"/>
  <c r="F9" i="7"/>
  <c r="H9" i="7"/>
  <c r="J9" i="7"/>
  <c r="D10" i="7"/>
  <c r="F10" i="7"/>
  <c r="H10" i="7"/>
  <c r="J10" i="7"/>
  <c r="D11" i="7"/>
  <c r="F11" i="7"/>
  <c r="H11" i="7"/>
  <c r="J11" i="7"/>
  <c r="D12" i="7"/>
  <c r="F12" i="7"/>
  <c r="H12" i="7"/>
  <c r="J12" i="7"/>
  <c r="D13" i="7"/>
  <c r="F13" i="7"/>
  <c r="H13" i="7"/>
  <c r="J13" i="7"/>
  <c r="F139" i="17"/>
  <c r="G139" i="17"/>
  <c r="H139" i="17"/>
  <c r="F140" i="17"/>
  <c r="G140" i="17"/>
  <c r="F141" i="17"/>
  <c r="G141" i="17"/>
  <c r="F142" i="17"/>
  <c r="F143" i="17"/>
  <c r="G143" i="17"/>
  <c r="F144" i="17"/>
  <c r="G144" i="17"/>
  <c r="H144" i="17"/>
  <c r="E140" i="17"/>
  <c r="E141" i="17"/>
  <c r="E142" i="17"/>
  <c r="E143" i="17"/>
  <c r="E144" i="17"/>
  <c r="D140" i="17"/>
  <c r="D141" i="17"/>
  <c r="D142" i="17"/>
  <c r="D143" i="17"/>
  <c r="C139" i="17"/>
  <c r="C140" i="17"/>
  <c r="C141" i="17"/>
  <c r="C142" i="17"/>
  <c r="C143" i="17"/>
  <c r="H145" i="17"/>
  <c r="G145" i="17"/>
  <c r="F145" i="17"/>
  <c r="E145" i="17"/>
  <c r="D145" i="17"/>
  <c r="C145" i="17"/>
  <c r="D144" i="17"/>
  <c r="C144" i="17"/>
  <c r="E139" i="17"/>
  <c r="D139" i="17"/>
  <c r="F138" i="17"/>
  <c r="E138" i="17"/>
  <c r="D138" i="17"/>
  <c r="F96" i="17"/>
  <c r="E96" i="17"/>
  <c r="H95" i="17"/>
  <c r="G95" i="17"/>
  <c r="D93" i="17"/>
  <c r="F92" i="17"/>
  <c r="E92" i="17"/>
  <c r="F95" i="17"/>
  <c r="E95" i="17"/>
  <c r="H96" i="17"/>
  <c r="G96" i="17"/>
  <c r="D96" i="17"/>
  <c r="C96" i="17"/>
  <c r="J95" i="17"/>
  <c r="I95" i="17"/>
  <c r="D95" i="17"/>
  <c r="C95" i="17"/>
  <c r="H94" i="17"/>
  <c r="G94" i="17"/>
  <c r="F94" i="17"/>
  <c r="E94" i="17"/>
  <c r="D94" i="17"/>
  <c r="C94" i="17"/>
  <c r="H93" i="17"/>
  <c r="G93" i="17"/>
  <c r="F93" i="17"/>
  <c r="E93" i="17"/>
  <c r="G92" i="17"/>
  <c r="D92" i="17"/>
  <c r="C92" i="17"/>
  <c r="F91" i="17"/>
  <c r="E91" i="17"/>
  <c r="D91" i="17"/>
  <c r="E59" i="16"/>
  <c r="D59" i="16"/>
  <c r="D5" i="16"/>
  <c r="D22" i="16"/>
  <c r="E22" i="16"/>
  <c r="F22" i="16"/>
  <c r="G22" i="16"/>
  <c r="H22" i="16"/>
  <c r="I22" i="16"/>
  <c r="D23" i="16"/>
  <c r="E23" i="16"/>
  <c r="F23" i="16"/>
  <c r="G23" i="16"/>
  <c r="H23" i="16"/>
  <c r="D24" i="16"/>
  <c r="E24" i="16"/>
  <c r="F24" i="16"/>
  <c r="G24" i="16"/>
  <c r="C24" i="16"/>
  <c r="C49" i="9" l="1"/>
  <c r="J67" i="17"/>
  <c r="I74" i="17"/>
  <c r="J69" i="17"/>
  <c r="I76" i="17"/>
  <c r="L93" i="17"/>
  <c r="I82" i="17"/>
  <c r="L138" i="17"/>
  <c r="G142" i="17"/>
  <c r="H142" i="17"/>
  <c r="H143" i="17"/>
  <c r="G138" i="17"/>
  <c r="I142" i="17"/>
  <c r="H141" i="17"/>
  <c r="H140" i="17"/>
  <c r="I139" i="17"/>
  <c r="H92" i="17"/>
  <c r="I92" i="17"/>
  <c r="G91" i="17"/>
  <c r="I77" i="17"/>
  <c r="I96" i="17"/>
  <c r="J81" i="17"/>
  <c r="H80" i="17"/>
  <c r="H79" i="17"/>
  <c r="C5" i="16"/>
  <c r="E5" i="16" s="1"/>
  <c r="H13" i="16"/>
  <c r="I13" i="16" s="1"/>
  <c r="J13" i="16" s="1"/>
  <c r="H15" i="16"/>
  <c r="I12" i="16"/>
  <c r="E4" i="17"/>
  <c r="E5" i="17"/>
  <c r="K67" i="17" l="1"/>
  <c r="J74" i="17"/>
  <c r="J80" i="17" s="1"/>
  <c r="K69" i="17"/>
  <c r="J76" i="17"/>
  <c r="J78" i="17"/>
  <c r="I138" i="17"/>
  <c r="K144" i="17"/>
  <c r="J144" i="17"/>
  <c r="H138" i="17"/>
  <c r="I145" i="17"/>
  <c r="I143" i="17"/>
  <c r="I141" i="17"/>
  <c r="J140" i="17"/>
  <c r="I140" i="17"/>
  <c r="J139" i="17"/>
  <c r="K145" i="17"/>
  <c r="I78" i="17"/>
  <c r="H77" i="17"/>
  <c r="H91" i="17"/>
  <c r="I91" i="17"/>
  <c r="J82" i="17"/>
  <c r="J96" i="17"/>
  <c r="K81" i="17"/>
  <c r="K95" i="17"/>
  <c r="I80" i="17"/>
  <c r="I94" i="17"/>
  <c r="I79" i="17"/>
  <c r="I93" i="17"/>
  <c r="H16" i="16"/>
  <c r="H24" i="16"/>
  <c r="I16" i="16"/>
  <c r="I24" i="16"/>
  <c r="J16" i="16"/>
  <c r="K13" i="16"/>
  <c r="J24" i="16"/>
  <c r="I15" i="16"/>
  <c r="J12" i="16"/>
  <c r="K12" i="16" s="1"/>
  <c r="I23" i="16"/>
  <c r="J14" i="16"/>
  <c r="J22" i="16"/>
  <c r="J94" i="17" l="1"/>
  <c r="L67" i="17"/>
  <c r="L74" i="17" s="1"/>
  <c r="K74" i="17"/>
  <c r="L80" i="17" s="1"/>
  <c r="K76" i="17"/>
  <c r="K96" i="17" s="1"/>
  <c r="L69" i="17"/>
  <c r="L76" i="17" s="1"/>
  <c r="J142" i="17"/>
  <c r="J92" i="17"/>
  <c r="L142" i="17"/>
  <c r="K142" i="17"/>
  <c r="L144" i="17"/>
  <c r="J145" i="17"/>
  <c r="J143" i="17"/>
  <c r="K141" i="17"/>
  <c r="J141" i="17"/>
  <c r="K140" i="17"/>
  <c r="K139" i="17"/>
  <c r="L78" i="17"/>
  <c r="L92" i="17"/>
  <c r="J77" i="17"/>
  <c r="K78" i="17"/>
  <c r="K92" i="17"/>
  <c r="K82" i="17"/>
  <c r="L95" i="17"/>
  <c r="L81" i="17"/>
  <c r="L94" i="17"/>
  <c r="J79" i="17"/>
  <c r="J93" i="17"/>
  <c r="J91" i="17"/>
  <c r="K16" i="16"/>
  <c r="K24" i="16"/>
  <c r="L13" i="16"/>
  <c r="J15" i="16"/>
  <c r="J23" i="16"/>
  <c r="L12" i="16"/>
  <c r="K15" i="16"/>
  <c r="K23" i="16"/>
  <c r="K14" i="16"/>
  <c r="K22" i="16"/>
  <c r="C4" i="16" s="1"/>
  <c r="O24" i="6"/>
  <c r="P23" i="6"/>
  <c r="AB23" i="6"/>
  <c r="AA23" i="6"/>
  <c r="Z23" i="6"/>
  <c r="Y23" i="6"/>
  <c r="X23" i="6"/>
  <c r="W23" i="6"/>
  <c r="V23" i="6"/>
  <c r="U23" i="6"/>
  <c r="T23" i="6"/>
  <c r="S23" i="6"/>
  <c r="R23" i="6"/>
  <c r="Q23" i="6"/>
  <c r="E17" i="6"/>
  <c r="G17" i="6"/>
  <c r="I17" i="6"/>
  <c r="K17" i="6"/>
  <c r="L17" i="6"/>
  <c r="M17" i="6"/>
  <c r="N17" i="6"/>
  <c r="O27" i="6" l="1"/>
  <c r="P24" i="6"/>
  <c r="K94" i="17"/>
  <c r="K80" i="17"/>
  <c r="J138" i="17"/>
  <c r="K138" i="17"/>
  <c r="L141" i="17"/>
  <c r="L140" i="17"/>
  <c r="L145" i="17"/>
  <c r="L143" i="17"/>
  <c r="K143" i="17"/>
  <c r="L139" i="17"/>
  <c r="K77" i="17"/>
  <c r="L77" i="17"/>
  <c r="L82" i="17"/>
  <c r="L96" i="17"/>
  <c r="K79" i="17"/>
  <c r="K93" i="17"/>
  <c r="K91" i="17"/>
  <c r="L23" i="16"/>
  <c r="L15" i="16"/>
  <c r="L24" i="16"/>
  <c r="L16" i="16"/>
  <c r="L14" i="16"/>
  <c r="P25" i="6" l="1"/>
  <c r="P26" i="6" s="1"/>
  <c r="D7" i="17"/>
  <c r="E7" i="17" s="1"/>
  <c r="L91" i="17"/>
  <c r="D6" i="17" s="1"/>
  <c r="L79" i="17"/>
  <c r="Q24" i="6"/>
  <c r="E4" i="16" l="1"/>
  <c r="R24" i="6"/>
  <c r="S24" i="6" l="1"/>
  <c r="T24" i="6" l="1"/>
  <c r="U24" i="6" l="1"/>
  <c r="V24" i="6" l="1"/>
  <c r="W24" i="6" l="1"/>
  <c r="X24" i="6" l="1"/>
  <c r="Y24" i="6" l="1"/>
  <c r="Z24" i="6" l="1"/>
  <c r="AA24" i="6" l="1"/>
  <c r="AB24" i="6" l="1"/>
  <c r="E42" i="13" l="1"/>
  <c r="G42" i="13"/>
  <c r="I42" i="13"/>
  <c r="K42" i="13"/>
  <c r="L42" i="13"/>
  <c r="M42" i="13"/>
  <c r="N42" i="13"/>
  <c r="O42" i="13"/>
  <c r="O45" i="13" s="1"/>
  <c r="P39" i="13" s="1"/>
  <c r="D43" i="13"/>
  <c r="E43" i="13"/>
  <c r="F43" i="13"/>
  <c r="G43" i="13"/>
  <c r="H43" i="13"/>
  <c r="I43" i="13"/>
  <c r="J43" i="13"/>
  <c r="K43" i="13"/>
  <c r="L43" i="13"/>
  <c r="M43" i="13"/>
  <c r="N43" i="13"/>
  <c r="O43" i="13"/>
  <c r="C43" i="13"/>
  <c r="C42" i="13"/>
  <c r="E15" i="13"/>
  <c r="G15" i="13"/>
  <c r="I15" i="13"/>
  <c r="K15" i="13"/>
  <c r="L15" i="13"/>
  <c r="M15" i="13"/>
  <c r="O15" i="13"/>
  <c r="E16" i="13"/>
  <c r="G16" i="13"/>
  <c r="I16" i="13"/>
  <c r="K16" i="13"/>
  <c r="L16" i="13"/>
  <c r="M16" i="13"/>
  <c r="N16" i="13"/>
  <c r="O16" i="13"/>
  <c r="E17" i="13"/>
  <c r="G17" i="13"/>
  <c r="I17" i="13"/>
  <c r="K17" i="13"/>
  <c r="L17" i="13"/>
  <c r="M17" i="13"/>
  <c r="N17" i="13"/>
  <c r="O17" i="13"/>
  <c r="E18" i="13"/>
  <c r="G18" i="13"/>
  <c r="I18" i="13"/>
  <c r="K18" i="13"/>
  <c r="L18" i="13"/>
  <c r="M18" i="13"/>
  <c r="N18" i="13"/>
  <c r="O18" i="13"/>
  <c r="E19" i="13"/>
  <c r="G19" i="13"/>
  <c r="I19" i="13"/>
  <c r="K19" i="13"/>
  <c r="L19" i="13"/>
  <c r="M19" i="13"/>
  <c r="N19" i="13"/>
  <c r="O19" i="13"/>
  <c r="E20" i="13"/>
  <c r="G20" i="13"/>
  <c r="I20" i="13"/>
  <c r="K20" i="13"/>
  <c r="L20" i="13"/>
  <c r="M20" i="13"/>
  <c r="N20" i="13"/>
  <c r="O20" i="13"/>
  <c r="E21" i="13"/>
  <c r="G21" i="13"/>
  <c r="I21" i="13"/>
  <c r="K21" i="13"/>
  <c r="L21" i="13"/>
  <c r="M21" i="13"/>
  <c r="N21" i="13"/>
  <c r="O21" i="13"/>
  <c r="E22" i="13"/>
  <c r="G22" i="13"/>
  <c r="I22" i="13"/>
  <c r="K22" i="13"/>
  <c r="L22" i="13"/>
  <c r="M22" i="13"/>
  <c r="N22" i="13"/>
  <c r="O22" i="13"/>
  <c r="E23" i="13"/>
  <c r="G23" i="13"/>
  <c r="I23" i="13"/>
  <c r="K23" i="13"/>
  <c r="L23" i="13"/>
  <c r="M23" i="13"/>
  <c r="N23" i="13"/>
  <c r="O23" i="13"/>
  <c r="E24" i="13"/>
  <c r="G24" i="13"/>
  <c r="I24" i="13"/>
  <c r="K24" i="13"/>
  <c r="L24" i="13"/>
  <c r="M24" i="13"/>
  <c r="N24" i="13"/>
  <c r="O24" i="13"/>
  <c r="C16" i="13"/>
  <c r="C17" i="13"/>
  <c r="C18" i="13"/>
  <c r="C19" i="13"/>
  <c r="C20" i="13"/>
  <c r="C21" i="13"/>
  <c r="C22" i="13"/>
  <c r="C23" i="13"/>
  <c r="C24" i="13"/>
  <c r="C15" i="13"/>
  <c r="E42" i="12"/>
  <c r="G42" i="12"/>
  <c r="I42" i="12"/>
  <c r="K42" i="12"/>
  <c r="L42" i="12"/>
  <c r="M42" i="12"/>
  <c r="N42" i="12"/>
  <c r="O42" i="12"/>
  <c r="D43" i="12"/>
  <c r="E43" i="12"/>
  <c r="F43" i="12"/>
  <c r="G43" i="12"/>
  <c r="H43" i="12"/>
  <c r="I43" i="12"/>
  <c r="J43" i="12"/>
  <c r="K43" i="12"/>
  <c r="L43" i="12"/>
  <c r="M43" i="12"/>
  <c r="N43" i="12"/>
  <c r="O43" i="12"/>
  <c r="C43" i="12"/>
  <c r="C42" i="12"/>
  <c r="K15" i="12"/>
  <c r="L15" i="12"/>
  <c r="M15" i="12"/>
  <c r="E16" i="12"/>
  <c r="G16" i="12"/>
  <c r="I16" i="12"/>
  <c r="K16" i="12"/>
  <c r="L16" i="12"/>
  <c r="M16" i="12"/>
  <c r="N16" i="12"/>
  <c r="O16" i="12"/>
  <c r="E17" i="12"/>
  <c r="G17" i="12"/>
  <c r="I17" i="12"/>
  <c r="K17" i="12"/>
  <c r="L17" i="12"/>
  <c r="M17" i="12"/>
  <c r="N17" i="12"/>
  <c r="O17" i="12"/>
  <c r="E18" i="12"/>
  <c r="G18" i="12"/>
  <c r="I18" i="12"/>
  <c r="K18" i="12"/>
  <c r="L18" i="12"/>
  <c r="M18" i="12"/>
  <c r="N18" i="12"/>
  <c r="O18" i="12"/>
  <c r="E19" i="12"/>
  <c r="G19" i="12"/>
  <c r="I19" i="12"/>
  <c r="K19" i="12"/>
  <c r="L19" i="12"/>
  <c r="M19" i="12"/>
  <c r="O19" i="12"/>
  <c r="E20" i="12"/>
  <c r="G20" i="12"/>
  <c r="I20" i="12"/>
  <c r="K20" i="12"/>
  <c r="L20" i="12"/>
  <c r="M20" i="12"/>
  <c r="N20" i="12"/>
  <c r="O20" i="12"/>
  <c r="E21" i="12"/>
  <c r="G21" i="12"/>
  <c r="I21" i="12"/>
  <c r="K21" i="12"/>
  <c r="L21" i="12"/>
  <c r="M21" i="12"/>
  <c r="N21" i="12"/>
  <c r="O21" i="12"/>
  <c r="E22" i="12"/>
  <c r="G22" i="12"/>
  <c r="I22" i="12"/>
  <c r="K22" i="12"/>
  <c r="L22" i="12"/>
  <c r="M22" i="12"/>
  <c r="N22" i="12"/>
  <c r="O22" i="12"/>
  <c r="E23" i="12"/>
  <c r="G23" i="12"/>
  <c r="I23" i="12"/>
  <c r="K23" i="12"/>
  <c r="L23" i="12"/>
  <c r="M23" i="12"/>
  <c r="N23" i="12"/>
  <c r="O23" i="12"/>
  <c r="E24" i="12"/>
  <c r="G24" i="12"/>
  <c r="I24" i="12"/>
  <c r="K24" i="12"/>
  <c r="L24" i="12"/>
  <c r="M24" i="12"/>
  <c r="N24" i="12"/>
  <c r="O24" i="12"/>
  <c r="C16" i="12"/>
  <c r="C17" i="12"/>
  <c r="C18" i="12"/>
  <c r="C20" i="12"/>
  <c r="C21" i="12"/>
  <c r="C22" i="12"/>
  <c r="C23" i="12"/>
  <c r="C24" i="12"/>
  <c r="O42" i="11"/>
  <c r="O43" i="11"/>
  <c r="E42" i="11"/>
  <c r="G42" i="11"/>
  <c r="I42" i="11"/>
  <c r="K42" i="11"/>
  <c r="L42" i="11"/>
  <c r="M42" i="11"/>
  <c r="N42" i="11"/>
  <c r="E43" i="11"/>
  <c r="G43" i="11"/>
  <c r="I43" i="11"/>
  <c r="K43" i="11"/>
  <c r="L43" i="11"/>
  <c r="M43" i="11"/>
  <c r="N43" i="11"/>
  <c r="C43" i="11"/>
  <c r="C42" i="11"/>
  <c r="E15" i="11"/>
  <c r="G15" i="11"/>
  <c r="I15" i="11"/>
  <c r="K15" i="11"/>
  <c r="L15" i="11"/>
  <c r="M15" i="11"/>
  <c r="N15" i="11"/>
  <c r="O15" i="11"/>
  <c r="E16" i="11"/>
  <c r="G16" i="11"/>
  <c r="I16" i="11"/>
  <c r="K16" i="11"/>
  <c r="L16" i="11"/>
  <c r="M16" i="11"/>
  <c r="N16" i="11"/>
  <c r="O16" i="11"/>
  <c r="E17" i="11"/>
  <c r="G17" i="11"/>
  <c r="I17" i="11"/>
  <c r="K17" i="11"/>
  <c r="L17" i="11"/>
  <c r="M17" i="11"/>
  <c r="N17" i="11"/>
  <c r="O17" i="11"/>
  <c r="E18" i="11"/>
  <c r="G18" i="11"/>
  <c r="I18" i="11"/>
  <c r="K18" i="11"/>
  <c r="L18" i="11"/>
  <c r="M18" i="11"/>
  <c r="N18" i="11"/>
  <c r="O18" i="11"/>
  <c r="E19" i="11"/>
  <c r="G19" i="11"/>
  <c r="I19" i="11"/>
  <c r="K19" i="11"/>
  <c r="L19" i="11"/>
  <c r="M19" i="11"/>
  <c r="N19" i="11"/>
  <c r="O19" i="11"/>
  <c r="E20" i="11"/>
  <c r="G20" i="11"/>
  <c r="I20" i="11"/>
  <c r="K20" i="11"/>
  <c r="L20" i="11"/>
  <c r="M20" i="11"/>
  <c r="N20" i="11"/>
  <c r="O20" i="11"/>
  <c r="E21" i="11"/>
  <c r="G21" i="11"/>
  <c r="I21" i="11"/>
  <c r="K21" i="11"/>
  <c r="L21" i="11"/>
  <c r="M21" i="11"/>
  <c r="N21" i="11"/>
  <c r="O21" i="11"/>
  <c r="E22" i="11"/>
  <c r="G22" i="11"/>
  <c r="I22" i="11"/>
  <c r="K22" i="11"/>
  <c r="L22" i="11"/>
  <c r="M22" i="11"/>
  <c r="N22" i="11"/>
  <c r="O22" i="11"/>
  <c r="E23" i="11"/>
  <c r="G23" i="11"/>
  <c r="I23" i="11"/>
  <c r="K23" i="11"/>
  <c r="L23" i="11"/>
  <c r="M23" i="11"/>
  <c r="N23" i="11"/>
  <c r="O23" i="11"/>
  <c r="E24" i="11"/>
  <c r="G24" i="11"/>
  <c r="I24" i="11"/>
  <c r="K24" i="11"/>
  <c r="L24" i="11"/>
  <c r="M24" i="11"/>
  <c r="N24" i="11"/>
  <c r="O24" i="11"/>
  <c r="C16" i="11"/>
  <c r="C17" i="11"/>
  <c r="C18" i="11"/>
  <c r="C19" i="11"/>
  <c r="C20" i="11"/>
  <c r="C21" i="11"/>
  <c r="C22" i="11"/>
  <c r="C23" i="11"/>
  <c r="C24" i="11"/>
  <c r="C15" i="11"/>
  <c r="E43" i="10"/>
  <c r="G43" i="10"/>
  <c r="I43" i="10"/>
  <c r="K43" i="10"/>
  <c r="L43" i="10"/>
  <c r="M43" i="10"/>
  <c r="N43" i="10"/>
  <c r="O43" i="10"/>
  <c r="E44" i="10"/>
  <c r="G44" i="10"/>
  <c r="I44" i="10"/>
  <c r="K44" i="10"/>
  <c r="L44" i="10"/>
  <c r="M44" i="10"/>
  <c r="N44" i="10"/>
  <c r="O44" i="10"/>
  <c r="E45" i="10"/>
  <c r="G45" i="10"/>
  <c r="I45" i="10"/>
  <c r="K45" i="10"/>
  <c r="L45" i="10"/>
  <c r="M45" i="10"/>
  <c r="N45" i="10"/>
  <c r="O45" i="10"/>
  <c r="C44" i="10"/>
  <c r="C45" i="10"/>
  <c r="C43" i="10"/>
  <c r="E15" i="10"/>
  <c r="G15" i="10"/>
  <c r="I15" i="10"/>
  <c r="K15" i="10"/>
  <c r="L15" i="10"/>
  <c r="M15" i="10"/>
  <c r="N15" i="10"/>
  <c r="O15" i="10"/>
  <c r="E16" i="10"/>
  <c r="G16" i="10"/>
  <c r="I16" i="10"/>
  <c r="K16" i="10"/>
  <c r="L16" i="10"/>
  <c r="M16" i="10"/>
  <c r="N16" i="10"/>
  <c r="O16" i="10"/>
  <c r="E17" i="10"/>
  <c r="G17" i="10"/>
  <c r="I17" i="10"/>
  <c r="K17" i="10"/>
  <c r="L17" i="10"/>
  <c r="M17" i="10"/>
  <c r="N17" i="10"/>
  <c r="O17" i="10"/>
  <c r="E18" i="10"/>
  <c r="G18" i="10"/>
  <c r="I18" i="10"/>
  <c r="K18" i="10"/>
  <c r="L18" i="10"/>
  <c r="M18" i="10"/>
  <c r="N18" i="10"/>
  <c r="O18" i="10"/>
  <c r="E19" i="10"/>
  <c r="G19" i="10"/>
  <c r="I19" i="10"/>
  <c r="K19" i="10"/>
  <c r="L19" i="10"/>
  <c r="M19" i="10"/>
  <c r="N19" i="10"/>
  <c r="O19" i="10"/>
  <c r="E20" i="10"/>
  <c r="G20" i="10"/>
  <c r="I20" i="10"/>
  <c r="K20" i="10"/>
  <c r="L20" i="10"/>
  <c r="M20" i="10"/>
  <c r="N20" i="10"/>
  <c r="O20" i="10"/>
  <c r="E21" i="10"/>
  <c r="G21" i="10"/>
  <c r="I21" i="10"/>
  <c r="K21" i="10"/>
  <c r="L21" i="10"/>
  <c r="M21" i="10"/>
  <c r="N21" i="10"/>
  <c r="O21" i="10"/>
  <c r="E22" i="10"/>
  <c r="G22" i="10"/>
  <c r="I22" i="10"/>
  <c r="K22" i="10"/>
  <c r="L22" i="10"/>
  <c r="M22" i="10"/>
  <c r="N22" i="10"/>
  <c r="O22" i="10"/>
  <c r="E23" i="10"/>
  <c r="G23" i="10"/>
  <c r="I23" i="10"/>
  <c r="K23" i="10"/>
  <c r="L23" i="10"/>
  <c r="N23" i="10"/>
  <c r="E24" i="10"/>
  <c r="G24" i="10"/>
  <c r="I24" i="10"/>
  <c r="K24" i="10"/>
  <c r="L24" i="10"/>
  <c r="M24" i="10"/>
  <c r="N24" i="10"/>
  <c r="O24" i="10"/>
  <c r="C16" i="10"/>
  <c r="C17" i="10"/>
  <c r="C18" i="10"/>
  <c r="C19" i="10"/>
  <c r="C20" i="10"/>
  <c r="C21" i="10"/>
  <c r="C22" i="10"/>
  <c r="C23" i="10"/>
  <c r="C24" i="10"/>
  <c r="C15" i="10"/>
  <c r="M44" i="9"/>
  <c r="N44" i="9"/>
  <c r="O44" i="9"/>
  <c r="M45" i="9"/>
  <c r="N45" i="9"/>
  <c r="O45" i="9"/>
  <c r="M46" i="9"/>
  <c r="N46" i="9"/>
  <c r="O46" i="9"/>
  <c r="D44" i="9"/>
  <c r="E44" i="9"/>
  <c r="F44" i="9"/>
  <c r="G44" i="9"/>
  <c r="H44" i="9"/>
  <c r="I44" i="9"/>
  <c r="J44" i="9"/>
  <c r="K44" i="9"/>
  <c r="L44" i="9"/>
  <c r="D45" i="9"/>
  <c r="E45" i="9"/>
  <c r="F45" i="9"/>
  <c r="G45" i="9"/>
  <c r="H45" i="9"/>
  <c r="I45" i="9"/>
  <c r="J45" i="9"/>
  <c r="K45" i="9"/>
  <c r="L45" i="9"/>
  <c r="E46" i="9"/>
  <c r="G46" i="9"/>
  <c r="I46" i="9"/>
  <c r="K46" i="9"/>
  <c r="L46" i="9"/>
  <c r="I47" i="9"/>
  <c r="I52" i="9" s="1"/>
  <c r="K47" i="9"/>
  <c r="K52" i="9" s="1"/>
  <c r="E15" i="9"/>
  <c r="G15" i="9"/>
  <c r="I15" i="9"/>
  <c r="K15" i="9"/>
  <c r="E16" i="9"/>
  <c r="G16" i="9"/>
  <c r="I16" i="9"/>
  <c r="K16" i="9"/>
  <c r="E17" i="9"/>
  <c r="G17" i="9"/>
  <c r="I17" i="9"/>
  <c r="K17" i="9"/>
  <c r="E18" i="9"/>
  <c r="G18" i="9"/>
  <c r="I18" i="9"/>
  <c r="K18" i="9"/>
  <c r="E19" i="9"/>
  <c r="G19" i="9"/>
  <c r="I19" i="9"/>
  <c r="K19" i="9"/>
  <c r="E20" i="9"/>
  <c r="G20" i="9"/>
  <c r="I20" i="9"/>
  <c r="K20" i="9"/>
  <c r="E21" i="9"/>
  <c r="G21" i="9"/>
  <c r="I21" i="9"/>
  <c r="K21" i="9"/>
  <c r="E22" i="9"/>
  <c r="G22" i="9"/>
  <c r="I22" i="9"/>
  <c r="K22" i="9"/>
  <c r="E23" i="9"/>
  <c r="G23" i="9"/>
  <c r="I23" i="9"/>
  <c r="K23" i="9"/>
  <c r="I24" i="9"/>
  <c r="K24" i="9"/>
  <c r="C16" i="9"/>
  <c r="C17" i="9"/>
  <c r="C18" i="9"/>
  <c r="C19" i="9"/>
  <c r="C20" i="9"/>
  <c r="C21" i="9"/>
  <c r="C22" i="9"/>
  <c r="C23" i="9"/>
  <c r="C15" i="9"/>
  <c r="L88" i="15"/>
  <c r="J88" i="15"/>
  <c r="H88" i="15"/>
  <c r="F88" i="15"/>
  <c r="L87" i="15"/>
  <c r="J87" i="15"/>
  <c r="H87" i="15"/>
  <c r="F87" i="15"/>
  <c r="L86" i="15"/>
  <c r="J86" i="15"/>
  <c r="H86" i="15"/>
  <c r="F86" i="15"/>
  <c r="L84" i="15"/>
  <c r="J42" i="13" s="1"/>
  <c r="J84" i="15"/>
  <c r="H42" i="13" s="1"/>
  <c r="H84" i="15"/>
  <c r="F42" i="13" s="1"/>
  <c r="F84" i="15"/>
  <c r="D42" i="13" s="1"/>
  <c r="L83" i="15"/>
  <c r="J24" i="13" s="1"/>
  <c r="J83" i="15"/>
  <c r="H24" i="13" s="1"/>
  <c r="H83" i="15"/>
  <c r="F24" i="13" s="1"/>
  <c r="F83" i="15"/>
  <c r="D24" i="13" s="1"/>
  <c r="L82" i="15"/>
  <c r="J23" i="13" s="1"/>
  <c r="J82" i="15"/>
  <c r="H23" i="13" s="1"/>
  <c r="H82" i="15"/>
  <c r="F23" i="13" s="1"/>
  <c r="F82" i="15"/>
  <c r="D23" i="13" s="1"/>
  <c r="L81" i="15"/>
  <c r="J22" i="13" s="1"/>
  <c r="J81" i="15"/>
  <c r="H22" i="13" s="1"/>
  <c r="H81" i="15"/>
  <c r="F22" i="13" s="1"/>
  <c r="F81" i="15"/>
  <c r="D22" i="13" s="1"/>
  <c r="L80" i="15"/>
  <c r="J21" i="13" s="1"/>
  <c r="J80" i="15"/>
  <c r="H21" i="13" s="1"/>
  <c r="H80" i="15"/>
  <c r="F21" i="13" s="1"/>
  <c r="F80" i="15"/>
  <c r="D21" i="13" s="1"/>
  <c r="L79" i="15"/>
  <c r="J20" i="13" s="1"/>
  <c r="J79" i="15"/>
  <c r="H20" i="13" s="1"/>
  <c r="H79" i="15"/>
  <c r="F20" i="13" s="1"/>
  <c r="F79" i="15"/>
  <c r="D20" i="13" s="1"/>
  <c r="L78" i="15"/>
  <c r="J19" i="13" s="1"/>
  <c r="J78" i="15"/>
  <c r="H19" i="13" s="1"/>
  <c r="H78" i="15"/>
  <c r="F19" i="13" s="1"/>
  <c r="F78" i="15"/>
  <c r="D19" i="13" s="1"/>
  <c r="L77" i="15"/>
  <c r="J18" i="13" s="1"/>
  <c r="J77" i="15"/>
  <c r="H18" i="13" s="1"/>
  <c r="H77" i="15"/>
  <c r="F18" i="13" s="1"/>
  <c r="F77" i="15"/>
  <c r="D18" i="13" s="1"/>
  <c r="L76" i="15"/>
  <c r="J17" i="13" s="1"/>
  <c r="J76" i="15"/>
  <c r="H17" i="13" s="1"/>
  <c r="H76" i="15"/>
  <c r="F17" i="13" s="1"/>
  <c r="F76" i="15"/>
  <c r="D17" i="13" s="1"/>
  <c r="L75" i="15"/>
  <c r="J16" i="13" s="1"/>
  <c r="J75" i="15"/>
  <c r="H16" i="13" s="1"/>
  <c r="H75" i="15"/>
  <c r="F16" i="13" s="1"/>
  <c r="F75" i="15"/>
  <c r="D16" i="13" s="1"/>
  <c r="L74" i="15"/>
  <c r="J15" i="13" s="1"/>
  <c r="J74" i="15"/>
  <c r="H15" i="13" s="1"/>
  <c r="H74" i="15"/>
  <c r="F15" i="13" s="1"/>
  <c r="F74" i="15"/>
  <c r="D15" i="13" s="1"/>
  <c r="L70" i="15"/>
  <c r="J70" i="15"/>
  <c r="H70" i="15"/>
  <c r="F70" i="15"/>
  <c r="L69" i="15"/>
  <c r="J69" i="15"/>
  <c r="H69" i="15"/>
  <c r="F69" i="15"/>
  <c r="L68" i="15"/>
  <c r="J68" i="15"/>
  <c r="H68" i="15"/>
  <c r="F68" i="15"/>
  <c r="L66" i="15"/>
  <c r="J42" i="12" s="1"/>
  <c r="J66" i="15"/>
  <c r="H42" i="12" s="1"/>
  <c r="H66" i="15"/>
  <c r="F42" i="12" s="1"/>
  <c r="F66" i="15"/>
  <c r="D42" i="12" s="1"/>
  <c r="L65" i="15"/>
  <c r="J24" i="12" s="1"/>
  <c r="J65" i="15"/>
  <c r="H24" i="12" s="1"/>
  <c r="H65" i="15"/>
  <c r="F24" i="12" s="1"/>
  <c r="F65" i="15"/>
  <c r="D24" i="12" s="1"/>
  <c r="L64" i="15"/>
  <c r="J23" i="12" s="1"/>
  <c r="J64" i="15"/>
  <c r="H23" i="12" s="1"/>
  <c r="H64" i="15"/>
  <c r="F23" i="12" s="1"/>
  <c r="F64" i="15"/>
  <c r="D23" i="12" s="1"/>
  <c r="L63" i="15"/>
  <c r="J22" i="12" s="1"/>
  <c r="J63" i="15"/>
  <c r="H22" i="12" s="1"/>
  <c r="H63" i="15"/>
  <c r="F22" i="12" s="1"/>
  <c r="F63" i="15"/>
  <c r="D22" i="12" s="1"/>
  <c r="L62" i="15"/>
  <c r="J21" i="12" s="1"/>
  <c r="J62" i="15"/>
  <c r="H21" i="12" s="1"/>
  <c r="H62" i="15"/>
  <c r="F21" i="12" s="1"/>
  <c r="F62" i="15"/>
  <c r="D21" i="12" s="1"/>
  <c r="L61" i="15"/>
  <c r="J20" i="12" s="1"/>
  <c r="J61" i="15"/>
  <c r="H20" i="12" s="1"/>
  <c r="H61" i="15"/>
  <c r="F20" i="12" s="1"/>
  <c r="F61" i="15"/>
  <c r="D20" i="12" s="1"/>
  <c r="L60" i="15"/>
  <c r="J19" i="12" s="1"/>
  <c r="J60" i="15"/>
  <c r="H19" i="12" s="1"/>
  <c r="H60" i="15"/>
  <c r="F19" i="12" s="1"/>
  <c r="F60" i="15"/>
  <c r="D19" i="12" s="1"/>
  <c r="L59" i="15"/>
  <c r="J18" i="12" s="1"/>
  <c r="J59" i="15"/>
  <c r="H18" i="12" s="1"/>
  <c r="H59" i="15"/>
  <c r="F18" i="12" s="1"/>
  <c r="F59" i="15"/>
  <c r="D18" i="12" s="1"/>
  <c r="L58" i="15"/>
  <c r="J17" i="12" s="1"/>
  <c r="J58" i="15"/>
  <c r="H17" i="12" s="1"/>
  <c r="H58" i="15"/>
  <c r="F17" i="12" s="1"/>
  <c r="F58" i="15"/>
  <c r="D17" i="12" s="1"/>
  <c r="L57" i="15"/>
  <c r="J16" i="12" s="1"/>
  <c r="J57" i="15"/>
  <c r="H16" i="12" s="1"/>
  <c r="H57" i="15"/>
  <c r="F16" i="12" s="1"/>
  <c r="F57" i="15"/>
  <c r="D16" i="12" s="1"/>
  <c r="L56" i="15"/>
  <c r="J15" i="12" s="1"/>
  <c r="J56" i="15"/>
  <c r="H56" i="15"/>
  <c r="F56" i="15"/>
  <c r="L52" i="15"/>
  <c r="J52" i="15"/>
  <c r="H52" i="15"/>
  <c r="F52" i="15"/>
  <c r="L51" i="15"/>
  <c r="J51" i="15"/>
  <c r="H51" i="15"/>
  <c r="F51" i="15"/>
  <c r="L50" i="15"/>
  <c r="J43" i="11" s="1"/>
  <c r="J50" i="15"/>
  <c r="H43" i="11" s="1"/>
  <c r="H50" i="15"/>
  <c r="F43" i="11" s="1"/>
  <c r="F50" i="15"/>
  <c r="D43" i="11" s="1"/>
  <c r="L49" i="15"/>
  <c r="J42" i="11" s="1"/>
  <c r="J49" i="15"/>
  <c r="H42" i="11" s="1"/>
  <c r="H49" i="15"/>
  <c r="F42" i="11" s="1"/>
  <c r="F49" i="15"/>
  <c r="D42" i="11" s="1"/>
  <c r="L48" i="15"/>
  <c r="J24" i="11" s="1"/>
  <c r="J48" i="15"/>
  <c r="H24" i="11" s="1"/>
  <c r="H48" i="15"/>
  <c r="F24" i="11" s="1"/>
  <c r="F48" i="15"/>
  <c r="D24" i="11" s="1"/>
  <c r="L47" i="15"/>
  <c r="J23" i="11" s="1"/>
  <c r="J47" i="15"/>
  <c r="H23" i="11" s="1"/>
  <c r="H47" i="15"/>
  <c r="F23" i="11" s="1"/>
  <c r="F47" i="15"/>
  <c r="D23" i="11" s="1"/>
  <c r="L46" i="15"/>
  <c r="J22" i="11" s="1"/>
  <c r="J46" i="15"/>
  <c r="H22" i="11" s="1"/>
  <c r="H46" i="15"/>
  <c r="F22" i="11" s="1"/>
  <c r="F46" i="15"/>
  <c r="D22" i="11" s="1"/>
  <c r="L45" i="15"/>
  <c r="J21" i="11" s="1"/>
  <c r="J45" i="15"/>
  <c r="H21" i="11" s="1"/>
  <c r="H45" i="15"/>
  <c r="F21" i="11" s="1"/>
  <c r="F45" i="15"/>
  <c r="D21" i="11" s="1"/>
  <c r="L44" i="15"/>
  <c r="J20" i="11" s="1"/>
  <c r="J44" i="15"/>
  <c r="H20" i="11" s="1"/>
  <c r="H44" i="15"/>
  <c r="F20" i="11" s="1"/>
  <c r="F44" i="15"/>
  <c r="D20" i="11" s="1"/>
  <c r="L43" i="15"/>
  <c r="J19" i="11" s="1"/>
  <c r="J43" i="15"/>
  <c r="H19" i="11" s="1"/>
  <c r="H43" i="15"/>
  <c r="F19" i="11" s="1"/>
  <c r="F43" i="15"/>
  <c r="D19" i="11" s="1"/>
  <c r="L42" i="15"/>
  <c r="J18" i="11" s="1"/>
  <c r="J42" i="15"/>
  <c r="H18" i="11" s="1"/>
  <c r="H42" i="15"/>
  <c r="F18" i="11" s="1"/>
  <c r="F42" i="15"/>
  <c r="D18" i="11" s="1"/>
  <c r="L41" i="15"/>
  <c r="J17" i="11" s="1"/>
  <c r="J41" i="15"/>
  <c r="H17" i="11" s="1"/>
  <c r="H41" i="15"/>
  <c r="F17" i="11" s="1"/>
  <c r="F41" i="15"/>
  <c r="D17" i="11" s="1"/>
  <c r="L40" i="15"/>
  <c r="J16" i="11" s="1"/>
  <c r="J40" i="15"/>
  <c r="H16" i="11" s="1"/>
  <c r="H40" i="15"/>
  <c r="F16" i="11" s="1"/>
  <c r="F40" i="15"/>
  <c r="D16" i="11" s="1"/>
  <c r="L39" i="15"/>
  <c r="J15" i="11" s="1"/>
  <c r="J39" i="15"/>
  <c r="H15" i="11" s="1"/>
  <c r="H39" i="15"/>
  <c r="F15" i="11" s="1"/>
  <c r="F39" i="15"/>
  <c r="D15" i="11" s="1"/>
  <c r="L35" i="15"/>
  <c r="J35" i="15"/>
  <c r="H35" i="15"/>
  <c r="F35" i="15"/>
  <c r="L34" i="15"/>
  <c r="J45" i="10" s="1"/>
  <c r="J34" i="15"/>
  <c r="H45" i="10" s="1"/>
  <c r="H34" i="15"/>
  <c r="F45" i="10" s="1"/>
  <c r="F34" i="15"/>
  <c r="D45" i="10" s="1"/>
  <c r="L33" i="15"/>
  <c r="J44" i="10" s="1"/>
  <c r="J33" i="15"/>
  <c r="H44" i="10" s="1"/>
  <c r="H33" i="15"/>
  <c r="F44" i="10" s="1"/>
  <c r="F33" i="15"/>
  <c r="D44" i="10" s="1"/>
  <c r="L32" i="15"/>
  <c r="J43" i="10" s="1"/>
  <c r="J32" i="15"/>
  <c r="H43" i="10" s="1"/>
  <c r="H32" i="15"/>
  <c r="F43" i="10" s="1"/>
  <c r="F32" i="15"/>
  <c r="D43" i="10" s="1"/>
  <c r="L31" i="15"/>
  <c r="J24" i="10" s="1"/>
  <c r="J31" i="15"/>
  <c r="H24" i="10" s="1"/>
  <c r="H31" i="15"/>
  <c r="F24" i="10" s="1"/>
  <c r="F31" i="15"/>
  <c r="D24" i="10" s="1"/>
  <c r="L30" i="15"/>
  <c r="J23" i="10" s="1"/>
  <c r="J30" i="15"/>
  <c r="H23" i="10" s="1"/>
  <c r="H30" i="15"/>
  <c r="F23" i="10" s="1"/>
  <c r="F30" i="15"/>
  <c r="D23" i="10" s="1"/>
  <c r="L29" i="15"/>
  <c r="J22" i="10" s="1"/>
  <c r="J29" i="15"/>
  <c r="H22" i="10" s="1"/>
  <c r="H29" i="15"/>
  <c r="F22" i="10" s="1"/>
  <c r="F29" i="15"/>
  <c r="D22" i="10" s="1"/>
  <c r="L28" i="15"/>
  <c r="J21" i="10" s="1"/>
  <c r="J28" i="15"/>
  <c r="H21" i="10" s="1"/>
  <c r="H28" i="15"/>
  <c r="F21" i="10" s="1"/>
  <c r="F28" i="15"/>
  <c r="D21" i="10" s="1"/>
  <c r="L27" i="15"/>
  <c r="J20" i="10" s="1"/>
  <c r="J27" i="15"/>
  <c r="H20" i="10" s="1"/>
  <c r="H27" i="15"/>
  <c r="F20" i="10" s="1"/>
  <c r="F27" i="15"/>
  <c r="D20" i="10" s="1"/>
  <c r="L26" i="15"/>
  <c r="J19" i="10" s="1"/>
  <c r="J26" i="15"/>
  <c r="H19" i="10" s="1"/>
  <c r="H26" i="15"/>
  <c r="F19" i="10" s="1"/>
  <c r="F26" i="15"/>
  <c r="D19" i="10" s="1"/>
  <c r="L25" i="15"/>
  <c r="J18" i="10" s="1"/>
  <c r="J25" i="15"/>
  <c r="H18" i="10" s="1"/>
  <c r="H25" i="15"/>
  <c r="F18" i="10" s="1"/>
  <c r="F25" i="15"/>
  <c r="D18" i="10" s="1"/>
  <c r="L24" i="15"/>
  <c r="J17" i="10" s="1"/>
  <c r="J24" i="15"/>
  <c r="H17" i="10" s="1"/>
  <c r="H24" i="15"/>
  <c r="F17" i="10" s="1"/>
  <c r="F24" i="15"/>
  <c r="D17" i="10" s="1"/>
  <c r="L23" i="15"/>
  <c r="J16" i="10" s="1"/>
  <c r="J23" i="15"/>
  <c r="H16" i="10" s="1"/>
  <c r="H23" i="15"/>
  <c r="F16" i="10" s="1"/>
  <c r="F23" i="15"/>
  <c r="D16" i="10" s="1"/>
  <c r="L22" i="15"/>
  <c r="J15" i="10" s="1"/>
  <c r="J22" i="15"/>
  <c r="H15" i="10" s="1"/>
  <c r="H22" i="15"/>
  <c r="F15" i="10" s="1"/>
  <c r="F22" i="15"/>
  <c r="D15" i="10" s="1"/>
  <c r="AD18" i="15"/>
  <c r="AC18" i="15"/>
  <c r="AB18" i="15"/>
  <c r="AA18" i="15"/>
  <c r="Z18" i="15"/>
  <c r="Y18" i="15"/>
  <c r="X18" i="15"/>
  <c r="W18" i="15"/>
  <c r="V18" i="15"/>
  <c r="U18" i="15"/>
  <c r="T18" i="15"/>
  <c r="S18" i="15"/>
  <c r="R18" i="15"/>
  <c r="Q18" i="15"/>
  <c r="P18" i="15"/>
  <c r="O18" i="15"/>
  <c r="N18" i="15"/>
  <c r="L18" i="15"/>
  <c r="I18" i="15"/>
  <c r="J18" i="15" s="1"/>
  <c r="G18" i="15"/>
  <c r="E18" i="15"/>
  <c r="AD17" i="15"/>
  <c r="AB47" i="9" s="1"/>
  <c r="AC17" i="15"/>
  <c r="AA47" i="9" s="1"/>
  <c r="AB17" i="15"/>
  <c r="Z47" i="9" s="1"/>
  <c r="AA17" i="15"/>
  <c r="Y47" i="9" s="1"/>
  <c r="Z17" i="15"/>
  <c r="X47" i="9" s="1"/>
  <c r="Y17" i="15"/>
  <c r="W47" i="9" s="1"/>
  <c r="X17" i="15"/>
  <c r="V47" i="9" s="1"/>
  <c r="W17" i="15"/>
  <c r="U47" i="9" s="1"/>
  <c r="V17" i="15"/>
  <c r="T47" i="9" s="1"/>
  <c r="U17" i="15"/>
  <c r="S47" i="9" s="1"/>
  <c r="T17" i="15"/>
  <c r="R47" i="9" s="1"/>
  <c r="S17" i="15"/>
  <c r="Q47" i="9" s="1"/>
  <c r="R17" i="15"/>
  <c r="P47" i="9" s="1"/>
  <c r="Q17" i="15"/>
  <c r="O47" i="9" s="1"/>
  <c r="O52" i="9" s="1"/>
  <c r="P17" i="15"/>
  <c r="N47" i="9" s="1"/>
  <c r="N52" i="9" s="1"/>
  <c r="O17" i="15"/>
  <c r="M47" i="9" s="1"/>
  <c r="M52" i="9" s="1"/>
  <c r="N17" i="15"/>
  <c r="L47" i="9" s="1"/>
  <c r="L52" i="9" s="1"/>
  <c r="L17" i="15"/>
  <c r="J47" i="9" s="1"/>
  <c r="J52" i="9" s="1"/>
  <c r="I17" i="15"/>
  <c r="J17" i="15" s="1"/>
  <c r="H47" i="9" s="1"/>
  <c r="H52" i="9" s="1"/>
  <c r="G17" i="15"/>
  <c r="E47" i="9" s="1"/>
  <c r="E52" i="9" s="1"/>
  <c r="E17" i="15"/>
  <c r="C47" i="9" s="1"/>
  <c r="C52" i="9" s="1"/>
  <c r="L16" i="15"/>
  <c r="J46" i="9" s="1"/>
  <c r="J16" i="15"/>
  <c r="H46" i="9" s="1"/>
  <c r="H16" i="15"/>
  <c r="F46" i="9" s="1"/>
  <c r="F16" i="15"/>
  <c r="D46" i="9" s="1"/>
  <c r="Q13" i="15"/>
  <c r="P13" i="15"/>
  <c r="O13" i="15"/>
  <c r="N13" i="15"/>
  <c r="L24" i="9" s="1"/>
  <c r="L13" i="15"/>
  <c r="J24" i="9" s="1"/>
  <c r="I13" i="15"/>
  <c r="J13" i="15" s="1"/>
  <c r="H24" i="9" s="1"/>
  <c r="G13" i="15"/>
  <c r="E24" i="9" s="1"/>
  <c r="E13" i="15"/>
  <c r="Q12" i="15"/>
  <c r="P12" i="15"/>
  <c r="O12" i="15"/>
  <c r="N12" i="15"/>
  <c r="L23" i="9" s="1"/>
  <c r="L12" i="15"/>
  <c r="J23" i="9" s="1"/>
  <c r="J12" i="15"/>
  <c r="H23" i="9" s="1"/>
  <c r="H12" i="15"/>
  <c r="F23" i="9" s="1"/>
  <c r="F12" i="15"/>
  <c r="D23" i="9" s="1"/>
  <c r="Q11" i="15"/>
  <c r="P11" i="15"/>
  <c r="O11" i="15"/>
  <c r="M22" i="9" s="1"/>
  <c r="N11" i="15"/>
  <c r="L22" i="9" s="1"/>
  <c r="L11" i="15"/>
  <c r="J22" i="9" s="1"/>
  <c r="J11" i="15"/>
  <c r="H22" i="9" s="1"/>
  <c r="H11" i="15"/>
  <c r="F22" i="9" s="1"/>
  <c r="F11" i="15"/>
  <c r="D22" i="9" s="1"/>
  <c r="Q10" i="15"/>
  <c r="P10" i="15"/>
  <c r="O10" i="15"/>
  <c r="N10" i="15"/>
  <c r="L21" i="9" s="1"/>
  <c r="L10" i="15"/>
  <c r="J21" i="9" s="1"/>
  <c r="J10" i="15"/>
  <c r="H21" i="9" s="1"/>
  <c r="H10" i="15"/>
  <c r="F21" i="9" s="1"/>
  <c r="F10" i="15"/>
  <c r="D21" i="9" s="1"/>
  <c r="Q9" i="15"/>
  <c r="P9" i="15"/>
  <c r="O9" i="15"/>
  <c r="M20" i="9" s="1"/>
  <c r="N9" i="15"/>
  <c r="L20" i="9" s="1"/>
  <c r="L9" i="15"/>
  <c r="J20" i="9" s="1"/>
  <c r="J9" i="15"/>
  <c r="H20" i="9" s="1"/>
  <c r="H9" i="15"/>
  <c r="F20" i="9" s="1"/>
  <c r="F9" i="15"/>
  <c r="D20" i="9" s="1"/>
  <c r="Q8" i="15"/>
  <c r="P8" i="15"/>
  <c r="O8" i="15"/>
  <c r="N8" i="15"/>
  <c r="L19" i="9" s="1"/>
  <c r="L8" i="15"/>
  <c r="J19" i="9" s="1"/>
  <c r="J8" i="15"/>
  <c r="H19" i="9" s="1"/>
  <c r="H8" i="15"/>
  <c r="F19" i="9" s="1"/>
  <c r="F8" i="15"/>
  <c r="D19" i="9" s="1"/>
  <c r="Q7" i="15"/>
  <c r="P7" i="15"/>
  <c r="O7" i="15"/>
  <c r="M18" i="9" s="1"/>
  <c r="N7" i="15"/>
  <c r="L18" i="9" s="1"/>
  <c r="L7" i="15"/>
  <c r="J18" i="9" s="1"/>
  <c r="J7" i="15"/>
  <c r="H18" i="9" s="1"/>
  <c r="H7" i="15"/>
  <c r="F18" i="9" s="1"/>
  <c r="F7" i="15"/>
  <c r="D18" i="9" s="1"/>
  <c r="Q6" i="15"/>
  <c r="P6" i="15"/>
  <c r="O6" i="15"/>
  <c r="N6" i="15"/>
  <c r="L17" i="9" s="1"/>
  <c r="L6" i="15"/>
  <c r="J17" i="9" s="1"/>
  <c r="J6" i="15"/>
  <c r="H17" i="9" s="1"/>
  <c r="H6" i="15"/>
  <c r="F17" i="9" s="1"/>
  <c r="F6" i="15"/>
  <c r="D17" i="9" s="1"/>
  <c r="O16" i="9"/>
  <c r="P5" i="15"/>
  <c r="O5" i="15"/>
  <c r="M16" i="9" s="1"/>
  <c r="N5" i="15"/>
  <c r="L16" i="9" s="1"/>
  <c r="L5" i="15"/>
  <c r="J16" i="9" s="1"/>
  <c r="J5" i="15"/>
  <c r="H16" i="9" s="1"/>
  <c r="H5" i="15"/>
  <c r="F16" i="9" s="1"/>
  <c r="F5" i="15"/>
  <c r="D16" i="9" s="1"/>
  <c r="O15" i="9"/>
  <c r="P4" i="15"/>
  <c r="O4" i="15"/>
  <c r="N4" i="15"/>
  <c r="L15" i="9" s="1"/>
  <c r="L4" i="15"/>
  <c r="J15" i="9" s="1"/>
  <c r="J4" i="15"/>
  <c r="H15" i="9" s="1"/>
  <c r="H4" i="15"/>
  <c r="F15" i="9" s="1"/>
  <c r="F4" i="15"/>
  <c r="D15" i="9" s="1"/>
  <c r="N16" i="9" l="1"/>
  <c r="N17" i="9"/>
  <c r="N20" i="9"/>
  <c r="N21" i="9"/>
  <c r="N22" i="9"/>
  <c r="N24" i="9"/>
  <c r="N15" i="9"/>
  <c r="N19" i="9"/>
  <c r="N23" i="9"/>
  <c r="N18" i="9"/>
  <c r="O17" i="9"/>
  <c r="B6" i="15"/>
  <c r="B21" i="15"/>
  <c r="B5" i="15"/>
  <c r="B3" i="15"/>
  <c r="B38" i="15"/>
  <c r="B55" i="15"/>
  <c r="B73" i="15"/>
  <c r="B4" i="15"/>
  <c r="O18" i="9"/>
  <c r="B7" i="15"/>
  <c r="O19" i="9"/>
  <c r="B8" i="15"/>
  <c r="O20" i="9"/>
  <c r="B9" i="15"/>
  <c r="O21" i="9"/>
  <c r="B10" i="15"/>
  <c r="O22" i="9"/>
  <c r="B11" i="15"/>
  <c r="O23" i="9"/>
  <c r="B12" i="15"/>
  <c r="O24" i="9"/>
  <c r="B13" i="15"/>
  <c r="Q52" i="9"/>
  <c r="P42" i="9"/>
  <c r="F13" i="15"/>
  <c r="D24" i="9" s="1"/>
  <c r="F18" i="15"/>
  <c r="C24" i="9"/>
  <c r="F17" i="15"/>
  <c r="D47" i="9" s="1"/>
  <c r="D52" i="9" s="1"/>
  <c r="G24" i="9"/>
  <c r="G47" i="9"/>
  <c r="G52" i="9" s="1"/>
  <c r="M24" i="9"/>
  <c r="M23" i="9"/>
  <c r="M21" i="9"/>
  <c r="M19" i="9"/>
  <c r="M17" i="9"/>
  <c r="M15" i="9"/>
  <c r="H18" i="15"/>
  <c r="H13" i="15"/>
  <c r="H17" i="15"/>
  <c r="F47" i="9" s="1"/>
  <c r="F52" i="9" s="1"/>
  <c r="R52" i="9" l="1"/>
  <c r="Q42" i="9"/>
  <c r="F24" i="9"/>
  <c r="S52" i="9" l="1"/>
  <c r="R42" i="9"/>
  <c r="L117" i="14"/>
  <c r="K117" i="14"/>
  <c r="G117" i="14"/>
  <c r="C117" i="14"/>
  <c r="B115" i="14"/>
  <c r="R93" i="14"/>
  <c r="R96" i="14" s="1"/>
  <c r="S92" i="14"/>
  <c r="S93" i="14" s="1"/>
  <c r="S96" i="14" s="1"/>
  <c r="R85" i="14"/>
  <c r="S83" i="14"/>
  <c r="T83" i="14" s="1"/>
  <c r="T85" i="14" s="1"/>
  <c r="S82" i="14"/>
  <c r="T82" i="14" s="1"/>
  <c r="U82" i="14" s="1"/>
  <c r="V82" i="14" s="1"/>
  <c r="W82" i="14" s="1"/>
  <c r="X82" i="14" s="1"/>
  <c r="Y82" i="14" s="1"/>
  <c r="Z82" i="14" s="1"/>
  <c r="AA82" i="14" s="1"/>
  <c r="S81" i="14"/>
  <c r="T81" i="14" s="1"/>
  <c r="U81" i="14" s="1"/>
  <c r="V81" i="14" s="1"/>
  <c r="W81" i="14" s="1"/>
  <c r="X81" i="14" s="1"/>
  <c r="Y81" i="14" s="1"/>
  <c r="Z81" i="14" s="1"/>
  <c r="AA81" i="14" s="1"/>
  <c r="S80" i="14"/>
  <c r="R79" i="14"/>
  <c r="S77" i="14"/>
  <c r="S79" i="14" s="1"/>
  <c r="S76" i="14"/>
  <c r="T76" i="14" s="1"/>
  <c r="U76" i="14" s="1"/>
  <c r="V76" i="14" s="1"/>
  <c r="W76" i="14" s="1"/>
  <c r="X76" i="14" s="1"/>
  <c r="Y76" i="14" s="1"/>
  <c r="Z76" i="14" s="1"/>
  <c r="AA76" i="14" s="1"/>
  <c r="S75" i="14"/>
  <c r="T75" i="14" s="1"/>
  <c r="U75" i="14" s="1"/>
  <c r="V75" i="14" s="1"/>
  <c r="W75" i="14" s="1"/>
  <c r="X75" i="14" s="1"/>
  <c r="Y75" i="14" s="1"/>
  <c r="Z75" i="14" s="1"/>
  <c r="AA75" i="14" s="1"/>
  <c r="S74" i="14"/>
  <c r="T74" i="14" s="1"/>
  <c r="S72" i="14"/>
  <c r="T72" i="14" s="1"/>
  <c r="U72" i="14" s="1"/>
  <c r="V72" i="14" s="1"/>
  <c r="W72" i="14" s="1"/>
  <c r="X72" i="14" s="1"/>
  <c r="Y72" i="14" s="1"/>
  <c r="Z72" i="14" s="1"/>
  <c r="AA72" i="14" s="1"/>
  <c r="R71" i="14"/>
  <c r="S69" i="14" s="1"/>
  <c r="S71" i="14" s="1"/>
  <c r="S67" i="14"/>
  <c r="T67" i="14" s="1"/>
  <c r="U67" i="14" s="1"/>
  <c r="V67" i="14" s="1"/>
  <c r="W67" i="14" s="1"/>
  <c r="X67" i="14" s="1"/>
  <c r="Y67" i="14" s="1"/>
  <c r="Z67" i="14" s="1"/>
  <c r="AA67" i="14" s="1"/>
  <c r="R66" i="14"/>
  <c r="S62" i="14"/>
  <c r="T62" i="14" s="1"/>
  <c r="U62" i="14" s="1"/>
  <c r="V62" i="14" s="1"/>
  <c r="W62" i="14" s="1"/>
  <c r="X62" i="14" s="1"/>
  <c r="Y62" i="14" s="1"/>
  <c r="Z62" i="14" s="1"/>
  <c r="AA62" i="14" s="1"/>
  <c r="R61" i="14"/>
  <c r="R63" i="14" s="1"/>
  <c r="R56" i="14"/>
  <c r="S54" i="14"/>
  <c r="T54" i="14" s="1"/>
  <c r="S53" i="14"/>
  <c r="T53" i="14" s="1"/>
  <c r="R50" i="14"/>
  <c r="R52" i="14" s="1"/>
  <c r="R55" i="14" s="1"/>
  <c r="R44" i="14"/>
  <c r="S43" i="14"/>
  <c r="S44" i="14" s="1"/>
  <c r="U39" i="14"/>
  <c r="T39" i="14"/>
  <c r="S39" i="14"/>
  <c r="AA34" i="14"/>
  <c r="Z34" i="14"/>
  <c r="Y34" i="14"/>
  <c r="X34" i="14"/>
  <c r="W34" i="14"/>
  <c r="V34" i="14"/>
  <c r="U34" i="14"/>
  <c r="T31" i="14"/>
  <c r="T34" i="14" s="1"/>
  <c r="S31" i="14"/>
  <c r="S34" i="14" s="1"/>
  <c r="R31" i="14"/>
  <c r="R34" i="14" s="1"/>
  <c r="S20" i="14"/>
  <c r="T20" i="14" s="1"/>
  <c r="U20" i="14" s="1"/>
  <c r="S19" i="14"/>
  <c r="T19" i="14" s="1"/>
  <c r="S18" i="14"/>
  <c r="S17" i="14"/>
  <c r="R14" i="14"/>
  <c r="S12" i="14" s="1"/>
  <c r="N24" i="6"/>
  <c r="C8" i="4"/>
  <c r="D8" i="4"/>
  <c r="E8" i="4"/>
  <c r="F8" i="4"/>
  <c r="G8" i="4"/>
  <c r="H8" i="4"/>
  <c r="I8" i="4"/>
  <c r="J8" i="4"/>
  <c r="J31" i="4" s="1"/>
  <c r="K8" i="4"/>
  <c r="L8" i="4"/>
  <c r="M8" i="4"/>
  <c r="N8" i="4"/>
  <c r="C109" i="7"/>
  <c r="C73" i="7"/>
  <c r="C4" i="4"/>
  <c r="D4" i="4"/>
  <c r="E4" i="4"/>
  <c r="F4" i="4"/>
  <c r="F27" i="4" s="1"/>
  <c r="G4" i="4"/>
  <c r="G27" i="4" s="1"/>
  <c r="H4" i="4"/>
  <c r="H27" i="4" s="1"/>
  <c r="I4" i="4"/>
  <c r="I27" i="4" s="1"/>
  <c r="J4" i="4"/>
  <c r="J27" i="4" s="1"/>
  <c r="K4" i="4"/>
  <c r="L4" i="4"/>
  <c r="M4" i="4"/>
  <c r="N4" i="4"/>
  <c r="N27" i="4" s="1"/>
  <c r="B4" i="4"/>
  <c r="B27" i="4" s="1"/>
  <c r="C3" i="4"/>
  <c r="C26" i="4" s="1"/>
  <c r="D3" i="4"/>
  <c r="D26" i="4" s="1"/>
  <c r="E3" i="4"/>
  <c r="E26" i="4" s="1"/>
  <c r="F3" i="4"/>
  <c r="G3" i="4"/>
  <c r="H3" i="4"/>
  <c r="H26" i="4" s="1"/>
  <c r="I3" i="4"/>
  <c r="J3" i="4"/>
  <c r="J26" i="4" s="1"/>
  <c r="K3" i="4"/>
  <c r="K26" i="4" s="1"/>
  <c r="L3" i="4"/>
  <c r="L26" i="4" s="1"/>
  <c r="M3" i="4"/>
  <c r="M26" i="4" s="1"/>
  <c r="N3" i="4"/>
  <c r="C5" i="4"/>
  <c r="C28" i="4" s="1"/>
  <c r="D5" i="4"/>
  <c r="D28" i="4" s="1"/>
  <c r="E5" i="4"/>
  <c r="E28" i="4" s="1"/>
  <c r="F5" i="4"/>
  <c r="F28" i="4" s="1"/>
  <c r="G5" i="4"/>
  <c r="G28" i="4" s="1"/>
  <c r="H5" i="4"/>
  <c r="I5" i="4"/>
  <c r="J5" i="4"/>
  <c r="J28" i="4" s="1"/>
  <c r="K5" i="4"/>
  <c r="K28" i="4" s="1"/>
  <c r="L5" i="4"/>
  <c r="L28" i="4" s="1"/>
  <c r="M5" i="4"/>
  <c r="M28" i="4" s="1"/>
  <c r="N5" i="4"/>
  <c r="C6" i="4"/>
  <c r="D6" i="4"/>
  <c r="E6" i="4"/>
  <c r="F6" i="4"/>
  <c r="F29" i="4" s="1"/>
  <c r="G6" i="4"/>
  <c r="H6" i="4"/>
  <c r="H29" i="4" s="1"/>
  <c r="I6" i="4"/>
  <c r="J6" i="4"/>
  <c r="J29" i="4" s="1"/>
  <c r="K6" i="4"/>
  <c r="K29" i="4" s="1"/>
  <c r="L6" i="4"/>
  <c r="M6" i="4"/>
  <c r="N6" i="4"/>
  <c r="C7" i="4"/>
  <c r="D7" i="4"/>
  <c r="D30" i="4" s="1"/>
  <c r="E7" i="4"/>
  <c r="F7" i="4"/>
  <c r="F30" i="4" s="1"/>
  <c r="G7" i="4"/>
  <c r="H7" i="4"/>
  <c r="I7" i="4"/>
  <c r="J7" i="4"/>
  <c r="J30" i="4" s="1"/>
  <c r="K7" i="4"/>
  <c r="K30" i="4" s="1"/>
  <c r="L7" i="4"/>
  <c r="L30" i="4" s="1"/>
  <c r="M7" i="4"/>
  <c r="M30" i="4" s="1"/>
  <c r="N7" i="4"/>
  <c r="N30" i="4" s="1"/>
  <c r="C9" i="4"/>
  <c r="D9" i="4"/>
  <c r="E9" i="4"/>
  <c r="F9" i="4"/>
  <c r="F32" i="4" s="1"/>
  <c r="G9" i="4"/>
  <c r="H9" i="4"/>
  <c r="H32" i="4" s="1"/>
  <c r="I9" i="4"/>
  <c r="J9" i="4"/>
  <c r="K9" i="4"/>
  <c r="K32" i="4" s="1"/>
  <c r="L9" i="4"/>
  <c r="L32" i="4" s="1"/>
  <c r="M9" i="4"/>
  <c r="N9" i="4"/>
  <c r="B3" i="4"/>
  <c r="F26" i="4"/>
  <c r="G26" i="4"/>
  <c r="I26" i="4"/>
  <c r="N26" i="4"/>
  <c r="C27" i="4"/>
  <c r="D27" i="4"/>
  <c r="E27" i="4"/>
  <c r="K27" i="4"/>
  <c r="L27" i="4"/>
  <c r="M27" i="4"/>
  <c r="H28" i="4"/>
  <c r="I28" i="4"/>
  <c r="N28" i="4"/>
  <c r="D29" i="4"/>
  <c r="L29" i="4"/>
  <c r="M29" i="4"/>
  <c r="N29" i="4"/>
  <c r="H30" i="4"/>
  <c r="F31" i="4"/>
  <c r="K31" i="4"/>
  <c r="L31" i="4"/>
  <c r="N31" i="4"/>
  <c r="D32" i="4"/>
  <c r="J32" i="4"/>
  <c r="M32" i="4"/>
  <c r="N32" i="4"/>
  <c r="D7" i="6"/>
  <c r="F7" i="6"/>
  <c r="H7" i="6"/>
  <c r="J7" i="6"/>
  <c r="D8" i="6"/>
  <c r="F8" i="6"/>
  <c r="H8" i="6"/>
  <c r="J8" i="6"/>
  <c r="D9" i="6"/>
  <c r="F9" i="6"/>
  <c r="H9" i="6"/>
  <c r="J9" i="6"/>
  <c r="D10" i="6"/>
  <c r="F10" i="6"/>
  <c r="H10" i="6"/>
  <c r="J10" i="6"/>
  <c r="D11" i="6"/>
  <c r="F11" i="6"/>
  <c r="H11" i="6"/>
  <c r="J11" i="6"/>
  <c r="D12" i="6"/>
  <c r="F12" i="6"/>
  <c r="H12" i="6"/>
  <c r="J12" i="6"/>
  <c r="D13" i="6"/>
  <c r="F13" i="6"/>
  <c r="H13" i="6"/>
  <c r="J13" i="6"/>
  <c r="D14" i="6"/>
  <c r="F14" i="6"/>
  <c r="H14" i="6"/>
  <c r="J14" i="6"/>
  <c r="D15" i="6"/>
  <c r="F15" i="6"/>
  <c r="H15" i="6"/>
  <c r="J15" i="6"/>
  <c r="D16" i="6"/>
  <c r="F16" i="6"/>
  <c r="H16" i="6"/>
  <c r="J16" i="6"/>
  <c r="C15" i="7"/>
  <c r="C26" i="7" s="1"/>
  <c r="D4" i="14" l="1"/>
  <c r="U83" i="14"/>
  <c r="T77" i="14"/>
  <c r="R73" i="14"/>
  <c r="S59" i="14"/>
  <c r="S61" i="14" s="1"/>
  <c r="S63" i="14" s="1"/>
  <c r="T43" i="14"/>
  <c r="U43" i="14" s="1"/>
  <c r="S48" i="14"/>
  <c r="S56" i="14"/>
  <c r="T52" i="9"/>
  <c r="S42" i="9"/>
  <c r="M31" i="4"/>
  <c r="N27" i="6"/>
  <c r="D17" i="6"/>
  <c r="H17" i="6"/>
  <c r="F17" i="6"/>
  <c r="J17" i="6"/>
  <c r="U74" i="14"/>
  <c r="V83" i="14"/>
  <c r="U85" i="14"/>
  <c r="N115" i="14"/>
  <c r="U19" i="14"/>
  <c r="R68" i="14"/>
  <c r="R78" i="14" s="1"/>
  <c r="S64" i="14"/>
  <c r="V20" i="14"/>
  <c r="U53" i="14"/>
  <c r="F115" i="14"/>
  <c r="S14" i="14"/>
  <c r="T12" i="14"/>
  <c r="T17" i="14"/>
  <c r="D3" i="14"/>
  <c r="U54" i="14"/>
  <c r="T56" i="14"/>
  <c r="S73" i="14"/>
  <c r="K116" i="14"/>
  <c r="T18" i="14"/>
  <c r="T69" i="14"/>
  <c r="T80" i="14"/>
  <c r="D115" i="14"/>
  <c r="H115" i="14"/>
  <c r="L115" i="14"/>
  <c r="J115" i="14"/>
  <c r="D117" i="14"/>
  <c r="H117" i="14"/>
  <c r="E117" i="14"/>
  <c r="I117" i="14"/>
  <c r="M117" i="14"/>
  <c r="S85" i="14"/>
  <c r="T92" i="14"/>
  <c r="B117" i="14"/>
  <c r="F117" i="14"/>
  <c r="J117" i="14"/>
  <c r="N117" i="14"/>
  <c r="C115" i="14"/>
  <c r="G115" i="14"/>
  <c r="K115" i="14"/>
  <c r="B116" i="14"/>
  <c r="H31" i="4"/>
  <c r="D31" i="4"/>
  <c r="B26" i="4"/>
  <c r="T44" i="14" l="1"/>
  <c r="T59" i="14"/>
  <c r="R84" i="14"/>
  <c r="R87" i="14" s="1"/>
  <c r="T79" i="14"/>
  <c r="U77" i="14"/>
  <c r="S50" i="14"/>
  <c r="S52" i="14" s="1"/>
  <c r="S55" i="14" s="1"/>
  <c r="G116" i="14"/>
  <c r="C116" i="14"/>
  <c r="U52" i="9"/>
  <c r="T42" i="9"/>
  <c r="F116" i="14"/>
  <c r="M116" i="14"/>
  <c r="D116" i="14"/>
  <c r="U18" i="14"/>
  <c r="M115" i="14"/>
  <c r="I116" i="14"/>
  <c r="U80" i="14"/>
  <c r="T14" i="14"/>
  <c r="S66" i="14"/>
  <c r="S68" i="14" s="1"/>
  <c r="I115" i="14"/>
  <c r="E116" i="14"/>
  <c r="L116" i="14"/>
  <c r="T71" i="14"/>
  <c r="T73" i="14" s="1"/>
  <c r="V54" i="14"/>
  <c r="U56" i="14"/>
  <c r="W20" i="14"/>
  <c r="V74" i="14"/>
  <c r="V53" i="14"/>
  <c r="U44" i="14"/>
  <c r="V43" i="14"/>
  <c r="W83" i="14"/>
  <c r="V85" i="14"/>
  <c r="N116" i="14"/>
  <c r="J116" i="14"/>
  <c r="E115" i="14"/>
  <c r="U92" i="14"/>
  <c r="T93" i="14"/>
  <c r="T96" i="14" s="1"/>
  <c r="H116" i="14"/>
  <c r="T61" i="14"/>
  <c r="T63" i="14" s="1"/>
  <c r="U17" i="14"/>
  <c r="V19" i="14"/>
  <c r="N33" i="4"/>
  <c r="M33" i="4"/>
  <c r="L33" i="4"/>
  <c r="K33" i="4"/>
  <c r="J33" i="4"/>
  <c r="H33" i="4"/>
  <c r="F33" i="4"/>
  <c r="D33" i="4"/>
  <c r="G22" i="4"/>
  <c r="H22" i="4"/>
  <c r="I22" i="4"/>
  <c r="N22" i="4"/>
  <c r="M22" i="4"/>
  <c r="L22" i="4"/>
  <c r="K22" i="4"/>
  <c r="J22" i="4"/>
  <c r="F22" i="4"/>
  <c r="E22" i="4"/>
  <c r="D22" i="4"/>
  <c r="C22" i="4"/>
  <c r="B22" i="4"/>
  <c r="D10" i="4"/>
  <c r="F10" i="4"/>
  <c r="H10" i="4"/>
  <c r="J10" i="4"/>
  <c r="K10" i="4"/>
  <c r="L10" i="4"/>
  <c r="M10" i="4"/>
  <c r="N10" i="4"/>
  <c r="B9" i="4"/>
  <c r="B32" i="4" s="1"/>
  <c r="B8" i="4"/>
  <c r="B7" i="4"/>
  <c r="B30" i="4" s="1"/>
  <c r="B6" i="4"/>
  <c r="B29" i="4" s="1"/>
  <c r="B5" i="4"/>
  <c r="B28" i="4" s="1"/>
  <c r="D39" i="13"/>
  <c r="E39" i="13"/>
  <c r="E45" i="13" s="1"/>
  <c r="F39" i="13"/>
  <c r="G39" i="13"/>
  <c r="G45" i="13" s="1"/>
  <c r="H39" i="13"/>
  <c r="I39" i="13"/>
  <c r="J39" i="13"/>
  <c r="K39" i="13"/>
  <c r="L39" i="13"/>
  <c r="L45" i="13" s="1"/>
  <c r="M39" i="13"/>
  <c r="M45" i="13" s="1"/>
  <c r="N39" i="13"/>
  <c r="N45" i="13" s="1"/>
  <c r="O39" i="13"/>
  <c r="Q45" i="13" s="1"/>
  <c r="D40" i="13"/>
  <c r="E40" i="13"/>
  <c r="F40" i="13"/>
  <c r="G40" i="13"/>
  <c r="H40" i="13"/>
  <c r="H46" i="13" s="1"/>
  <c r="I40" i="13"/>
  <c r="I46" i="13" s="1"/>
  <c r="J40" i="13"/>
  <c r="J46" i="13" s="1"/>
  <c r="K40" i="13"/>
  <c r="K46" i="13" s="1"/>
  <c r="L40" i="13"/>
  <c r="L46" i="13" s="1"/>
  <c r="M40" i="13"/>
  <c r="N40" i="13"/>
  <c r="O40" i="13"/>
  <c r="C40" i="13"/>
  <c r="C46" i="13" s="1"/>
  <c r="C39" i="13"/>
  <c r="C45" i="13" s="1"/>
  <c r="D3" i="13"/>
  <c r="E3" i="13"/>
  <c r="F3" i="13"/>
  <c r="G3" i="13"/>
  <c r="H3" i="13"/>
  <c r="I3" i="13"/>
  <c r="J3" i="13"/>
  <c r="K3" i="13"/>
  <c r="L3" i="13"/>
  <c r="M3" i="13"/>
  <c r="N3" i="13"/>
  <c r="O3" i="13"/>
  <c r="C3" i="13"/>
  <c r="D39" i="12"/>
  <c r="E39" i="12"/>
  <c r="E45" i="12" s="1"/>
  <c r="F39" i="12"/>
  <c r="G39" i="12"/>
  <c r="G45" i="12" s="1"/>
  <c r="H39" i="12"/>
  <c r="I39" i="12"/>
  <c r="I45" i="12" s="1"/>
  <c r="J39" i="12"/>
  <c r="K39" i="12"/>
  <c r="K45" i="12" s="1"/>
  <c r="L39" i="12"/>
  <c r="L45" i="12" s="1"/>
  <c r="M39" i="12"/>
  <c r="M45" i="12" s="1"/>
  <c r="N39" i="12"/>
  <c r="N45" i="12" s="1"/>
  <c r="O39" i="12"/>
  <c r="O45" i="12" s="1"/>
  <c r="D40" i="12"/>
  <c r="D46" i="12" s="1"/>
  <c r="E40" i="12"/>
  <c r="E46" i="12" s="1"/>
  <c r="F40" i="12"/>
  <c r="F46" i="12" s="1"/>
  <c r="G40" i="12"/>
  <c r="G46" i="12" s="1"/>
  <c r="H40" i="12"/>
  <c r="H46" i="12" s="1"/>
  <c r="I40" i="12"/>
  <c r="I46" i="12" s="1"/>
  <c r="J40" i="12"/>
  <c r="J46" i="12" s="1"/>
  <c r="K40" i="12"/>
  <c r="K46" i="12" s="1"/>
  <c r="L40" i="12"/>
  <c r="L46" i="12" s="1"/>
  <c r="M40" i="12"/>
  <c r="M46" i="12" s="1"/>
  <c r="N40" i="12"/>
  <c r="N46" i="12" s="1"/>
  <c r="O40" i="12"/>
  <c r="O46" i="12" s="1"/>
  <c r="C40" i="12"/>
  <c r="C46" i="12" s="1"/>
  <c r="C45" i="12"/>
  <c r="D3" i="12"/>
  <c r="E3" i="12"/>
  <c r="F3" i="12"/>
  <c r="G3" i="12"/>
  <c r="H3" i="12"/>
  <c r="I3" i="12"/>
  <c r="J3" i="12"/>
  <c r="K3" i="12"/>
  <c r="L3" i="12"/>
  <c r="M3" i="12"/>
  <c r="N3" i="12"/>
  <c r="O3" i="12"/>
  <c r="C3" i="12"/>
  <c r="D39" i="11"/>
  <c r="E39" i="11"/>
  <c r="E45" i="11" s="1"/>
  <c r="F39" i="11"/>
  <c r="G39" i="11"/>
  <c r="G45" i="11" s="1"/>
  <c r="H39" i="11"/>
  <c r="I39" i="11"/>
  <c r="I45" i="11" s="1"/>
  <c r="J39" i="11"/>
  <c r="K39" i="11"/>
  <c r="K45" i="11" s="1"/>
  <c r="L39" i="11"/>
  <c r="L45" i="11" s="1"/>
  <c r="M39" i="11"/>
  <c r="M45" i="11" s="1"/>
  <c r="N39" i="11"/>
  <c r="N45" i="11" s="1"/>
  <c r="O39" i="11"/>
  <c r="O45" i="11" s="1"/>
  <c r="D40" i="11"/>
  <c r="E40" i="11"/>
  <c r="E46" i="11" s="1"/>
  <c r="F40" i="11"/>
  <c r="G40" i="11"/>
  <c r="G46" i="11" s="1"/>
  <c r="H40" i="11"/>
  <c r="I40" i="11"/>
  <c r="I46" i="11" s="1"/>
  <c r="J40" i="11"/>
  <c r="K40" i="11"/>
  <c r="K46" i="11" s="1"/>
  <c r="L40" i="11"/>
  <c r="L46" i="11" s="1"/>
  <c r="M40" i="11"/>
  <c r="M46" i="11" s="1"/>
  <c r="N40" i="11"/>
  <c r="N46" i="11" s="1"/>
  <c r="O40" i="11"/>
  <c r="O46" i="11" s="1"/>
  <c r="C40" i="11"/>
  <c r="C46" i="11" s="1"/>
  <c r="C39" i="11"/>
  <c r="C45" i="11" s="1"/>
  <c r="D3" i="11"/>
  <c r="E3" i="11"/>
  <c r="F3" i="11"/>
  <c r="G3" i="11"/>
  <c r="H3" i="11"/>
  <c r="I3" i="11"/>
  <c r="J3" i="11"/>
  <c r="K3" i="11"/>
  <c r="L3" i="11"/>
  <c r="M3" i="11"/>
  <c r="N3" i="11"/>
  <c r="O3" i="11"/>
  <c r="C3" i="11"/>
  <c r="G47" i="10"/>
  <c r="D39" i="10"/>
  <c r="E39" i="10"/>
  <c r="F39" i="10"/>
  <c r="G39" i="10"/>
  <c r="H39" i="10"/>
  <c r="I39" i="10"/>
  <c r="I47" i="10" s="1"/>
  <c r="J39" i="10"/>
  <c r="K39" i="10"/>
  <c r="L39" i="10"/>
  <c r="M39" i="10"/>
  <c r="N39" i="10"/>
  <c r="O39" i="10"/>
  <c r="D40" i="10"/>
  <c r="E40" i="10"/>
  <c r="E48" i="10" s="1"/>
  <c r="F40" i="10"/>
  <c r="G40" i="10"/>
  <c r="H40" i="10"/>
  <c r="I40" i="10"/>
  <c r="J40" i="10"/>
  <c r="K40" i="10"/>
  <c r="L40" i="10"/>
  <c r="L48" i="10" s="1"/>
  <c r="M40" i="10"/>
  <c r="M48" i="10" s="1"/>
  <c r="N40" i="10"/>
  <c r="O40" i="10"/>
  <c r="D41" i="10"/>
  <c r="E41" i="10"/>
  <c r="F41" i="10"/>
  <c r="G41" i="10"/>
  <c r="H41" i="10"/>
  <c r="I41" i="10"/>
  <c r="I49" i="10" s="1"/>
  <c r="J41" i="10"/>
  <c r="K41" i="10"/>
  <c r="L41" i="10"/>
  <c r="M41" i="10"/>
  <c r="N41" i="10"/>
  <c r="O41" i="10"/>
  <c r="C40" i="10"/>
  <c r="C48" i="10" s="1"/>
  <c r="C41" i="10"/>
  <c r="C49" i="10" s="1"/>
  <c r="C39" i="10"/>
  <c r="C3" i="10"/>
  <c r="D3" i="10"/>
  <c r="E3" i="10"/>
  <c r="F3" i="10"/>
  <c r="G3" i="10"/>
  <c r="H3" i="10"/>
  <c r="I3" i="10"/>
  <c r="J3" i="10"/>
  <c r="K3" i="10"/>
  <c r="L3" i="10"/>
  <c r="M3" i="10"/>
  <c r="N3" i="10"/>
  <c r="O3" i="10"/>
  <c r="D41" i="9"/>
  <c r="E41" i="9"/>
  <c r="F41" i="9"/>
  <c r="G41" i="9"/>
  <c r="H41" i="9"/>
  <c r="I41" i="9"/>
  <c r="J41" i="9"/>
  <c r="K41" i="9"/>
  <c r="L41" i="9"/>
  <c r="M41" i="9"/>
  <c r="N41" i="9"/>
  <c r="N51" i="9" s="1"/>
  <c r="O41" i="9"/>
  <c r="O51" i="9" s="1"/>
  <c r="D39" i="9"/>
  <c r="D49" i="9" s="1"/>
  <c r="E39" i="9"/>
  <c r="E49" i="9" s="1"/>
  <c r="F39" i="9"/>
  <c r="F49" i="9" s="1"/>
  <c r="G39" i="9"/>
  <c r="G49" i="9" s="1"/>
  <c r="H39" i="9"/>
  <c r="H49" i="9" s="1"/>
  <c r="I39" i="9"/>
  <c r="I49" i="9" s="1"/>
  <c r="J39" i="9"/>
  <c r="J49" i="9" s="1"/>
  <c r="K39" i="9"/>
  <c r="K49" i="9" s="1"/>
  <c r="L39" i="9"/>
  <c r="L49" i="9" s="1"/>
  <c r="M39" i="9"/>
  <c r="M49" i="9" s="1"/>
  <c r="N39" i="9"/>
  <c r="N49" i="9" s="1"/>
  <c r="O39" i="9"/>
  <c r="O49" i="9" s="1"/>
  <c r="D40" i="9"/>
  <c r="D50" i="9" s="1"/>
  <c r="E40" i="9"/>
  <c r="E50" i="9" s="1"/>
  <c r="F40" i="9"/>
  <c r="F50" i="9" s="1"/>
  <c r="G40" i="9"/>
  <c r="G50" i="9" s="1"/>
  <c r="H40" i="9"/>
  <c r="H50" i="9" s="1"/>
  <c r="I40" i="9"/>
  <c r="I50" i="9" s="1"/>
  <c r="J40" i="9"/>
  <c r="J50" i="9" s="1"/>
  <c r="K40" i="9"/>
  <c r="K50" i="9" s="1"/>
  <c r="L40" i="9"/>
  <c r="L50" i="9" s="1"/>
  <c r="M40" i="9"/>
  <c r="M50" i="9" s="1"/>
  <c r="N40" i="9"/>
  <c r="N50" i="9" s="1"/>
  <c r="O40" i="9"/>
  <c r="O50" i="9" s="1"/>
  <c r="D3" i="9"/>
  <c r="E3" i="9"/>
  <c r="F3" i="9"/>
  <c r="G3" i="9"/>
  <c r="H3" i="9"/>
  <c r="I3" i="9"/>
  <c r="J3" i="9"/>
  <c r="K3" i="9"/>
  <c r="L3" i="9"/>
  <c r="M3" i="9"/>
  <c r="N3" i="9"/>
  <c r="O3" i="9"/>
  <c r="C3" i="9"/>
  <c r="D109" i="7"/>
  <c r="E109" i="7"/>
  <c r="F109" i="7"/>
  <c r="G109" i="7"/>
  <c r="H109" i="7"/>
  <c r="I109" i="7"/>
  <c r="J109" i="7"/>
  <c r="K109" i="7"/>
  <c r="L109" i="7"/>
  <c r="M109" i="7"/>
  <c r="N109" i="7"/>
  <c r="O109" i="7"/>
  <c r="D15" i="7"/>
  <c r="E15" i="7"/>
  <c r="F15" i="7"/>
  <c r="G15" i="7"/>
  <c r="H15" i="7"/>
  <c r="I15" i="7"/>
  <c r="J15" i="7"/>
  <c r="K15" i="7"/>
  <c r="L15" i="7"/>
  <c r="M15" i="7"/>
  <c r="N15" i="7"/>
  <c r="O15" i="7"/>
  <c r="D16" i="7"/>
  <c r="E16" i="7"/>
  <c r="F16" i="7"/>
  <c r="G16" i="7"/>
  <c r="H16" i="7"/>
  <c r="I16" i="7"/>
  <c r="J16" i="7"/>
  <c r="K16" i="7"/>
  <c r="L16" i="7"/>
  <c r="M16" i="7"/>
  <c r="N16" i="7"/>
  <c r="O16" i="7"/>
  <c r="D17" i="7"/>
  <c r="E17" i="7"/>
  <c r="F17" i="7"/>
  <c r="G17" i="7"/>
  <c r="H17" i="7"/>
  <c r="I17" i="7"/>
  <c r="J17" i="7"/>
  <c r="K17" i="7"/>
  <c r="L17" i="7"/>
  <c r="M17" i="7"/>
  <c r="N17" i="7"/>
  <c r="O17" i="7"/>
  <c r="D18" i="7"/>
  <c r="E18" i="7"/>
  <c r="F18" i="7"/>
  <c r="G18" i="7"/>
  <c r="H18" i="7"/>
  <c r="I18" i="7"/>
  <c r="J18" i="7"/>
  <c r="K18" i="7"/>
  <c r="L18" i="7"/>
  <c r="M18" i="7"/>
  <c r="N18" i="7"/>
  <c r="O18" i="7"/>
  <c r="D19" i="7"/>
  <c r="E19" i="7"/>
  <c r="F19" i="7"/>
  <c r="G19" i="7"/>
  <c r="H19" i="7"/>
  <c r="I19" i="7"/>
  <c r="J19" i="7"/>
  <c r="K19" i="7"/>
  <c r="L19" i="7"/>
  <c r="M19" i="7"/>
  <c r="N19" i="7"/>
  <c r="O19" i="7"/>
  <c r="D20" i="7"/>
  <c r="E20" i="7"/>
  <c r="F20" i="7"/>
  <c r="G20" i="7"/>
  <c r="H20" i="7"/>
  <c r="I20" i="7"/>
  <c r="J20" i="7"/>
  <c r="K20" i="7"/>
  <c r="L20" i="7"/>
  <c r="M20" i="7"/>
  <c r="N20" i="7"/>
  <c r="O20" i="7"/>
  <c r="D21" i="7"/>
  <c r="E21" i="7"/>
  <c r="F21" i="7"/>
  <c r="G21" i="7"/>
  <c r="H21" i="7"/>
  <c r="I21" i="7"/>
  <c r="J21" i="7"/>
  <c r="K21" i="7"/>
  <c r="L21" i="7"/>
  <c r="M21" i="7"/>
  <c r="N21" i="7"/>
  <c r="O21" i="7"/>
  <c r="D22" i="7"/>
  <c r="E22" i="7"/>
  <c r="F22" i="7"/>
  <c r="G22" i="7"/>
  <c r="H22" i="7"/>
  <c r="I22" i="7"/>
  <c r="J22" i="7"/>
  <c r="K22" i="7"/>
  <c r="L22" i="7"/>
  <c r="M22" i="7"/>
  <c r="N22" i="7"/>
  <c r="O22" i="7"/>
  <c r="D23" i="7"/>
  <c r="E23" i="7"/>
  <c r="F23" i="7"/>
  <c r="G23" i="7"/>
  <c r="H23" i="7"/>
  <c r="I23" i="7"/>
  <c r="J23" i="7"/>
  <c r="K23" i="7"/>
  <c r="L23" i="7"/>
  <c r="M23" i="7"/>
  <c r="N23" i="7"/>
  <c r="O23" i="7"/>
  <c r="D24" i="7"/>
  <c r="E24" i="7"/>
  <c r="F24" i="7"/>
  <c r="G24" i="7"/>
  <c r="H24" i="7"/>
  <c r="I24" i="7"/>
  <c r="J24" i="7"/>
  <c r="K24" i="7"/>
  <c r="L24" i="7"/>
  <c r="M24" i="7"/>
  <c r="N24" i="7"/>
  <c r="O24" i="7"/>
  <c r="C24" i="7"/>
  <c r="C35" i="7" s="1"/>
  <c r="C16" i="7"/>
  <c r="C17" i="7"/>
  <c r="C28" i="7" s="1"/>
  <c r="C18" i="7"/>
  <c r="C29" i="7" s="1"/>
  <c r="C19" i="7"/>
  <c r="C20" i="7"/>
  <c r="C21" i="7"/>
  <c r="C22" i="7"/>
  <c r="C23" i="7"/>
  <c r="D73" i="7"/>
  <c r="E73" i="7"/>
  <c r="F73" i="7"/>
  <c r="G73" i="7"/>
  <c r="H73" i="7"/>
  <c r="I73" i="7"/>
  <c r="J73" i="7"/>
  <c r="K73" i="7"/>
  <c r="L73" i="7"/>
  <c r="M73" i="7"/>
  <c r="N73" i="7"/>
  <c r="O73" i="7"/>
  <c r="D38" i="7"/>
  <c r="E38" i="7"/>
  <c r="F38" i="7"/>
  <c r="G38" i="7"/>
  <c r="H38" i="7"/>
  <c r="I38" i="7"/>
  <c r="J38" i="7"/>
  <c r="K38" i="7"/>
  <c r="L38" i="7"/>
  <c r="M38" i="7"/>
  <c r="N38" i="7"/>
  <c r="O38" i="7"/>
  <c r="C38" i="7"/>
  <c r="U69" i="14" l="1"/>
  <c r="T64" i="14"/>
  <c r="T66" i="14" s="1"/>
  <c r="T68" i="14" s="1"/>
  <c r="T84" i="14" s="1"/>
  <c r="V77" i="14"/>
  <c r="U79" i="14"/>
  <c r="T48" i="14"/>
  <c r="R45" i="13"/>
  <c r="Q39" i="13"/>
  <c r="P40" i="11"/>
  <c r="P38" i="11" s="1"/>
  <c r="P50" i="11" s="1"/>
  <c r="Q46" i="11"/>
  <c r="P39" i="11"/>
  <c r="Q45" i="11"/>
  <c r="P39" i="12"/>
  <c r="Q45" i="12"/>
  <c r="P40" i="12"/>
  <c r="Q46" i="12"/>
  <c r="Q49" i="9"/>
  <c r="P40" i="9"/>
  <c r="Q50" i="9"/>
  <c r="Q51" i="9"/>
  <c r="P41" i="9"/>
  <c r="V52" i="9"/>
  <c r="U42" i="9"/>
  <c r="B31" i="4"/>
  <c r="B33" i="4" s="1"/>
  <c r="B10" i="4"/>
  <c r="W53" i="14"/>
  <c r="U71" i="14"/>
  <c r="U73" i="14" s="1"/>
  <c r="V69" i="14"/>
  <c r="W19" i="14"/>
  <c r="W43" i="14"/>
  <c r="V44" i="14"/>
  <c r="X20" i="14"/>
  <c r="S78" i="14"/>
  <c r="S84" i="14"/>
  <c r="V18" i="14"/>
  <c r="V17" i="14"/>
  <c r="U93" i="14"/>
  <c r="U96" i="14" s="1"/>
  <c r="V92" i="14"/>
  <c r="V56" i="14"/>
  <c r="W54" i="14"/>
  <c r="V80" i="14"/>
  <c r="W74" i="14"/>
  <c r="U59" i="14"/>
  <c r="X83" i="14"/>
  <c r="W85" i="14"/>
  <c r="U12" i="14"/>
  <c r="L49" i="10"/>
  <c r="L47" i="10"/>
  <c r="O49" i="10"/>
  <c r="K49" i="10"/>
  <c r="G49" i="10"/>
  <c r="O48" i="10"/>
  <c r="K48" i="10"/>
  <c r="G48" i="10"/>
  <c r="O47" i="10"/>
  <c r="K47" i="10"/>
  <c r="C47" i="10"/>
  <c r="N49" i="10"/>
  <c r="N48" i="10"/>
  <c r="N47" i="10"/>
  <c r="M49" i="10"/>
  <c r="E49" i="10"/>
  <c r="I48" i="10"/>
  <c r="M47" i="10"/>
  <c r="E47" i="10"/>
  <c r="G46" i="13"/>
  <c r="N46" i="13"/>
  <c r="F46" i="13"/>
  <c r="I45" i="13"/>
  <c r="O46" i="13"/>
  <c r="K45" i="13"/>
  <c r="D46" i="13"/>
  <c r="E46" i="13"/>
  <c r="M46" i="13"/>
  <c r="V79" i="14" l="1"/>
  <c r="W77" i="14"/>
  <c r="T50" i="14"/>
  <c r="T52" i="14" s="1"/>
  <c r="T55" i="14" s="1"/>
  <c r="S87" i="14"/>
  <c r="R45" i="11"/>
  <c r="Q39" i="11"/>
  <c r="R46" i="11"/>
  <c r="Q40" i="11"/>
  <c r="Q46" i="13"/>
  <c r="P40" i="13"/>
  <c r="P38" i="13" s="1"/>
  <c r="P50" i="13" s="1"/>
  <c r="P56" i="9"/>
  <c r="S45" i="13"/>
  <c r="R39" i="13"/>
  <c r="P38" i="12"/>
  <c r="P50" i="12" s="1"/>
  <c r="R46" i="12"/>
  <c r="Q40" i="12"/>
  <c r="R45" i="12"/>
  <c r="Q39" i="12"/>
  <c r="W52" i="9"/>
  <c r="V42" i="9"/>
  <c r="R50" i="9"/>
  <c r="Q40" i="9"/>
  <c r="R51" i="9"/>
  <c r="Q41" i="9"/>
  <c r="R49" i="9"/>
  <c r="Q39" i="9"/>
  <c r="Q49" i="10"/>
  <c r="P41" i="10"/>
  <c r="Q48" i="10"/>
  <c r="P40" i="10"/>
  <c r="Q47" i="10"/>
  <c r="P39" i="10"/>
  <c r="X85" i="14"/>
  <c r="Y83" i="14"/>
  <c r="Y20" i="14"/>
  <c r="T78" i="14"/>
  <c r="T87" i="14" s="1"/>
  <c r="X19" i="14"/>
  <c r="U64" i="14"/>
  <c r="X54" i="14"/>
  <c r="W56" i="14"/>
  <c r="W17" i="14"/>
  <c r="V71" i="14"/>
  <c r="V73" i="14" s="1"/>
  <c r="W18" i="14"/>
  <c r="U61" i="14"/>
  <c r="U63" i="14" s="1"/>
  <c r="V59" i="14"/>
  <c r="X53" i="14"/>
  <c r="U14" i="14"/>
  <c r="V12" i="14" s="1"/>
  <c r="X74" i="14"/>
  <c r="W80" i="14"/>
  <c r="V93" i="14"/>
  <c r="V96" i="14" s="1"/>
  <c r="W92" i="14"/>
  <c r="W44" i="14"/>
  <c r="X43" i="14"/>
  <c r="D3" i="7"/>
  <c r="E3" i="7"/>
  <c r="F3" i="7"/>
  <c r="G3" i="7"/>
  <c r="H3" i="7"/>
  <c r="I3" i="7"/>
  <c r="J3" i="7"/>
  <c r="K3" i="7"/>
  <c r="L3" i="7"/>
  <c r="M3" i="7"/>
  <c r="N3" i="7"/>
  <c r="Q38" i="12" l="1"/>
  <c r="Q50" i="12" s="1"/>
  <c r="X77" i="14"/>
  <c r="W79" i="14"/>
  <c r="W69" i="14"/>
  <c r="X69" i="14" s="1"/>
  <c r="U48" i="14"/>
  <c r="R46" i="13"/>
  <c r="Q40" i="13"/>
  <c r="Q38" i="13" s="1"/>
  <c r="Q50" i="13" s="1"/>
  <c r="P38" i="10"/>
  <c r="P53" i="10" s="1"/>
  <c r="S46" i="11"/>
  <c r="R40" i="11"/>
  <c r="T45" i="13"/>
  <c r="S39" i="13"/>
  <c r="Q38" i="11"/>
  <c r="Q50" i="11" s="1"/>
  <c r="S45" i="11"/>
  <c r="R39" i="11"/>
  <c r="S45" i="12"/>
  <c r="R39" i="12"/>
  <c r="S46" i="12"/>
  <c r="R40" i="12"/>
  <c r="S49" i="9"/>
  <c r="R39" i="9"/>
  <c r="Q56" i="9"/>
  <c r="X52" i="9"/>
  <c r="W42" i="9"/>
  <c r="S51" i="9"/>
  <c r="R41" i="9"/>
  <c r="S50" i="9"/>
  <c r="R40" i="9"/>
  <c r="R49" i="10"/>
  <c r="Q41" i="10"/>
  <c r="Q40" i="10"/>
  <c r="R48" i="10"/>
  <c r="R47" i="10"/>
  <c r="Q39" i="10"/>
  <c r="X44" i="14"/>
  <c r="Y43" i="14"/>
  <c r="Y74" i="14"/>
  <c r="Y53" i="14"/>
  <c r="X18" i="14"/>
  <c r="W71" i="14"/>
  <c r="W73" i="14" s="1"/>
  <c r="X56" i="14"/>
  <c r="Y54" i="14"/>
  <c r="Z83" i="14"/>
  <c r="Y85" i="14"/>
  <c r="X80" i="14"/>
  <c r="X17" i="14"/>
  <c r="U66" i="14"/>
  <c r="U68" i="14" s="1"/>
  <c r="U78" i="14" s="1"/>
  <c r="W93" i="14"/>
  <c r="W96" i="14" s="1"/>
  <c r="X92" i="14"/>
  <c r="V14" i="14"/>
  <c r="W12" i="14"/>
  <c r="V61" i="14"/>
  <c r="V63" i="14" s="1"/>
  <c r="W59" i="14"/>
  <c r="Y19" i="14"/>
  <c r="Z20" i="14"/>
  <c r="D26" i="7"/>
  <c r="E26" i="7"/>
  <c r="F26" i="7"/>
  <c r="G26" i="7"/>
  <c r="H26" i="7"/>
  <c r="I26" i="7"/>
  <c r="J26" i="7"/>
  <c r="K26" i="7"/>
  <c r="L26" i="7"/>
  <c r="M26" i="7"/>
  <c r="N26" i="7"/>
  <c r="O26" i="7"/>
  <c r="D27" i="7"/>
  <c r="E27" i="7"/>
  <c r="F27" i="7"/>
  <c r="G27" i="7"/>
  <c r="H27" i="7"/>
  <c r="I27" i="7"/>
  <c r="J27" i="7"/>
  <c r="K27" i="7"/>
  <c r="L27" i="7"/>
  <c r="M27" i="7"/>
  <c r="N27" i="7"/>
  <c r="O27" i="7"/>
  <c r="D28" i="7"/>
  <c r="E28" i="7"/>
  <c r="F28" i="7"/>
  <c r="G28" i="7"/>
  <c r="H28" i="7"/>
  <c r="I28" i="7"/>
  <c r="J28" i="7"/>
  <c r="K28" i="7"/>
  <c r="L28" i="7"/>
  <c r="M28" i="7"/>
  <c r="N28" i="7"/>
  <c r="O28" i="7"/>
  <c r="D29" i="7"/>
  <c r="E29" i="7"/>
  <c r="F29" i="7"/>
  <c r="G29" i="7"/>
  <c r="H29" i="7"/>
  <c r="I29" i="7"/>
  <c r="J29" i="7"/>
  <c r="K29" i="7"/>
  <c r="L29" i="7"/>
  <c r="M29" i="7"/>
  <c r="N29" i="7"/>
  <c r="O29" i="7"/>
  <c r="D30" i="7"/>
  <c r="E30" i="7"/>
  <c r="F30" i="7"/>
  <c r="G30" i="7"/>
  <c r="H30" i="7"/>
  <c r="I30" i="7"/>
  <c r="J30" i="7"/>
  <c r="K30" i="7"/>
  <c r="L30" i="7"/>
  <c r="M30" i="7"/>
  <c r="N30" i="7"/>
  <c r="O30" i="7"/>
  <c r="D31" i="7"/>
  <c r="E31" i="7"/>
  <c r="F31" i="7"/>
  <c r="G31" i="7"/>
  <c r="H31" i="7"/>
  <c r="I31" i="7"/>
  <c r="J31" i="7"/>
  <c r="K31" i="7"/>
  <c r="L31" i="7"/>
  <c r="M31" i="7"/>
  <c r="N31" i="7"/>
  <c r="O31" i="7"/>
  <c r="D32" i="7"/>
  <c r="E32" i="7"/>
  <c r="F32" i="7"/>
  <c r="G32" i="7"/>
  <c r="H32" i="7"/>
  <c r="I32" i="7"/>
  <c r="J32" i="7"/>
  <c r="K32" i="7"/>
  <c r="L32" i="7"/>
  <c r="M32" i="7"/>
  <c r="N32" i="7"/>
  <c r="O32" i="7"/>
  <c r="D33" i="7"/>
  <c r="E33" i="7"/>
  <c r="F33" i="7"/>
  <c r="G33" i="7"/>
  <c r="H33" i="7"/>
  <c r="I33" i="7"/>
  <c r="J33" i="7"/>
  <c r="K33" i="7"/>
  <c r="L33" i="7"/>
  <c r="M33" i="7"/>
  <c r="N33" i="7"/>
  <c r="O33" i="7"/>
  <c r="D34" i="7"/>
  <c r="E34" i="7"/>
  <c r="F34" i="7"/>
  <c r="G34" i="7"/>
  <c r="H34" i="7"/>
  <c r="I34" i="7"/>
  <c r="J34" i="7"/>
  <c r="K34" i="7"/>
  <c r="L34" i="7"/>
  <c r="M34" i="7"/>
  <c r="N34" i="7"/>
  <c r="O34" i="7"/>
  <c r="D35" i="7"/>
  <c r="E35" i="7"/>
  <c r="F35" i="7"/>
  <c r="G35" i="7"/>
  <c r="H35" i="7"/>
  <c r="I35" i="7"/>
  <c r="J35" i="7"/>
  <c r="K35" i="7"/>
  <c r="L35" i="7"/>
  <c r="M35" i="7"/>
  <c r="N35" i="7"/>
  <c r="O35" i="7"/>
  <c r="C27" i="7"/>
  <c r="C30" i="7"/>
  <c r="C31" i="7"/>
  <c r="C32" i="7"/>
  <c r="C33" i="7"/>
  <c r="C34" i="7"/>
  <c r="O3" i="7"/>
  <c r="D24" i="6"/>
  <c r="E24" i="6"/>
  <c r="G24" i="6"/>
  <c r="H24" i="6"/>
  <c r="I24" i="6"/>
  <c r="J24" i="6"/>
  <c r="K24" i="6"/>
  <c r="L24" i="6"/>
  <c r="M24" i="6"/>
  <c r="N36" i="6"/>
  <c r="C24" i="6"/>
  <c r="P34" i="7" l="1"/>
  <c r="P35" i="7"/>
  <c r="P29" i="7"/>
  <c r="P32" i="7"/>
  <c r="P33" i="7"/>
  <c r="Q33" i="7" s="1"/>
  <c r="Q8" i="6"/>
  <c r="Q16" i="7" s="1"/>
  <c r="P8" i="6"/>
  <c r="P16" i="7" s="1"/>
  <c r="W50" i="3"/>
  <c r="W157" i="7" s="1"/>
  <c r="S37" i="3"/>
  <c r="S122" i="7" s="1"/>
  <c r="AA37" i="3"/>
  <c r="AA122" i="7" s="1"/>
  <c r="W24" i="3"/>
  <c r="W86" i="7" s="1"/>
  <c r="U11" i="3"/>
  <c r="U51" i="7" s="1"/>
  <c r="P11" i="3"/>
  <c r="P51" i="7" s="1"/>
  <c r="P50" i="3"/>
  <c r="P157" i="7" s="1"/>
  <c r="X50" i="3"/>
  <c r="X157" i="7" s="1"/>
  <c r="T37" i="3"/>
  <c r="T122" i="7" s="1"/>
  <c r="AB37" i="3"/>
  <c r="AB122" i="7" s="1"/>
  <c r="P24" i="3"/>
  <c r="P86" i="7" s="1"/>
  <c r="X24" i="3"/>
  <c r="X86" i="7" s="1"/>
  <c r="V11" i="3"/>
  <c r="V51" i="7" s="1"/>
  <c r="Q50" i="3"/>
  <c r="Q157" i="7" s="1"/>
  <c r="Y50" i="3"/>
  <c r="Y157" i="7" s="1"/>
  <c r="U37" i="3"/>
  <c r="U122" i="7" s="1"/>
  <c r="O37" i="3"/>
  <c r="O122" i="7" s="1"/>
  <c r="Q24" i="3"/>
  <c r="Q86" i="7" s="1"/>
  <c r="Y24" i="3"/>
  <c r="Y86" i="7" s="1"/>
  <c r="W11" i="3"/>
  <c r="W51" i="7" s="1"/>
  <c r="R50" i="3"/>
  <c r="R157" i="7" s="1"/>
  <c r="Z50" i="3"/>
  <c r="Z157" i="7" s="1"/>
  <c r="V37" i="3"/>
  <c r="V122" i="7" s="1"/>
  <c r="R24" i="3"/>
  <c r="R86" i="7" s="1"/>
  <c r="Z24" i="3"/>
  <c r="Z86" i="7" s="1"/>
  <c r="X11" i="3"/>
  <c r="X51" i="7" s="1"/>
  <c r="S50" i="3"/>
  <c r="S157" i="7" s="1"/>
  <c r="AA50" i="3"/>
  <c r="AA157" i="7" s="1"/>
  <c r="W37" i="3"/>
  <c r="W122" i="7" s="1"/>
  <c r="S24" i="3"/>
  <c r="S86" i="7" s="1"/>
  <c r="AA24" i="3"/>
  <c r="AA86" i="7" s="1"/>
  <c r="Q11" i="3"/>
  <c r="Q51" i="7" s="1"/>
  <c r="Y11" i="3"/>
  <c r="Y51" i="7" s="1"/>
  <c r="T50" i="3"/>
  <c r="T157" i="7" s="1"/>
  <c r="AB50" i="3"/>
  <c r="AB157" i="7" s="1"/>
  <c r="P37" i="3"/>
  <c r="P122" i="7" s="1"/>
  <c r="X37" i="3"/>
  <c r="X122" i="7" s="1"/>
  <c r="T24" i="3"/>
  <c r="T86" i="7" s="1"/>
  <c r="AB24" i="3"/>
  <c r="AB86" i="7" s="1"/>
  <c r="R11" i="3"/>
  <c r="R51" i="7" s="1"/>
  <c r="Z11" i="3"/>
  <c r="Z51" i="7" s="1"/>
  <c r="U50" i="3"/>
  <c r="U157" i="7" s="1"/>
  <c r="O50" i="3"/>
  <c r="O157" i="7" s="1"/>
  <c r="Q37" i="3"/>
  <c r="Q122" i="7" s="1"/>
  <c r="Y37" i="3"/>
  <c r="Y122" i="7" s="1"/>
  <c r="U24" i="3"/>
  <c r="U86" i="7" s="1"/>
  <c r="O24" i="3"/>
  <c r="O86" i="7" s="1"/>
  <c r="S11" i="3"/>
  <c r="S51" i="7" s="1"/>
  <c r="AA11" i="3"/>
  <c r="AA51" i="7" s="1"/>
  <c r="V50" i="3"/>
  <c r="V157" i="7" s="1"/>
  <c r="V24" i="3"/>
  <c r="V86" i="7" s="1"/>
  <c r="AB11" i="3"/>
  <c r="AB51" i="7" s="1"/>
  <c r="R37" i="3"/>
  <c r="R122" i="7" s="1"/>
  <c r="Z37" i="3"/>
  <c r="Z122" i="7" s="1"/>
  <c r="T11" i="3"/>
  <c r="T51" i="7" s="1"/>
  <c r="P31" i="7"/>
  <c r="Q31" i="7" s="1"/>
  <c r="P30" i="7"/>
  <c r="Q30" i="7" s="1"/>
  <c r="P27" i="7"/>
  <c r="Q27" i="7" s="1"/>
  <c r="P28" i="7"/>
  <c r="Q28" i="7" s="1"/>
  <c r="P26" i="7"/>
  <c r="Q26" i="7" s="1"/>
  <c r="Q38" i="10"/>
  <c r="Q53" i="10" s="1"/>
  <c r="X79" i="14"/>
  <c r="Y77" i="14"/>
  <c r="U50" i="14"/>
  <c r="U52" i="14" s="1"/>
  <c r="U55" i="14" s="1"/>
  <c r="U45" i="13"/>
  <c r="T39" i="13"/>
  <c r="T46" i="11"/>
  <c r="S40" i="11"/>
  <c r="R38" i="11"/>
  <c r="R50" i="11" s="1"/>
  <c r="T45" i="11"/>
  <c r="S39" i="11"/>
  <c r="S46" i="13"/>
  <c r="R40" i="13"/>
  <c r="R38" i="13" s="1"/>
  <c r="R50" i="13" s="1"/>
  <c r="Q35" i="7"/>
  <c r="Q29" i="7"/>
  <c r="Q32" i="7"/>
  <c r="Q34" i="7"/>
  <c r="R38" i="12"/>
  <c r="R50" i="12" s="1"/>
  <c r="T45" i="12"/>
  <c r="S39" i="12"/>
  <c r="T46" i="12"/>
  <c r="S40" i="12"/>
  <c r="T50" i="9"/>
  <c r="S40" i="9"/>
  <c r="Y52" i="9"/>
  <c r="X42" i="9"/>
  <c r="T49" i="9"/>
  <c r="S39" i="9"/>
  <c r="T51" i="9"/>
  <c r="S41" i="9"/>
  <c r="R56" i="9"/>
  <c r="S49" i="10"/>
  <c r="R41" i="10"/>
  <c r="R40" i="10"/>
  <c r="S48" i="10"/>
  <c r="S47" i="10"/>
  <c r="R39" i="10"/>
  <c r="J27" i="6"/>
  <c r="C27" i="6"/>
  <c r="I27" i="6"/>
  <c r="G27" i="6"/>
  <c r="K27" i="6"/>
  <c r="F27" i="6"/>
  <c r="L27" i="6"/>
  <c r="H27" i="6"/>
  <c r="E27" i="6"/>
  <c r="D27" i="6"/>
  <c r="M35" i="6"/>
  <c r="M110" i="7" s="1"/>
  <c r="M27" i="6"/>
  <c r="W61" i="14"/>
  <c r="W63" i="14" s="1"/>
  <c r="Y92" i="14"/>
  <c r="X93" i="14"/>
  <c r="X96" i="14" s="1"/>
  <c r="AA83" i="14"/>
  <c r="AA85" i="14" s="1"/>
  <c r="Z85" i="14"/>
  <c r="Y18" i="14"/>
  <c r="Z74" i="14"/>
  <c r="Y44" i="14"/>
  <c r="Z43" i="14"/>
  <c r="U84" i="14"/>
  <c r="U87" i="14" s="1"/>
  <c r="Y17" i="14"/>
  <c r="Z54" i="14"/>
  <c r="Y56" i="14"/>
  <c r="AA20" i="14"/>
  <c r="W14" i="14"/>
  <c r="X71" i="14"/>
  <c r="X73" i="14" s="1"/>
  <c r="Z53" i="14"/>
  <c r="Z19" i="14"/>
  <c r="V64" i="14"/>
  <c r="Y80" i="14"/>
  <c r="T8" i="6"/>
  <c r="T16" i="7" s="1"/>
  <c r="X8" i="6"/>
  <c r="X16" i="7" s="1"/>
  <c r="AB8" i="6"/>
  <c r="AB16" i="7" s="1"/>
  <c r="R8" i="6"/>
  <c r="R16" i="7" s="1"/>
  <c r="Z8" i="6"/>
  <c r="Z16" i="7" s="1"/>
  <c r="S8" i="6"/>
  <c r="S16" i="7" s="1"/>
  <c r="AA8" i="6"/>
  <c r="AA16" i="7" s="1"/>
  <c r="U8" i="6"/>
  <c r="U16" i="7" s="1"/>
  <c r="Y8" i="6"/>
  <c r="Y16" i="7" s="1"/>
  <c r="V8" i="6"/>
  <c r="V16" i="7" s="1"/>
  <c r="W8" i="6"/>
  <c r="W16" i="7" s="1"/>
  <c r="L36" i="6"/>
  <c r="L146" i="7" s="1"/>
  <c r="D36" i="6"/>
  <c r="D5" i="11" s="1"/>
  <c r="K35" i="6"/>
  <c r="K74" i="7" s="1"/>
  <c r="F36" i="6"/>
  <c r="C40" i="6"/>
  <c r="C9" i="13" s="1"/>
  <c r="C31" i="13" s="1"/>
  <c r="H35" i="6"/>
  <c r="G36" i="6"/>
  <c r="G40" i="7" s="1"/>
  <c r="J35" i="6"/>
  <c r="I35" i="6"/>
  <c r="I110" i="7" s="1"/>
  <c r="E35" i="6"/>
  <c r="E4" i="10" s="1"/>
  <c r="N146" i="7"/>
  <c r="N75" i="7"/>
  <c r="N111" i="7"/>
  <c r="O146" i="7"/>
  <c r="O111" i="7"/>
  <c r="O75" i="7"/>
  <c r="L43" i="6"/>
  <c r="L12" i="11" s="1"/>
  <c r="L34" i="11" s="1"/>
  <c r="K42" i="6"/>
  <c r="K46" i="7" s="1"/>
  <c r="K36" i="6"/>
  <c r="K50" i="3" s="1"/>
  <c r="K157" i="7" s="1"/>
  <c r="D43" i="6"/>
  <c r="G43" i="6"/>
  <c r="G12" i="12" s="1"/>
  <c r="L35" i="6"/>
  <c r="C44" i="6"/>
  <c r="C13" i="9" s="1"/>
  <c r="D41" i="6"/>
  <c r="D10" i="11" s="1"/>
  <c r="C39" i="6"/>
  <c r="D39" i="6"/>
  <c r="H38" i="6"/>
  <c r="G41" i="6"/>
  <c r="G45" i="7" s="1"/>
  <c r="C36" i="6"/>
  <c r="C50" i="3" s="1"/>
  <c r="C157" i="7" s="1"/>
  <c r="K38" i="6"/>
  <c r="K26" i="3" s="1"/>
  <c r="K88" i="7" s="1"/>
  <c r="C19" i="3"/>
  <c r="C59" i="7" s="1"/>
  <c r="C37" i="6"/>
  <c r="C6" i="11" s="1"/>
  <c r="K40" i="6"/>
  <c r="K9" i="13" s="1"/>
  <c r="K31" i="13" s="1"/>
  <c r="I38" i="6"/>
  <c r="I7" i="10" s="1"/>
  <c r="H36" i="6"/>
  <c r="H40" i="7" s="1"/>
  <c r="I36" i="6"/>
  <c r="I44" i="6"/>
  <c r="I13" i="11" s="1"/>
  <c r="I35" i="11" s="1"/>
  <c r="L37" i="6"/>
  <c r="L25" i="3" s="1"/>
  <c r="L87" i="7" s="1"/>
  <c r="G35" i="6"/>
  <c r="G39" i="7" s="1"/>
  <c r="I40" i="6"/>
  <c r="I44" i="7" s="1"/>
  <c r="K44" i="6"/>
  <c r="K13" i="10" s="1"/>
  <c r="K35" i="10" s="1"/>
  <c r="I42" i="6"/>
  <c r="I11" i="12" s="1"/>
  <c r="H40" i="6"/>
  <c r="H44" i="7" s="1"/>
  <c r="H42" i="6"/>
  <c r="H11" i="10" s="1"/>
  <c r="H44" i="6"/>
  <c r="L39" i="6"/>
  <c r="L53" i="3" s="1"/>
  <c r="L160" i="7" s="1"/>
  <c r="G37" i="6"/>
  <c r="G41" i="7" s="1"/>
  <c r="D35" i="6"/>
  <c r="D4" i="12" s="1"/>
  <c r="C35" i="6"/>
  <c r="L41" i="6"/>
  <c r="L10" i="12" s="1"/>
  <c r="G39" i="6"/>
  <c r="G8" i="10" s="1"/>
  <c r="D37" i="6"/>
  <c r="D6" i="13" s="1"/>
  <c r="N5" i="11"/>
  <c r="N27" i="11" s="1"/>
  <c r="N5" i="10"/>
  <c r="N27" i="10" s="1"/>
  <c r="N40" i="7"/>
  <c r="N5" i="12"/>
  <c r="N5" i="9"/>
  <c r="N5" i="13"/>
  <c r="N27" i="13" s="1"/>
  <c r="N50" i="3"/>
  <c r="N157" i="7" s="1"/>
  <c r="N24" i="3"/>
  <c r="N11" i="3"/>
  <c r="N51" i="7" s="1"/>
  <c r="N37" i="3"/>
  <c r="N122" i="7" s="1"/>
  <c r="O40" i="7"/>
  <c r="O5" i="11"/>
  <c r="O27" i="11" s="1"/>
  <c r="O5" i="13"/>
  <c r="O27" i="13" s="1"/>
  <c r="O5" i="12"/>
  <c r="O5" i="9"/>
  <c r="O5" i="10"/>
  <c r="O27" i="10" s="1"/>
  <c r="O11" i="3"/>
  <c r="O51" i="7" s="1"/>
  <c r="M49" i="3"/>
  <c r="M156" i="7" s="1"/>
  <c r="C38" i="6"/>
  <c r="J44" i="6"/>
  <c r="N43" i="6"/>
  <c r="F43" i="6"/>
  <c r="J42" i="6"/>
  <c r="N41" i="6"/>
  <c r="F41" i="6"/>
  <c r="J40" i="6"/>
  <c r="N39" i="6"/>
  <c r="F39" i="6"/>
  <c r="J38" i="6"/>
  <c r="N37" i="6"/>
  <c r="F37" i="6"/>
  <c r="J36" i="6"/>
  <c r="N35" i="6"/>
  <c r="F35" i="6"/>
  <c r="C13" i="12"/>
  <c r="C43" i="6"/>
  <c r="G44" i="6"/>
  <c r="K43" i="6"/>
  <c r="G42" i="6"/>
  <c r="K41" i="6"/>
  <c r="G40" i="6"/>
  <c r="K39" i="6"/>
  <c r="G38" i="6"/>
  <c r="K37" i="6"/>
  <c r="G8" i="12"/>
  <c r="G43" i="7"/>
  <c r="E43" i="6"/>
  <c r="E41" i="6"/>
  <c r="M39" i="6"/>
  <c r="C42" i="6"/>
  <c r="N44" i="6"/>
  <c r="F44" i="6"/>
  <c r="J43" i="6"/>
  <c r="N42" i="6"/>
  <c r="F42" i="6"/>
  <c r="J41" i="6"/>
  <c r="N40" i="6"/>
  <c r="F40" i="6"/>
  <c r="J39" i="6"/>
  <c r="N38" i="6"/>
  <c r="F38" i="6"/>
  <c r="J37" i="6"/>
  <c r="C41" i="6"/>
  <c r="M44" i="6"/>
  <c r="E44" i="6"/>
  <c r="I43" i="6"/>
  <c r="M42" i="6"/>
  <c r="E42" i="6"/>
  <c r="I41" i="6"/>
  <c r="M40" i="6"/>
  <c r="E40" i="6"/>
  <c r="I39" i="6"/>
  <c r="M38" i="6"/>
  <c r="E38" i="6"/>
  <c r="I37" i="6"/>
  <c r="M36" i="6"/>
  <c r="E36" i="6"/>
  <c r="C6" i="10"/>
  <c r="M43" i="6"/>
  <c r="M41" i="6"/>
  <c r="E39" i="6"/>
  <c r="M37" i="6"/>
  <c r="E37" i="6"/>
  <c r="L44" i="6"/>
  <c r="D44" i="6"/>
  <c r="H43" i="6"/>
  <c r="L42" i="6"/>
  <c r="D42" i="6"/>
  <c r="H41" i="6"/>
  <c r="L40" i="6"/>
  <c r="D40" i="6"/>
  <c r="H39" i="6"/>
  <c r="L38" i="6"/>
  <c r="D38" i="6"/>
  <c r="H37" i="6"/>
  <c r="J6" i="3"/>
  <c r="J5" i="3"/>
  <c r="J4" i="3"/>
  <c r="J3" i="3"/>
  <c r="J2" i="3"/>
  <c r="H6" i="3"/>
  <c r="H5" i="3"/>
  <c r="H4" i="3"/>
  <c r="H3" i="3"/>
  <c r="H2" i="3"/>
  <c r="F6" i="3"/>
  <c r="F5" i="3"/>
  <c r="F4" i="3"/>
  <c r="F3" i="3"/>
  <c r="F2" i="3"/>
  <c r="D3" i="3"/>
  <c r="D4" i="3"/>
  <c r="D5" i="3"/>
  <c r="D6" i="3"/>
  <c r="D2" i="3"/>
  <c r="I32" i="4"/>
  <c r="G32" i="4"/>
  <c r="E32" i="4"/>
  <c r="C32" i="4"/>
  <c r="I31" i="4"/>
  <c r="G31" i="4"/>
  <c r="E31" i="4"/>
  <c r="C31" i="4"/>
  <c r="I30" i="4"/>
  <c r="G30" i="4"/>
  <c r="E30" i="4"/>
  <c r="C30" i="4"/>
  <c r="C29" i="4"/>
  <c r="J44" i="2"/>
  <c r="J43" i="2"/>
  <c r="J42" i="2"/>
  <c r="J41" i="2"/>
  <c r="J40" i="2"/>
  <c r="J39" i="2"/>
  <c r="J38" i="2"/>
  <c r="J37" i="2"/>
  <c r="J36" i="2"/>
  <c r="J35" i="2"/>
  <c r="J34" i="2"/>
  <c r="J33" i="2"/>
  <c r="J32" i="2"/>
  <c r="J31" i="2"/>
  <c r="J30" i="2"/>
  <c r="J29" i="2"/>
  <c r="J28" i="2"/>
  <c r="J27" i="2"/>
  <c r="J26" i="2"/>
  <c r="J25" i="2"/>
  <c r="J24" i="2"/>
  <c r="J23" i="2"/>
  <c r="J22" i="2"/>
  <c r="J21" i="2"/>
  <c r="J20" i="2"/>
  <c r="J19" i="2"/>
  <c r="J18" i="2"/>
  <c r="J17" i="2"/>
  <c r="J16" i="2"/>
  <c r="J15" i="2"/>
  <c r="J14" i="2"/>
  <c r="J13" i="2"/>
  <c r="J12" i="2"/>
  <c r="J11" i="2"/>
  <c r="J10" i="2"/>
  <c r="J9" i="2"/>
  <c r="J8" i="2"/>
  <c r="J7" i="2"/>
  <c r="J6" i="2"/>
  <c r="J5" i="2"/>
  <c r="J4" i="2"/>
  <c r="J3" i="2"/>
  <c r="H44" i="2"/>
  <c r="H43" i="2"/>
  <c r="H42" i="2"/>
  <c r="H41" i="2"/>
  <c r="H40" i="2"/>
  <c r="H39" i="2"/>
  <c r="H38" i="2"/>
  <c r="H37" i="2"/>
  <c r="H36" i="2"/>
  <c r="H35" i="2"/>
  <c r="H34" i="2"/>
  <c r="H33" i="2"/>
  <c r="H32" i="2"/>
  <c r="H31" i="2"/>
  <c r="H30" i="2"/>
  <c r="H29" i="2"/>
  <c r="H28" i="2"/>
  <c r="H27" i="2"/>
  <c r="H26" i="2"/>
  <c r="H25" i="2"/>
  <c r="H24" i="2"/>
  <c r="H23" i="2"/>
  <c r="H22" i="2"/>
  <c r="H21" i="2"/>
  <c r="H20" i="2"/>
  <c r="H19" i="2"/>
  <c r="H18" i="2"/>
  <c r="H17" i="2"/>
  <c r="H16" i="2"/>
  <c r="H15" i="2"/>
  <c r="H14" i="2"/>
  <c r="H13" i="2"/>
  <c r="H12" i="2"/>
  <c r="H11" i="2"/>
  <c r="H10" i="2"/>
  <c r="H9" i="2"/>
  <c r="H8" i="2"/>
  <c r="H7" i="2"/>
  <c r="H6" i="2"/>
  <c r="H5" i="2"/>
  <c r="H4" i="2"/>
  <c r="H3"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7" i="2"/>
  <c r="F6" i="2"/>
  <c r="F5" i="2"/>
  <c r="F4" i="2"/>
  <c r="F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3" i="2"/>
  <c r="P5" i="7" l="1"/>
  <c r="M39" i="7"/>
  <c r="M74" i="7"/>
  <c r="M10" i="3"/>
  <c r="M4" i="13"/>
  <c r="M26" i="13" s="1"/>
  <c r="M145" i="7"/>
  <c r="K145" i="7"/>
  <c r="M23" i="3"/>
  <c r="M85" i="7" s="1"/>
  <c r="M4" i="11"/>
  <c r="M26" i="11" s="1"/>
  <c r="M4" i="10"/>
  <c r="M26" i="10" s="1"/>
  <c r="M4" i="12"/>
  <c r="M36" i="3"/>
  <c r="M4" i="9"/>
  <c r="K23" i="3"/>
  <c r="P16" i="3"/>
  <c r="P56" i="7" s="1"/>
  <c r="V55" i="3"/>
  <c r="V162" i="7" s="1"/>
  <c r="R42" i="3"/>
  <c r="R127" i="7" s="1"/>
  <c r="Z42" i="3"/>
  <c r="Z127" i="7" s="1"/>
  <c r="V29" i="3"/>
  <c r="V91" i="7" s="1"/>
  <c r="Q16" i="3"/>
  <c r="Q56" i="7" s="1"/>
  <c r="Y16" i="3"/>
  <c r="Y56" i="7" s="1"/>
  <c r="W55" i="3"/>
  <c r="W162" i="7" s="1"/>
  <c r="S42" i="3"/>
  <c r="S127" i="7" s="1"/>
  <c r="AA42" i="3"/>
  <c r="AA127" i="7" s="1"/>
  <c r="W29" i="3"/>
  <c r="W91" i="7" s="1"/>
  <c r="R16" i="3"/>
  <c r="R56" i="7" s="1"/>
  <c r="Z16" i="3"/>
  <c r="Z56" i="7" s="1"/>
  <c r="P55" i="3"/>
  <c r="P162" i="7" s="1"/>
  <c r="X55" i="3"/>
  <c r="X162" i="7" s="1"/>
  <c r="T42" i="3"/>
  <c r="T127" i="7" s="1"/>
  <c r="AB42" i="3"/>
  <c r="AB127" i="7" s="1"/>
  <c r="P29" i="3"/>
  <c r="P91" i="7" s="1"/>
  <c r="X29" i="3"/>
  <c r="X91" i="7" s="1"/>
  <c r="S16" i="3"/>
  <c r="S56" i="7" s="1"/>
  <c r="AA16" i="3"/>
  <c r="AA56" i="7" s="1"/>
  <c r="Q55" i="3"/>
  <c r="Q162" i="7" s="1"/>
  <c r="Y55" i="3"/>
  <c r="Y162" i="7" s="1"/>
  <c r="O55" i="3"/>
  <c r="U42" i="3"/>
  <c r="U127" i="7" s="1"/>
  <c r="Q29" i="3"/>
  <c r="Q91" i="7" s="1"/>
  <c r="Y29" i="3"/>
  <c r="Y91" i="7" s="1"/>
  <c r="O29" i="3"/>
  <c r="T16" i="3"/>
  <c r="T56" i="7" s="1"/>
  <c r="AB16" i="3"/>
  <c r="AB56" i="7" s="1"/>
  <c r="R55" i="3"/>
  <c r="R162" i="7" s="1"/>
  <c r="Z55" i="3"/>
  <c r="Z162" i="7" s="1"/>
  <c r="V42" i="3"/>
  <c r="V127" i="7" s="1"/>
  <c r="R29" i="3"/>
  <c r="R91" i="7" s="1"/>
  <c r="Z29" i="3"/>
  <c r="Z91" i="7" s="1"/>
  <c r="U16" i="3"/>
  <c r="U56" i="7" s="1"/>
  <c r="S55" i="3"/>
  <c r="S162" i="7" s="1"/>
  <c r="AA55" i="3"/>
  <c r="AA162" i="7" s="1"/>
  <c r="W42" i="3"/>
  <c r="W127" i="7" s="1"/>
  <c r="S29" i="3"/>
  <c r="S91" i="7" s="1"/>
  <c r="AA29" i="3"/>
  <c r="AA91" i="7" s="1"/>
  <c r="V16" i="3"/>
  <c r="V56" i="7" s="1"/>
  <c r="T55" i="3"/>
  <c r="T162" i="7" s="1"/>
  <c r="AB55" i="3"/>
  <c r="AB162" i="7" s="1"/>
  <c r="P42" i="3"/>
  <c r="P127" i="7" s="1"/>
  <c r="X42" i="3"/>
  <c r="X127" i="7" s="1"/>
  <c r="T29" i="3"/>
  <c r="T91" i="7" s="1"/>
  <c r="AB29" i="3"/>
  <c r="AB91" i="7" s="1"/>
  <c r="W16" i="3"/>
  <c r="W56" i="7" s="1"/>
  <c r="U55" i="3"/>
  <c r="U162" i="7" s="1"/>
  <c r="O42" i="3"/>
  <c r="O127" i="7" s="1"/>
  <c r="Q42" i="3"/>
  <c r="Q127" i="7" s="1"/>
  <c r="U29" i="3"/>
  <c r="U91" i="7" s="1"/>
  <c r="Y42" i="3"/>
  <c r="Y127" i="7" s="1"/>
  <c r="X16" i="3"/>
  <c r="X56" i="7" s="1"/>
  <c r="P11" i="6"/>
  <c r="P19" i="7" s="1"/>
  <c r="P8" i="7" s="1"/>
  <c r="P53" i="3"/>
  <c r="P160" i="7" s="1"/>
  <c r="X53" i="3"/>
  <c r="X160" i="7" s="1"/>
  <c r="T40" i="3"/>
  <c r="T125" i="7" s="1"/>
  <c r="AB40" i="3"/>
  <c r="AB125" i="7" s="1"/>
  <c r="P27" i="3"/>
  <c r="P89" i="7" s="1"/>
  <c r="X27" i="3"/>
  <c r="X89" i="7" s="1"/>
  <c r="Q14" i="3"/>
  <c r="Q54" i="7" s="1"/>
  <c r="Y14" i="3"/>
  <c r="Y54" i="7" s="1"/>
  <c r="Q53" i="3"/>
  <c r="Q160" i="7" s="1"/>
  <c r="Y53" i="3"/>
  <c r="Y160" i="7" s="1"/>
  <c r="O53" i="3"/>
  <c r="O160" i="7" s="1"/>
  <c r="U40" i="3"/>
  <c r="U125" i="7" s="1"/>
  <c r="Q27" i="3"/>
  <c r="Q89" i="7" s="1"/>
  <c r="Y27" i="3"/>
  <c r="Y89" i="7" s="1"/>
  <c r="O27" i="3"/>
  <c r="R14" i="3"/>
  <c r="R54" i="7" s="1"/>
  <c r="Z14" i="3"/>
  <c r="Z54" i="7" s="1"/>
  <c r="R53" i="3"/>
  <c r="R160" i="7" s="1"/>
  <c r="Z53" i="3"/>
  <c r="Z160" i="7" s="1"/>
  <c r="V40" i="3"/>
  <c r="V125" i="7" s="1"/>
  <c r="R27" i="3"/>
  <c r="R89" i="7" s="1"/>
  <c r="Z27" i="3"/>
  <c r="Z89" i="7" s="1"/>
  <c r="S14" i="3"/>
  <c r="S54" i="7" s="1"/>
  <c r="AA14" i="3"/>
  <c r="AA54" i="7" s="1"/>
  <c r="P14" i="3"/>
  <c r="P54" i="7" s="1"/>
  <c r="S53" i="3"/>
  <c r="S160" i="7" s="1"/>
  <c r="AA53" i="3"/>
  <c r="AA160" i="7" s="1"/>
  <c r="W40" i="3"/>
  <c r="W125" i="7" s="1"/>
  <c r="S27" i="3"/>
  <c r="S89" i="7" s="1"/>
  <c r="AA27" i="3"/>
  <c r="AA89" i="7" s="1"/>
  <c r="T14" i="3"/>
  <c r="T54" i="7" s="1"/>
  <c r="AB14" i="3"/>
  <c r="AB54" i="7" s="1"/>
  <c r="T53" i="3"/>
  <c r="T160" i="7" s="1"/>
  <c r="AB53" i="3"/>
  <c r="AB160" i="7" s="1"/>
  <c r="P40" i="3"/>
  <c r="P125" i="7" s="1"/>
  <c r="X40" i="3"/>
  <c r="X125" i="7" s="1"/>
  <c r="T27" i="3"/>
  <c r="T89" i="7" s="1"/>
  <c r="AB27" i="3"/>
  <c r="AB89" i="7" s="1"/>
  <c r="U14" i="3"/>
  <c r="U54" i="7" s="1"/>
  <c r="U53" i="3"/>
  <c r="U160" i="7" s="1"/>
  <c r="Q40" i="3"/>
  <c r="Q125" i="7" s="1"/>
  <c r="Y40" i="3"/>
  <c r="Y125" i="7" s="1"/>
  <c r="O40" i="3"/>
  <c r="O125" i="7" s="1"/>
  <c r="U27" i="3"/>
  <c r="U89" i="7" s="1"/>
  <c r="V14" i="3"/>
  <c r="V54" i="7" s="1"/>
  <c r="V53" i="3"/>
  <c r="V160" i="7" s="1"/>
  <c r="R40" i="3"/>
  <c r="R125" i="7" s="1"/>
  <c r="Z40" i="3"/>
  <c r="Z125" i="7" s="1"/>
  <c r="V27" i="3"/>
  <c r="V89" i="7" s="1"/>
  <c r="W14" i="3"/>
  <c r="W54" i="7" s="1"/>
  <c r="S40" i="3"/>
  <c r="S125" i="7" s="1"/>
  <c r="AA40" i="3"/>
  <c r="AA125" i="7" s="1"/>
  <c r="W27" i="3"/>
  <c r="W89" i="7" s="1"/>
  <c r="X14" i="3"/>
  <c r="X54" i="7" s="1"/>
  <c r="W53" i="3"/>
  <c r="W160" i="7" s="1"/>
  <c r="C8" i="10"/>
  <c r="C14" i="3"/>
  <c r="C54" i="7" s="1"/>
  <c r="P14" i="6"/>
  <c r="P22" i="7" s="1"/>
  <c r="P11" i="7" s="1"/>
  <c r="Q56" i="3"/>
  <c r="Q163" i="7" s="1"/>
  <c r="Y56" i="3"/>
  <c r="Y163" i="7" s="1"/>
  <c r="U43" i="3"/>
  <c r="U128" i="7" s="1"/>
  <c r="O43" i="3"/>
  <c r="Q30" i="3"/>
  <c r="Q92" i="7" s="1"/>
  <c r="Y30" i="3"/>
  <c r="Y92" i="7" s="1"/>
  <c r="U17" i="3"/>
  <c r="U57" i="7" s="1"/>
  <c r="R56" i="3"/>
  <c r="R163" i="7" s="1"/>
  <c r="Z56" i="3"/>
  <c r="Z163" i="7" s="1"/>
  <c r="V43" i="3"/>
  <c r="V128" i="7" s="1"/>
  <c r="R30" i="3"/>
  <c r="R92" i="7" s="1"/>
  <c r="Z30" i="3"/>
  <c r="Z92" i="7" s="1"/>
  <c r="V17" i="3"/>
  <c r="V57" i="7" s="1"/>
  <c r="S56" i="3"/>
  <c r="S163" i="7" s="1"/>
  <c r="AA56" i="3"/>
  <c r="AA163" i="7" s="1"/>
  <c r="W43" i="3"/>
  <c r="W128" i="7" s="1"/>
  <c r="S30" i="3"/>
  <c r="S92" i="7" s="1"/>
  <c r="AA30" i="3"/>
  <c r="AA92" i="7" s="1"/>
  <c r="W17" i="3"/>
  <c r="W57" i="7" s="1"/>
  <c r="T56" i="3"/>
  <c r="T163" i="7" s="1"/>
  <c r="AB56" i="3"/>
  <c r="AB163" i="7" s="1"/>
  <c r="P43" i="3"/>
  <c r="P128" i="7" s="1"/>
  <c r="X43" i="3"/>
  <c r="X128" i="7" s="1"/>
  <c r="T30" i="3"/>
  <c r="T92" i="7" s="1"/>
  <c r="AB30" i="3"/>
  <c r="AB92" i="7" s="1"/>
  <c r="X17" i="3"/>
  <c r="X57" i="7" s="1"/>
  <c r="U56" i="3"/>
  <c r="U163" i="7" s="1"/>
  <c r="O56" i="3"/>
  <c r="Q43" i="3"/>
  <c r="Q128" i="7" s="1"/>
  <c r="Y43" i="3"/>
  <c r="Y128" i="7" s="1"/>
  <c r="U30" i="3"/>
  <c r="U92" i="7" s="1"/>
  <c r="O30" i="3"/>
  <c r="O92" i="7" s="1"/>
  <c r="Q17" i="3"/>
  <c r="Q57" i="7" s="1"/>
  <c r="Y17" i="3"/>
  <c r="Y57" i="7" s="1"/>
  <c r="V56" i="3"/>
  <c r="V163" i="7" s="1"/>
  <c r="R43" i="3"/>
  <c r="R128" i="7" s="1"/>
  <c r="Z43" i="3"/>
  <c r="Z128" i="7" s="1"/>
  <c r="V30" i="3"/>
  <c r="V92" i="7" s="1"/>
  <c r="R17" i="3"/>
  <c r="R57" i="7" s="1"/>
  <c r="Z17" i="3"/>
  <c r="Z57" i="7" s="1"/>
  <c r="W56" i="3"/>
  <c r="W163" i="7" s="1"/>
  <c r="S43" i="3"/>
  <c r="S128" i="7" s="1"/>
  <c r="AA43" i="3"/>
  <c r="AA128" i="7" s="1"/>
  <c r="W30" i="3"/>
  <c r="W92" i="7" s="1"/>
  <c r="S17" i="3"/>
  <c r="S57" i="7" s="1"/>
  <c r="AA17" i="3"/>
  <c r="AA57" i="7" s="1"/>
  <c r="AB17" i="3"/>
  <c r="AB57" i="7" s="1"/>
  <c r="P17" i="3"/>
  <c r="P57" i="7" s="1"/>
  <c r="P56" i="3"/>
  <c r="P163" i="7" s="1"/>
  <c r="X56" i="3"/>
  <c r="X163" i="7" s="1"/>
  <c r="T43" i="3"/>
  <c r="T128" i="7" s="1"/>
  <c r="X30" i="3"/>
  <c r="X92" i="7" s="1"/>
  <c r="AB43" i="3"/>
  <c r="AB128" i="7" s="1"/>
  <c r="P30" i="3"/>
  <c r="P92" i="7" s="1"/>
  <c r="T17" i="3"/>
  <c r="T57" i="7" s="1"/>
  <c r="W58" i="3"/>
  <c r="W165" i="7" s="1"/>
  <c r="S45" i="3"/>
  <c r="S130" i="7" s="1"/>
  <c r="AA45" i="3"/>
  <c r="AA130" i="7" s="1"/>
  <c r="W32" i="3"/>
  <c r="W94" i="7" s="1"/>
  <c r="U19" i="3"/>
  <c r="U59" i="7" s="1"/>
  <c r="P58" i="3"/>
  <c r="P165" i="7" s="1"/>
  <c r="X58" i="3"/>
  <c r="X165" i="7" s="1"/>
  <c r="T45" i="3"/>
  <c r="T130" i="7" s="1"/>
  <c r="AB45" i="3"/>
  <c r="AB130" i="7" s="1"/>
  <c r="P32" i="3"/>
  <c r="P94" i="7" s="1"/>
  <c r="X32" i="3"/>
  <c r="X94" i="7" s="1"/>
  <c r="V19" i="3"/>
  <c r="V59" i="7" s="1"/>
  <c r="Q58" i="3"/>
  <c r="Q165" i="7" s="1"/>
  <c r="Y58" i="3"/>
  <c r="Y165" i="7" s="1"/>
  <c r="U45" i="3"/>
  <c r="U130" i="7" s="1"/>
  <c r="O45" i="3"/>
  <c r="O130" i="7" s="1"/>
  <c r="Q32" i="3"/>
  <c r="Q94" i="7" s="1"/>
  <c r="Y32" i="3"/>
  <c r="Y94" i="7" s="1"/>
  <c r="W19" i="3"/>
  <c r="W59" i="7" s="1"/>
  <c r="R58" i="3"/>
  <c r="R165" i="7" s="1"/>
  <c r="Z58" i="3"/>
  <c r="Z165" i="7" s="1"/>
  <c r="V45" i="3"/>
  <c r="V130" i="7" s="1"/>
  <c r="R32" i="3"/>
  <c r="R94" i="7" s="1"/>
  <c r="Z32" i="3"/>
  <c r="Z94" i="7" s="1"/>
  <c r="X19" i="3"/>
  <c r="X59" i="7" s="1"/>
  <c r="S58" i="3"/>
  <c r="S165" i="7" s="1"/>
  <c r="AA58" i="3"/>
  <c r="AA165" i="7" s="1"/>
  <c r="W45" i="3"/>
  <c r="W130" i="7" s="1"/>
  <c r="S32" i="3"/>
  <c r="S94" i="7" s="1"/>
  <c r="AA32" i="3"/>
  <c r="AA94" i="7" s="1"/>
  <c r="Q19" i="3"/>
  <c r="Q59" i="7" s="1"/>
  <c r="T58" i="3"/>
  <c r="T165" i="7" s="1"/>
  <c r="AB58" i="3"/>
  <c r="AB165" i="7" s="1"/>
  <c r="P45" i="3"/>
  <c r="P130" i="7" s="1"/>
  <c r="X45" i="3"/>
  <c r="X130" i="7" s="1"/>
  <c r="T32" i="3"/>
  <c r="T94" i="7" s="1"/>
  <c r="AB32" i="3"/>
  <c r="AB94" i="7" s="1"/>
  <c r="R19" i="3"/>
  <c r="R59" i="7" s="1"/>
  <c r="Z19" i="3"/>
  <c r="Z59" i="7" s="1"/>
  <c r="U58" i="3"/>
  <c r="U165" i="7" s="1"/>
  <c r="O58" i="3"/>
  <c r="O165" i="7" s="1"/>
  <c r="Q45" i="3"/>
  <c r="Q130" i="7" s="1"/>
  <c r="Y45" i="3"/>
  <c r="Y130" i="7" s="1"/>
  <c r="U32" i="3"/>
  <c r="U94" i="7" s="1"/>
  <c r="O32" i="3"/>
  <c r="S19" i="3"/>
  <c r="S59" i="7" s="1"/>
  <c r="AA19" i="3"/>
  <c r="AA59" i="7" s="1"/>
  <c r="P19" i="3"/>
  <c r="P59" i="7" s="1"/>
  <c r="R45" i="3"/>
  <c r="R130" i="7" s="1"/>
  <c r="Z45" i="3"/>
  <c r="Z130" i="7" s="1"/>
  <c r="V58" i="3"/>
  <c r="V165" i="7" s="1"/>
  <c r="V32" i="3"/>
  <c r="V94" i="7" s="1"/>
  <c r="T19" i="3"/>
  <c r="T59" i="7" s="1"/>
  <c r="Y19" i="3"/>
  <c r="Y59" i="7" s="1"/>
  <c r="AB19" i="3"/>
  <c r="AB59" i="7" s="1"/>
  <c r="S54" i="3"/>
  <c r="S161" i="7" s="1"/>
  <c r="AA54" i="3"/>
  <c r="AA161" i="7" s="1"/>
  <c r="W41" i="3"/>
  <c r="W126" i="7" s="1"/>
  <c r="S28" i="3"/>
  <c r="S90" i="7" s="1"/>
  <c r="AA28" i="3"/>
  <c r="AA90" i="7" s="1"/>
  <c r="U15" i="3"/>
  <c r="U55" i="7" s="1"/>
  <c r="T54" i="3"/>
  <c r="T161" i="7" s="1"/>
  <c r="AB54" i="3"/>
  <c r="AB161" i="7" s="1"/>
  <c r="P41" i="3"/>
  <c r="P126" i="7" s="1"/>
  <c r="X41" i="3"/>
  <c r="X126" i="7" s="1"/>
  <c r="T28" i="3"/>
  <c r="T90" i="7" s="1"/>
  <c r="AB28" i="3"/>
  <c r="AB90" i="7" s="1"/>
  <c r="V15" i="3"/>
  <c r="V55" i="7" s="1"/>
  <c r="U54" i="3"/>
  <c r="U161" i="7" s="1"/>
  <c r="O54" i="3"/>
  <c r="Q41" i="3"/>
  <c r="Q126" i="7" s="1"/>
  <c r="Y41" i="3"/>
  <c r="Y126" i="7" s="1"/>
  <c r="U28" i="3"/>
  <c r="U90" i="7" s="1"/>
  <c r="O28" i="3"/>
  <c r="O90" i="7" s="1"/>
  <c r="W15" i="3"/>
  <c r="W55" i="7" s="1"/>
  <c r="V54" i="3"/>
  <c r="V161" i="7" s="1"/>
  <c r="R41" i="3"/>
  <c r="R126" i="7" s="1"/>
  <c r="Z41" i="3"/>
  <c r="Z126" i="7" s="1"/>
  <c r="V28" i="3"/>
  <c r="V90" i="7" s="1"/>
  <c r="X15" i="3"/>
  <c r="X55" i="7" s="1"/>
  <c r="P15" i="3"/>
  <c r="P55" i="7" s="1"/>
  <c r="W54" i="3"/>
  <c r="W161" i="7" s="1"/>
  <c r="S41" i="3"/>
  <c r="S126" i="7" s="1"/>
  <c r="AA41" i="3"/>
  <c r="AA126" i="7" s="1"/>
  <c r="W28" i="3"/>
  <c r="W90" i="7" s="1"/>
  <c r="Q15" i="3"/>
  <c r="Q55" i="7" s="1"/>
  <c r="Y15" i="3"/>
  <c r="Y55" i="7" s="1"/>
  <c r="P54" i="3"/>
  <c r="P161" i="7" s="1"/>
  <c r="X54" i="3"/>
  <c r="X161" i="7" s="1"/>
  <c r="T41" i="3"/>
  <c r="T126" i="7" s="1"/>
  <c r="AB41" i="3"/>
  <c r="AB126" i="7" s="1"/>
  <c r="P28" i="3"/>
  <c r="P90" i="7" s="1"/>
  <c r="X28" i="3"/>
  <c r="X90" i="7" s="1"/>
  <c r="R15" i="3"/>
  <c r="R55" i="7" s="1"/>
  <c r="Z15" i="3"/>
  <c r="Z55" i="7" s="1"/>
  <c r="Q54" i="3"/>
  <c r="Q161" i="7" s="1"/>
  <c r="Y54" i="3"/>
  <c r="Y161" i="7" s="1"/>
  <c r="U41" i="3"/>
  <c r="U126" i="7" s="1"/>
  <c r="O41" i="3"/>
  <c r="Q28" i="3"/>
  <c r="Q90" i="7" s="1"/>
  <c r="Y28" i="3"/>
  <c r="Y90" i="7" s="1"/>
  <c r="S15" i="3"/>
  <c r="S55" i="7" s="1"/>
  <c r="AA15" i="3"/>
  <c r="AA55" i="7" s="1"/>
  <c r="R54" i="3"/>
  <c r="R161" i="7" s="1"/>
  <c r="Z28" i="3"/>
  <c r="Z90" i="7" s="1"/>
  <c r="AB15" i="3"/>
  <c r="AB55" i="7" s="1"/>
  <c r="Z54" i="3"/>
  <c r="Z161" i="7" s="1"/>
  <c r="V41" i="3"/>
  <c r="V126" i="7" s="1"/>
  <c r="R28" i="3"/>
  <c r="R90" i="7" s="1"/>
  <c r="T15" i="3"/>
  <c r="T55" i="7" s="1"/>
  <c r="T57" i="3"/>
  <c r="T164" i="7" s="1"/>
  <c r="AB57" i="3"/>
  <c r="AB164" i="7" s="1"/>
  <c r="P44" i="3"/>
  <c r="P129" i="7" s="1"/>
  <c r="X44" i="3"/>
  <c r="X129" i="7" s="1"/>
  <c r="T31" i="3"/>
  <c r="T93" i="7" s="1"/>
  <c r="AB31" i="3"/>
  <c r="AB93" i="7" s="1"/>
  <c r="Q18" i="3"/>
  <c r="Q58" i="7" s="1"/>
  <c r="Y18" i="3"/>
  <c r="Y58" i="7" s="1"/>
  <c r="U57" i="3"/>
  <c r="U164" i="7" s="1"/>
  <c r="Q44" i="3"/>
  <c r="Q129" i="7" s="1"/>
  <c r="Y44" i="3"/>
  <c r="Y129" i="7" s="1"/>
  <c r="O44" i="3"/>
  <c r="O129" i="7" s="1"/>
  <c r="U31" i="3"/>
  <c r="U93" i="7" s="1"/>
  <c r="R18" i="3"/>
  <c r="R58" i="7" s="1"/>
  <c r="Z18" i="3"/>
  <c r="Z58" i="7" s="1"/>
  <c r="V57" i="3"/>
  <c r="V164" i="7" s="1"/>
  <c r="R44" i="3"/>
  <c r="R129" i="7" s="1"/>
  <c r="Z44" i="3"/>
  <c r="Z129" i="7" s="1"/>
  <c r="V31" i="3"/>
  <c r="V93" i="7" s="1"/>
  <c r="S18" i="3"/>
  <c r="S58" i="7" s="1"/>
  <c r="AA18" i="3"/>
  <c r="AA58" i="7" s="1"/>
  <c r="W57" i="3"/>
  <c r="W164" i="7" s="1"/>
  <c r="S44" i="3"/>
  <c r="S129" i="7" s="1"/>
  <c r="AA44" i="3"/>
  <c r="AA129" i="7" s="1"/>
  <c r="W31" i="3"/>
  <c r="W93" i="7" s="1"/>
  <c r="T18" i="3"/>
  <c r="T58" i="7" s="1"/>
  <c r="AB18" i="3"/>
  <c r="AB58" i="7" s="1"/>
  <c r="P57" i="3"/>
  <c r="P164" i="7" s="1"/>
  <c r="X57" i="3"/>
  <c r="X164" i="7" s="1"/>
  <c r="T44" i="3"/>
  <c r="T129" i="7" s="1"/>
  <c r="AB44" i="3"/>
  <c r="AB129" i="7" s="1"/>
  <c r="P31" i="3"/>
  <c r="P93" i="7" s="1"/>
  <c r="X31" i="3"/>
  <c r="X93" i="7" s="1"/>
  <c r="U18" i="3"/>
  <c r="U58" i="7" s="1"/>
  <c r="Q57" i="3"/>
  <c r="Q164" i="7" s="1"/>
  <c r="Y57" i="3"/>
  <c r="Y164" i="7" s="1"/>
  <c r="O57" i="3"/>
  <c r="U44" i="3"/>
  <c r="U129" i="7" s="1"/>
  <c r="Q31" i="3"/>
  <c r="Q93" i="7" s="1"/>
  <c r="Y31" i="3"/>
  <c r="Y93" i="7" s="1"/>
  <c r="O31" i="3"/>
  <c r="O93" i="7" s="1"/>
  <c r="V18" i="3"/>
  <c r="V58" i="7" s="1"/>
  <c r="P18" i="3"/>
  <c r="P58" i="7" s="1"/>
  <c r="R57" i="3"/>
  <c r="R164" i="7" s="1"/>
  <c r="Z57" i="3"/>
  <c r="Z164" i="7" s="1"/>
  <c r="V44" i="3"/>
  <c r="V129" i="7" s="1"/>
  <c r="R31" i="3"/>
  <c r="R93" i="7" s="1"/>
  <c r="Z31" i="3"/>
  <c r="Z93" i="7" s="1"/>
  <c r="W18" i="3"/>
  <c r="W58" i="7" s="1"/>
  <c r="S31" i="3"/>
  <c r="S93" i="7" s="1"/>
  <c r="W44" i="3"/>
  <c r="W129" i="7" s="1"/>
  <c r="AA31" i="3"/>
  <c r="AA93" i="7" s="1"/>
  <c r="X18" i="3"/>
  <c r="X58" i="7" s="1"/>
  <c r="S57" i="3"/>
  <c r="S164" i="7" s="1"/>
  <c r="AA57" i="3"/>
  <c r="AA164" i="7" s="1"/>
  <c r="C4" i="10"/>
  <c r="C10" i="3"/>
  <c r="P12" i="3"/>
  <c r="P52" i="7" s="1"/>
  <c r="R51" i="3"/>
  <c r="R158" i="7" s="1"/>
  <c r="Z51" i="3"/>
  <c r="Z158" i="7" s="1"/>
  <c r="V38" i="3"/>
  <c r="V123" i="7" s="1"/>
  <c r="R25" i="3"/>
  <c r="R87" i="7" s="1"/>
  <c r="Z25" i="3"/>
  <c r="Z87" i="7" s="1"/>
  <c r="Q12" i="3"/>
  <c r="Q52" i="7" s="1"/>
  <c r="Y12" i="3"/>
  <c r="Y52" i="7" s="1"/>
  <c r="S51" i="3"/>
  <c r="S158" i="7" s="1"/>
  <c r="AA51" i="3"/>
  <c r="AA158" i="7" s="1"/>
  <c r="W38" i="3"/>
  <c r="W123" i="7" s="1"/>
  <c r="S25" i="3"/>
  <c r="S87" i="7" s="1"/>
  <c r="AA25" i="3"/>
  <c r="AA87" i="7" s="1"/>
  <c r="R12" i="3"/>
  <c r="R52" i="7" s="1"/>
  <c r="Z12" i="3"/>
  <c r="Z52" i="7" s="1"/>
  <c r="P9" i="6"/>
  <c r="P17" i="7" s="1"/>
  <c r="P6" i="7" s="1"/>
  <c r="T51" i="3"/>
  <c r="T158" i="7" s="1"/>
  <c r="AB51" i="3"/>
  <c r="AB158" i="7" s="1"/>
  <c r="P38" i="3"/>
  <c r="P123" i="7" s="1"/>
  <c r="X38" i="3"/>
  <c r="X123" i="7" s="1"/>
  <c r="T25" i="3"/>
  <c r="T87" i="7" s="1"/>
  <c r="AB25" i="3"/>
  <c r="AB87" i="7" s="1"/>
  <c r="S12" i="3"/>
  <c r="S52" i="7" s="1"/>
  <c r="AA12" i="3"/>
  <c r="AA52" i="7" s="1"/>
  <c r="U51" i="3"/>
  <c r="U158" i="7" s="1"/>
  <c r="Q38" i="3"/>
  <c r="Q123" i="7" s="1"/>
  <c r="Y38" i="3"/>
  <c r="Y123" i="7" s="1"/>
  <c r="O38" i="3"/>
  <c r="U25" i="3"/>
  <c r="U87" i="7" s="1"/>
  <c r="T12" i="3"/>
  <c r="T52" i="7" s="1"/>
  <c r="AB12" i="3"/>
  <c r="AB52" i="7" s="1"/>
  <c r="V51" i="3"/>
  <c r="V158" i="7" s="1"/>
  <c r="R38" i="3"/>
  <c r="R123" i="7" s="1"/>
  <c r="Z38" i="3"/>
  <c r="Z123" i="7" s="1"/>
  <c r="V25" i="3"/>
  <c r="V87" i="7" s="1"/>
  <c r="U12" i="3"/>
  <c r="U52" i="7" s="1"/>
  <c r="W51" i="3"/>
  <c r="W158" i="7" s="1"/>
  <c r="S38" i="3"/>
  <c r="S123" i="7" s="1"/>
  <c r="AA38" i="3"/>
  <c r="AA123" i="7" s="1"/>
  <c r="W25" i="3"/>
  <c r="W87" i="7" s="1"/>
  <c r="V12" i="3"/>
  <c r="V52" i="7" s="1"/>
  <c r="P51" i="3"/>
  <c r="P158" i="7" s="1"/>
  <c r="X51" i="3"/>
  <c r="X158" i="7" s="1"/>
  <c r="T38" i="3"/>
  <c r="T123" i="7" s="1"/>
  <c r="AB38" i="3"/>
  <c r="AB123" i="7" s="1"/>
  <c r="P25" i="3"/>
  <c r="P87" i="7" s="1"/>
  <c r="X25" i="3"/>
  <c r="X87" i="7" s="1"/>
  <c r="W12" i="3"/>
  <c r="W52" i="7" s="1"/>
  <c r="O51" i="3"/>
  <c r="O158" i="7" s="1"/>
  <c r="X12" i="3"/>
  <c r="X52" i="7" s="1"/>
  <c r="U38" i="3"/>
  <c r="U123" i="7" s="1"/>
  <c r="Q51" i="3"/>
  <c r="Q158" i="7" s="1"/>
  <c r="O25" i="3"/>
  <c r="O87" i="7" s="1"/>
  <c r="Y25" i="3"/>
  <c r="Y87" i="7" s="1"/>
  <c r="Y51" i="3"/>
  <c r="Y158" i="7" s="1"/>
  <c r="Q25" i="3"/>
  <c r="Q87" i="7" s="1"/>
  <c r="P10" i="6"/>
  <c r="P18" i="7" s="1"/>
  <c r="P7" i="7" s="1"/>
  <c r="U52" i="3"/>
  <c r="U159" i="7" s="1"/>
  <c r="O52" i="3"/>
  <c r="O159" i="7" s="1"/>
  <c r="Q39" i="3"/>
  <c r="Q124" i="7" s="1"/>
  <c r="Y39" i="3"/>
  <c r="Y124" i="7" s="1"/>
  <c r="U26" i="3"/>
  <c r="U88" i="7" s="1"/>
  <c r="O26" i="3"/>
  <c r="O88" i="7" s="1"/>
  <c r="U13" i="3"/>
  <c r="U53" i="7" s="1"/>
  <c r="V52" i="3"/>
  <c r="V159" i="7" s="1"/>
  <c r="R39" i="3"/>
  <c r="R124" i="7" s="1"/>
  <c r="Z39" i="3"/>
  <c r="Z124" i="7" s="1"/>
  <c r="V26" i="3"/>
  <c r="V88" i="7" s="1"/>
  <c r="V13" i="3"/>
  <c r="V53" i="7" s="1"/>
  <c r="P13" i="3"/>
  <c r="P53" i="7" s="1"/>
  <c r="W52" i="3"/>
  <c r="W159" i="7" s="1"/>
  <c r="S39" i="3"/>
  <c r="S124" i="7" s="1"/>
  <c r="AA39" i="3"/>
  <c r="AA124" i="7" s="1"/>
  <c r="W26" i="3"/>
  <c r="W88" i="7" s="1"/>
  <c r="W13" i="3"/>
  <c r="W53" i="7" s="1"/>
  <c r="P52" i="3"/>
  <c r="P159" i="7" s="1"/>
  <c r="X52" i="3"/>
  <c r="X159" i="7" s="1"/>
  <c r="T39" i="3"/>
  <c r="T124" i="7" s="1"/>
  <c r="AB39" i="3"/>
  <c r="AB124" i="7" s="1"/>
  <c r="P26" i="3"/>
  <c r="P88" i="7" s="1"/>
  <c r="X26" i="3"/>
  <c r="X88" i="7" s="1"/>
  <c r="X13" i="3"/>
  <c r="X53" i="7" s="1"/>
  <c r="Q52" i="3"/>
  <c r="Q159" i="7" s="1"/>
  <c r="Y52" i="3"/>
  <c r="Y159" i="7" s="1"/>
  <c r="U39" i="3"/>
  <c r="U124" i="7" s="1"/>
  <c r="O39" i="3"/>
  <c r="O124" i="7" s="1"/>
  <c r="Q26" i="3"/>
  <c r="Q88" i="7" s="1"/>
  <c r="Y26" i="3"/>
  <c r="Y88" i="7" s="1"/>
  <c r="Q13" i="3"/>
  <c r="Q53" i="7" s="1"/>
  <c r="Y13" i="3"/>
  <c r="Y53" i="7" s="1"/>
  <c r="R52" i="3"/>
  <c r="R159" i="7" s="1"/>
  <c r="Z52" i="3"/>
  <c r="Z159" i="7" s="1"/>
  <c r="V39" i="3"/>
  <c r="V124" i="7" s="1"/>
  <c r="R26" i="3"/>
  <c r="R88" i="7" s="1"/>
  <c r="Z26" i="3"/>
  <c r="Z88" i="7" s="1"/>
  <c r="R13" i="3"/>
  <c r="R53" i="7" s="1"/>
  <c r="Z13" i="3"/>
  <c r="Z53" i="7" s="1"/>
  <c r="S52" i="3"/>
  <c r="S159" i="7" s="1"/>
  <c r="AA52" i="3"/>
  <c r="AA159" i="7" s="1"/>
  <c r="W39" i="3"/>
  <c r="W124" i="7" s="1"/>
  <c r="S26" i="3"/>
  <c r="S88" i="7" s="1"/>
  <c r="AA26" i="3"/>
  <c r="AA88" i="7" s="1"/>
  <c r="S13" i="3"/>
  <c r="S53" i="7" s="1"/>
  <c r="AA13" i="3"/>
  <c r="AA53" i="7" s="1"/>
  <c r="T26" i="3"/>
  <c r="T88" i="7" s="1"/>
  <c r="AB26" i="3"/>
  <c r="AB88" i="7" s="1"/>
  <c r="T13" i="3"/>
  <c r="T53" i="7" s="1"/>
  <c r="AB13" i="3"/>
  <c r="AB53" i="7" s="1"/>
  <c r="T52" i="3"/>
  <c r="T159" i="7" s="1"/>
  <c r="AB52" i="3"/>
  <c r="AB159" i="7" s="1"/>
  <c r="P39" i="3"/>
  <c r="P124" i="7" s="1"/>
  <c r="X39" i="3"/>
  <c r="X124" i="7" s="1"/>
  <c r="P7" i="6"/>
  <c r="T49" i="3"/>
  <c r="AB49" i="3"/>
  <c r="P36" i="3"/>
  <c r="X36" i="3"/>
  <c r="T23" i="3"/>
  <c r="AB23" i="3"/>
  <c r="Q10" i="3"/>
  <c r="Y10" i="3"/>
  <c r="U49" i="3"/>
  <c r="Q36" i="3"/>
  <c r="Y36" i="3"/>
  <c r="U23" i="3"/>
  <c r="R10" i="3"/>
  <c r="Z10" i="3"/>
  <c r="V49" i="3"/>
  <c r="R36" i="3"/>
  <c r="Z36" i="3"/>
  <c r="V23" i="3"/>
  <c r="S10" i="3"/>
  <c r="AA10" i="3"/>
  <c r="W49" i="3"/>
  <c r="S36" i="3"/>
  <c r="AA36" i="3"/>
  <c r="O36" i="3"/>
  <c r="O121" i="7" s="1"/>
  <c r="W23" i="3"/>
  <c r="T10" i="3"/>
  <c r="AB10" i="3"/>
  <c r="P49" i="3"/>
  <c r="X49" i="3"/>
  <c r="T36" i="3"/>
  <c r="AB36" i="3"/>
  <c r="P23" i="3"/>
  <c r="X23" i="3"/>
  <c r="U10" i="3"/>
  <c r="Q49" i="3"/>
  <c r="Y49" i="3"/>
  <c r="U36" i="3"/>
  <c r="Q23" i="3"/>
  <c r="Y23" i="3"/>
  <c r="V10" i="3"/>
  <c r="R49" i="3"/>
  <c r="Z49" i="3"/>
  <c r="V36" i="3"/>
  <c r="R23" i="3"/>
  <c r="Z23" i="3"/>
  <c r="W10" i="3"/>
  <c r="S49" i="3"/>
  <c r="AA49" i="3"/>
  <c r="O49" i="3"/>
  <c r="W36" i="3"/>
  <c r="O23" i="3"/>
  <c r="S23" i="3"/>
  <c r="AA23" i="3"/>
  <c r="X10" i="3"/>
  <c r="S38" i="11"/>
  <c r="S50" i="11" s="1"/>
  <c r="Y79" i="14"/>
  <c r="Z77" i="14"/>
  <c r="V48" i="14"/>
  <c r="U45" i="11"/>
  <c r="T39" i="11"/>
  <c r="U46" i="11"/>
  <c r="T40" i="11"/>
  <c r="T46" i="13"/>
  <c r="S40" i="13"/>
  <c r="S38" i="13" s="1"/>
  <c r="S50" i="13" s="1"/>
  <c r="V45" i="13"/>
  <c r="U39" i="13"/>
  <c r="R26" i="7"/>
  <c r="R35" i="7"/>
  <c r="R28" i="7"/>
  <c r="R27" i="7"/>
  <c r="Q5" i="7"/>
  <c r="R34" i="7"/>
  <c r="R30" i="7"/>
  <c r="R33" i="7"/>
  <c r="R32" i="7"/>
  <c r="R29" i="7"/>
  <c r="R31" i="7"/>
  <c r="D18" i="3"/>
  <c r="D58" i="7" s="1"/>
  <c r="S38" i="12"/>
  <c r="S50" i="12" s="1"/>
  <c r="U46" i="12"/>
  <c r="T40" i="12"/>
  <c r="U45" i="12"/>
  <c r="T39" i="12"/>
  <c r="R38" i="10"/>
  <c r="R53" i="10" s="1"/>
  <c r="U50" i="9"/>
  <c r="T40" i="9"/>
  <c r="U51" i="9"/>
  <c r="T41" i="9"/>
  <c r="U49" i="9"/>
  <c r="T39" i="9"/>
  <c r="Z52" i="9"/>
  <c r="Y42" i="9"/>
  <c r="S56" i="9"/>
  <c r="T49" i="10"/>
  <c r="S41" i="10"/>
  <c r="S40" i="10"/>
  <c r="T48" i="10"/>
  <c r="T47" i="10"/>
  <c r="S39" i="10"/>
  <c r="D27" i="3"/>
  <c r="D89" i="7" s="1"/>
  <c r="F24" i="3"/>
  <c r="H32" i="3"/>
  <c r="H94" i="7" s="1"/>
  <c r="K10" i="3"/>
  <c r="K4" i="12"/>
  <c r="K26" i="12" s="1"/>
  <c r="O6" i="13"/>
  <c r="O28" i="13" s="1"/>
  <c r="Q9" i="6"/>
  <c r="Q17" i="7" s="1"/>
  <c r="Q6" i="7" s="1"/>
  <c r="O4" i="12"/>
  <c r="G25" i="3"/>
  <c r="G87" i="7" s="1"/>
  <c r="J4" i="12"/>
  <c r="G50" i="3"/>
  <c r="G157" i="7" s="1"/>
  <c r="G11" i="3"/>
  <c r="G51" i="7" s="1"/>
  <c r="G62" i="7" s="1"/>
  <c r="C45" i="3"/>
  <c r="C130" i="7" s="1"/>
  <c r="C13" i="10"/>
  <c r="C35" i="10" s="1"/>
  <c r="K4" i="13"/>
  <c r="K26" i="13" s="1"/>
  <c r="G5" i="13"/>
  <c r="G27" i="13" s="1"/>
  <c r="K4" i="10"/>
  <c r="K26" i="10" s="1"/>
  <c r="G5" i="9"/>
  <c r="G27" i="9" s="1"/>
  <c r="K4" i="9"/>
  <c r="K26" i="9" s="1"/>
  <c r="K36" i="3"/>
  <c r="K121" i="7" s="1"/>
  <c r="K39" i="7"/>
  <c r="C51" i="3"/>
  <c r="C158" i="7" s="1"/>
  <c r="G14" i="3"/>
  <c r="G54" i="7" s="1"/>
  <c r="G65" i="7" s="1"/>
  <c r="D29" i="3"/>
  <c r="D91" i="7" s="1"/>
  <c r="D10" i="10"/>
  <c r="L27" i="3"/>
  <c r="L89" i="7" s="1"/>
  <c r="G8" i="13"/>
  <c r="G30" i="13" s="1"/>
  <c r="C4" i="12"/>
  <c r="C26" i="12" s="1"/>
  <c r="I4" i="12"/>
  <c r="I26" i="12" s="1"/>
  <c r="H5" i="11"/>
  <c r="L40" i="7"/>
  <c r="K11" i="3"/>
  <c r="K51" i="7" s="1"/>
  <c r="I11" i="10"/>
  <c r="D8" i="11"/>
  <c r="I46" i="7"/>
  <c r="I30" i="3"/>
  <c r="I92" i="7" s="1"/>
  <c r="I9" i="9"/>
  <c r="I31" i="9" s="1"/>
  <c r="K110" i="7"/>
  <c r="K24" i="3"/>
  <c r="K86" i="7" s="1"/>
  <c r="G6" i="12"/>
  <c r="G28" i="12" s="1"/>
  <c r="H50" i="3"/>
  <c r="H157" i="7" s="1"/>
  <c r="G27" i="3"/>
  <c r="G89" i="7" s="1"/>
  <c r="G16" i="3"/>
  <c r="G56" i="7" s="1"/>
  <c r="G67" i="7" s="1"/>
  <c r="H5" i="9"/>
  <c r="H27" i="9" s="1"/>
  <c r="G6" i="13"/>
  <c r="G28" i="13" s="1"/>
  <c r="I11" i="13"/>
  <c r="I33" i="13" s="1"/>
  <c r="I5" i="12"/>
  <c r="I27" i="12" s="1"/>
  <c r="K11" i="11"/>
  <c r="K33" i="11" s="1"/>
  <c r="K5" i="13"/>
  <c r="K27" i="13" s="1"/>
  <c r="I7" i="11"/>
  <c r="H9" i="12"/>
  <c r="K37" i="3"/>
  <c r="K122" i="7" s="1"/>
  <c r="L8" i="13"/>
  <c r="L30" i="13" s="1"/>
  <c r="K11" i="10"/>
  <c r="K33" i="10" s="1"/>
  <c r="K5" i="9"/>
  <c r="K27" i="9" s="1"/>
  <c r="C15" i="3"/>
  <c r="C55" i="7" s="1"/>
  <c r="I37" i="3"/>
  <c r="I122" i="7" s="1"/>
  <c r="I11" i="11"/>
  <c r="G40" i="3"/>
  <c r="G125" i="7" s="1"/>
  <c r="G8" i="9"/>
  <c r="G30" i="9" s="1"/>
  <c r="L8" i="11"/>
  <c r="L30" i="11" s="1"/>
  <c r="H52" i="3"/>
  <c r="H159" i="7" s="1"/>
  <c r="H42" i="7"/>
  <c r="C41" i="3"/>
  <c r="I43" i="3"/>
  <c r="I128" i="7" s="1"/>
  <c r="I56" i="3"/>
  <c r="I163" i="7" s="1"/>
  <c r="K43" i="3"/>
  <c r="K128" i="7" s="1"/>
  <c r="D8" i="12"/>
  <c r="G8" i="11"/>
  <c r="L43" i="7"/>
  <c r="L11" i="3"/>
  <c r="L51" i="7" s="1"/>
  <c r="I36" i="3"/>
  <c r="L111" i="7"/>
  <c r="H13" i="10"/>
  <c r="D47" i="7"/>
  <c r="L8" i="12"/>
  <c r="C13" i="13"/>
  <c r="C35" i="13" s="1"/>
  <c r="C12" i="3"/>
  <c r="C52" i="7" s="1"/>
  <c r="L50" i="3"/>
  <c r="L157" i="7" s="1"/>
  <c r="L168" i="7" s="1"/>
  <c r="I23" i="3"/>
  <c r="C28" i="3"/>
  <c r="C90" i="7" s="1"/>
  <c r="D40" i="3"/>
  <c r="D125" i="7" s="1"/>
  <c r="L75" i="7"/>
  <c r="I4" i="9"/>
  <c r="I26" i="9" s="1"/>
  <c r="I7" i="9"/>
  <c r="I29" i="9" s="1"/>
  <c r="D8" i="13"/>
  <c r="D30" i="13" s="1"/>
  <c r="I13" i="10"/>
  <c r="I35" i="10" s="1"/>
  <c r="D10" i="9"/>
  <c r="D32" i="9" s="1"/>
  <c r="K11" i="13"/>
  <c r="K33" i="13" s="1"/>
  <c r="L24" i="3"/>
  <c r="L86" i="7" s="1"/>
  <c r="I39" i="7"/>
  <c r="C9" i="10"/>
  <c r="C150" i="7"/>
  <c r="I13" i="12"/>
  <c r="I35" i="12" s="1"/>
  <c r="L5" i="9"/>
  <c r="C115" i="7"/>
  <c r="C9" i="12"/>
  <c r="O97" i="7"/>
  <c r="C9" i="9"/>
  <c r="C31" i="9" s="1"/>
  <c r="H28" i="3"/>
  <c r="H90" i="7" s="1"/>
  <c r="I7" i="13"/>
  <c r="I29" i="13" s="1"/>
  <c r="D43" i="7"/>
  <c r="D6" i="11"/>
  <c r="K11" i="9"/>
  <c r="K33" i="9" s="1"/>
  <c r="L5" i="11"/>
  <c r="L27" i="11" s="1"/>
  <c r="C44" i="7"/>
  <c r="C79" i="7"/>
  <c r="L5" i="13"/>
  <c r="L27" i="13" s="1"/>
  <c r="I10" i="3"/>
  <c r="C9" i="11"/>
  <c r="I4" i="10"/>
  <c r="I4" i="13"/>
  <c r="I26" i="13" s="1"/>
  <c r="G37" i="3"/>
  <c r="G122" i="7" s="1"/>
  <c r="G5" i="10"/>
  <c r="I145" i="7"/>
  <c r="G111" i="7"/>
  <c r="G146" i="7"/>
  <c r="G5" i="11"/>
  <c r="I74" i="7"/>
  <c r="H13" i="11"/>
  <c r="H35" i="11" s="1"/>
  <c r="D4" i="11"/>
  <c r="I13" i="9"/>
  <c r="I35" i="9" s="1"/>
  <c r="I9" i="12"/>
  <c r="F111" i="7"/>
  <c r="I24" i="3"/>
  <c r="I86" i="7" s="1"/>
  <c r="O12" i="12"/>
  <c r="D4" i="10"/>
  <c r="H11" i="9"/>
  <c r="H33" i="9" s="1"/>
  <c r="I48" i="7"/>
  <c r="D6" i="12"/>
  <c r="I58" i="3"/>
  <c r="I165" i="7" s="1"/>
  <c r="C6" i="12"/>
  <c r="C28" i="12" s="1"/>
  <c r="O12" i="13"/>
  <c r="O34" i="13" s="1"/>
  <c r="H9" i="10"/>
  <c r="G29" i="3"/>
  <c r="G91" i="7" s="1"/>
  <c r="I13" i="13"/>
  <c r="I35" i="13" s="1"/>
  <c r="L12" i="13"/>
  <c r="L34" i="13" s="1"/>
  <c r="G51" i="3"/>
  <c r="G158" i="7" s="1"/>
  <c r="D44" i="3"/>
  <c r="D129" i="7" s="1"/>
  <c r="G75" i="7"/>
  <c r="AA43" i="14"/>
  <c r="AA44" i="14" s="1"/>
  <c r="Z44" i="14"/>
  <c r="Y93" i="14"/>
  <c r="Y96" i="14" s="1"/>
  <c r="Z92" i="14"/>
  <c r="Y69" i="14"/>
  <c r="Z56" i="14"/>
  <c r="AA54" i="14"/>
  <c r="AA56" i="14" s="1"/>
  <c r="AA74" i="14"/>
  <c r="X59" i="14"/>
  <c r="AA53" i="14"/>
  <c r="Z80" i="14"/>
  <c r="AA19" i="14"/>
  <c r="Z18" i="14"/>
  <c r="V66" i="14"/>
  <c r="V68" i="14" s="1"/>
  <c r="X12" i="14"/>
  <c r="Z17" i="14"/>
  <c r="E4" i="13"/>
  <c r="E26" i="13" s="1"/>
  <c r="E4" i="9"/>
  <c r="E26" i="9" s="1"/>
  <c r="E74" i="7"/>
  <c r="E39" i="7"/>
  <c r="E36" i="3"/>
  <c r="E121" i="7" s="1"/>
  <c r="E10" i="3"/>
  <c r="E50" i="7" s="1"/>
  <c r="J110" i="7"/>
  <c r="J4" i="10"/>
  <c r="J36" i="3"/>
  <c r="J121" i="7" s="1"/>
  <c r="J39" i="7"/>
  <c r="J4" i="11"/>
  <c r="J23" i="3"/>
  <c r="J85" i="7" s="1"/>
  <c r="H145" i="7"/>
  <c r="H39" i="7"/>
  <c r="H4" i="12"/>
  <c r="H10" i="3"/>
  <c r="H50" i="7" s="1"/>
  <c r="H74" i="7"/>
  <c r="H4" i="10"/>
  <c r="H4" i="11"/>
  <c r="H36" i="3"/>
  <c r="H121" i="7" s="1"/>
  <c r="F5" i="11"/>
  <c r="F5" i="13"/>
  <c r="F11" i="3"/>
  <c r="F51" i="7" s="1"/>
  <c r="F146" i="7"/>
  <c r="F40" i="7"/>
  <c r="F5" i="9"/>
  <c r="F37" i="3"/>
  <c r="F122" i="7" s="1"/>
  <c r="D75" i="7"/>
  <c r="D5" i="13"/>
  <c r="D24" i="3"/>
  <c r="D86" i="7" s="1"/>
  <c r="D50" i="3"/>
  <c r="D157" i="7" s="1"/>
  <c r="D111" i="7"/>
  <c r="D5" i="10"/>
  <c r="D11" i="3"/>
  <c r="D51" i="7" s="1"/>
  <c r="D5" i="12"/>
  <c r="E4" i="12"/>
  <c r="F50" i="3"/>
  <c r="F157" i="7" s="1"/>
  <c r="H23" i="3"/>
  <c r="H85" i="7" s="1"/>
  <c r="J10" i="3"/>
  <c r="J50" i="7" s="1"/>
  <c r="J4" i="9"/>
  <c r="F75" i="7"/>
  <c r="D5" i="9"/>
  <c r="E23" i="3"/>
  <c r="E85" i="7" s="1"/>
  <c r="E4" i="11"/>
  <c r="F5" i="12"/>
  <c r="H4" i="9"/>
  <c r="J49" i="3"/>
  <c r="I40" i="7"/>
  <c r="I5" i="11"/>
  <c r="D10" i="13"/>
  <c r="D32" i="13" s="1"/>
  <c r="D45" i="7"/>
  <c r="D12" i="9"/>
  <c r="D34" i="9" s="1"/>
  <c r="D12" i="13"/>
  <c r="E145" i="7"/>
  <c r="J74" i="7"/>
  <c r="D146" i="7"/>
  <c r="D31" i="3"/>
  <c r="D93" i="7" s="1"/>
  <c r="D12" i="12"/>
  <c r="I5" i="13"/>
  <c r="I27" i="13" s="1"/>
  <c r="D37" i="3"/>
  <c r="D122" i="7" s="1"/>
  <c r="D40" i="7"/>
  <c r="E49" i="3"/>
  <c r="E156" i="7" s="1"/>
  <c r="F5" i="10"/>
  <c r="H49" i="3"/>
  <c r="H156" i="7" s="1"/>
  <c r="H4" i="13"/>
  <c r="J4" i="13"/>
  <c r="L8" i="10"/>
  <c r="L30" i="10" s="1"/>
  <c r="L8" i="9"/>
  <c r="L30" i="9" s="1"/>
  <c r="I17" i="3"/>
  <c r="I57" i="7" s="1"/>
  <c r="I11" i="9"/>
  <c r="I33" i="9" s="1"/>
  <c r="C32" i="3"/>
  <c r="C94" i="7" s="1"/>
  <c r="C48" i="7"/>
  <c r="C70" i="7" s="1"/>
  <c r="C13" i="11"/>
  <c r="K40" i="7"/>
  <c r="K5" i="11"/>
  <c r="K27" i="11" s="1"/>
  <c r="K5" i="10"/>
  <c r="K27" i="10" s="1"/>
  <c r="K5" i="12"/>
  <c r="E110" i="7"/>
  <c r="J145" i="7"/>
  <c r="H110" i="7"/>
  <c r="I45" i="3"/>
  <c r="I130" i="7" s="1"/>
  <c r="K17" i="3"/>
  <c r="K57" i="7" s="1"/>
  <c r="K68" i="7" s="1"/>
  <c r="O12" i="11"/>
  <c r="O34" i="11" s="1"/>
  <c r="D8" i="9"/>
  <c r="D30" i="9" s="1"/>
  <c r="D8" i="10"/>
  <c r="K30" i="3"/>
  <c r="K92" i="7" s="1"/>
  <c r="H58" i="3"/>
  <c r="H165" i="7" s="1"/>
  <c r="K11" i="12"/>
  <c r="K33" i="12" s="1"/>
  <c r="K49" i="3"/>
  <c r="K156" i="7" s="1"/>
  <c r="K167" i="7" s="1"/>
  <c r="K4" i="11"/>
  <c r="L37" i="3"/>
  <c r="L122" i="7" s="1"/>
  <c r="L5" i="12"/>
  <c r="L27" i="12" s="1"/>
  <c r="L5" i="10"/>
  <c r="L27" i="10" s="1"/>
  <c r="I49" i="3"/>
  <c r="I156" i="7" s="1"/>
  <c r="I4" i="11"/>
  <c r="C54" i="3"/>
  <c r="C161" i="7" s="1"/>
  <c r="G24" i="3"/>
  <c r="G86" i="7" s="1"/>
  <c r="G5" i="12"/>
  <c r="T7" i="6"/>
  <c r="T15" i="7" s="1"/>
  <c r="X7" i="6"/>
  <c r="X15" i="7" s="1"/>
  <c r="AB7" i="6"/>
  <c r="AB15" i="7" s="1"/>
  <c r="V7" i="6"/>
  <c r="V15" i="7" s="1"/>
  <c r="S7" i="6"/>
  <c r="S15" i="7" s="1"/>
  <c r="Q7" i="6"/>
  <c r="Q15" i="7" s="1"/>
  <c r="Q4" i="7" s="1"/>
  <c r="U7" i="6"/>
  <c r="U15" i="7" s="1"/>
  <c r="Y7" i="6"/>
  <c r="Y15" i="7" s="1"/>
  <c r="R7" i="6"/>
  <c r="R15" i="7" s="1"/>
  <c r="Z7" i="6"/>
  <c r="Z15" i="7" s="1"/>
  <c r="W7" i="6"/>
  <c r="W15" i="7" s="1"/>
  <c r="AA7" i="6"/>
  <c r="AA15" i="7" s="1"/>
  <c r="Q16" i="6"/>
  <c r="Q24" i="7" s="1"/>
  <c r="Q13" i="7" s="1"/>
  <c r="U16" i="6"/>
  <c r="U24" i="7" s="1"/>
  <c r="Y16" i="6"/>
  <c r="Y24" i="7" s="1"/>
  <c r="P16" i="6"/>
  <c r="P24" i="7" s="1"/>
  <c r="P13" i="7" s="1"/>
  <c r="W16" i="6"/>
  <c r="W24" i="7" s="1"/>
  <c r="X16" i="6"/>
  <c r="X24" i="7" s="1"/>
  <c r="R16" i="6"/>
  <c r="R24" i="7" s="1"/>
  <c r="V16" i="6"/>
  <c r="V24" i="7" s="1"/>
  <c r="Z16" i="6"/>
  <c r="Z24" i="7" s="1"/>
  <c r="S16" i="6"/>
  <c r="S24" i="7" s="1"/>
  <c r="AA16" i="6"/>
  <c r="AA24" i="7" s="1"/>
  <c r="T16" i="6"/>
  <c r="T24" i="7" s="1"/>
  <c r="AB16" i="6"/>
  <c r="AB24" i="7" s="1"/>
  <c r="Q14" i="6"/>
  <c r="Q22" i="7" s="1"/>
  <c r="Q11" i="7" s="1"/>
  <c r="U14" i="6"/>
  <c r="U22" i="7" s="1"/>
  <c r="Y14" i="6"/>
  <c r="Y22" i="7" s="1"/>
  <c r="W14" i="6"/>
  <c r="W22" i="7" s="1"/>
  <c r="T14" i="6"/>
  <c r="T22" i="7" s="1"/>
  <c r="AB14" i="6"/>
  <c r="AB22" i="7" s="1"/>
  <c r="R14" i="6"/>
  <c r="R22" i="7" s="1"/>
  <c r="V14" i="6"/>
  <c r="V22" i="7" s="1"/>
  <c r="Z14" i="6"/>
  <c r="Z22" i="7" s="1"/>
  <c r="S14" i="6"/>
  <c r="S22" i="7" s="1"/>
  <c r="AA14" i="6"/>
  <c r="AA22" i="7" s="1"/>
  <c r="X14" i="6"/>
  <c r="X22" i="7" s="1"/>
  <c r="O10" i="9"/>
  <c r="Q13" i="6"/>
  <c r="Q21" i="7" s="1"/>
  <c r="Q10" i="7" s="1"/>
  <c r="U13" i="6"/>
  <c r="U21" i="7" s="1"/>
  <c r="Y13" i="6"/>
  <c r="Y21" i="7" s="1"/>
  <c r="W13" i="6"/>
  <c r="W21" i="7" s="1"/>
  <c r="X13" i="6"/>
  <c r="X21" i="7" s="1"/>
  <c r="R13" i="6"/>
  <c r="R21" i="7" s="1"/>
  <c r="V13" i="6"/>
  <c r="V21" i="7" s="1"/>
  <c r="Z13" i="6"/>
  <c r="Z21" i="7" s="1"/>
  <c r="P13" i="6"/>
  <c r="P21" i="7" s="1"/>
  <c r="P10" i="7" s="1"/>
  <c r="S13" i="6"/>
  <c r="S21" i="7" s="1"/>
  <c r="T13" i="6"/>
  <c r="T21" i="7" s="1"/>
  <c r="AB13" i="6"/>
  <c r="AB21" i="7" s="1"/>
  <c r="AA13" i="6"/>
  <c r="AA21" i="7" s="1"/>
  <c r="O10" i="3"/>
  <c r="O50" i="7" s="1"/>
  <c r="O4" i="9"/>
  <c r="Q12" i="6"/>
  <c r="Q20" i="7" s="1"/>
  <c r="Q9" i="7" s="1"/>
  <c r="U12" i="6"/>
  <c r="U20" i="7" s="1"/>
  <c r="Y12" i="6"/>
  <c r="Y20" i="7" s="1"/>
  <c r="P12" i="6"/>
  <c r="P20" i="7" s="1"/>
  <c r="P9" i="7" s="1"/>
  <c r="S12" i="6"/>
  <c r="S20" i="7" s="1"/>
  <c r="AA12" i="6"/>
  <c r="AA20" i="7" s="1"/>
  <c r="T12" i="6"/>
  <c r="T20" i="7" s="1"/>
  <c r="AB12" i="6"/>
  <c r="AB20" i="7" s="1"/>
  <c r="R12" i="6"/>
  <c r="R20" i="7" s="1"/>
  <c r="V12" i="6"/>
  <c r="V20" i="7" s="1"/>
  <c r="Z12" i="6"/>
  <c r="Z20" i="7" s="1"/>
  <c r="W12" i="6"/>
  <c r="W20" i="7" s="1"/>
  <c r="X12" i="6"/>
  <c r="X20" i="7" s="1"/>
  <c r="Q15" i="6"/>
  <c r="Q23" i="7" s="1"/>
  <c r="Q12" i="7" s="1"/>
  <c r="U15" i="6"/>
  <c r="U23" i="7" s="1"/>
  <c r="Y15" i="6"/>
  <c r="Y23" i="7" s="1"/>
  <c r="S15" i="6"/>
  <c r="S23" i="7" s="1"/>
  <c r="AA15" i="6"/>
  <c r="AA23" i="7" s="1"/>
  <c r="X15" i="6"/>
  <c r="X23" i="7" s="1"/>
  <c r="P15" i="6"/>
  <c r="P23" i="7" s="1"/>
  <c r="P12" i="7" s="1"/>
  <c r="R15" i="6"/>
  <c r="R23" i="7" s="1"/>
  <c r="V15" i="6"/>
  <c r="V23" i="7" s="1"/>
  <c r="Z15" i="6"/>
  <c r="Z23" i="7" s="1"/>
  <c r="W15" i="6"/>
  <c r="W23" i="7" s="1"/>
  <c r="T15" i="6"/>
  <c r="T23" i="7" s="1"/>
  <c r="AB15" i="6"/>
  <c r="AB23" i="7" s="1"/>
  <c r="O6" i="10"/>
  <c r="O28" i="10" s="1"/>
  <c r="U9" i="6"/>
  <c r="U17" i="7" s="1"/>
  <c r="Y9" i="6"/>
  <c r="Y17" i="7" s="1"/>
  <c r="W9" i="6"/>
  <c r="W17" i="7" s="1"/>
  <c r="X9" i="6"/>
  <c r="X17" i="7" s="1"/>
  <c r="V9" i="6"/>
  <c r="V17" i="7" s="1"/>
  <c r="Z9" i="6"/>
  <c r="Z17" i="7" s="1"/>
  <c r="R9" i="6"/>
  <c r="R17" i="7" s="1"/>
  <c r="S9" i="6"/>
  <c r="S17" i="7" s="1"/>
  <c r="AA9" i="6"/>
  <c r="AA17" i="7" s="1"/>
  <c r="T9" i="6"/>
  <c r="T17" i="7" s="1"/>
  <c r="AB9" i="6"/>
  <c r="AB17" i="7" s="1"/>
  <c r="O43" i="7"/>
  <c r="Q11" i="6"/>
  <c r="Q19" i="7" s="1"/>
  <c r="Q8" i="7" s="1"/>
  <c r="U11" i="6"/>
  <c r="U19" i="7" s="1"/>
  <c r="Y11" i="6"/>
  <c r="Y19" i="7" s="1"/>
  <c r="W11" i="6"/>
  <c r="W19" i="7" s="1"/>
  <c r="X11" i="6"/>
  <c r="X19" i="7" s="1"/>
  <c r="R11" i="6"/>
  <c r="R19" i="7" s="1"/>
  <c r="V11" i="6"/>
  <c r="V19" i="7" s="1"/>
  <c r="Z11" i="6"/>
  <c r="Z19" i="7" s="1"/>
  <c r="S11" i="6"/>
  <c r="S19" i="7" s="1"/>
  <c r="AA11" i="6"/>
  <c r="AA19" i="7" s="1"/>
  <c r="T11" i="6"/>
  <c r="T19" i="7" s="1"/>
  <c r="AB11" i="6"/>
  <c r="AB19" i="7" s="1"/>
  <c r="O8" i="11"/>
  <c r="O30" i="11" s="1"/>
  <c r="O4" i="10"/>
  <c r="O26" i="10" s="1"/>
  <c r="Q10" i="6"/>
  <c r="Q18" i="7" s="1"/>
  <c r="Q7" i="7" s="1"/>
  <c r="U10" i="6"/>
  <c r="U18" i="7" s="1"/>
  <c r="Y10" i="6"/>
  <c r="Y18" i="7" s="1"/>
  <c r="S10" i="6"/>
  <c r="S18" i="7" s="1"/>
  <c r="AA10" i="6"/>
  <c r="AA18" i="7" s="1"/>
  <c r="T10" i="6"/>
  <c r="T18" i="7" s="1"/>
  <c r="AB10" i="6"/>
  <c r="AB18" i="7" s="1"/>
  <c r="R10" i="6"/>
  <c r="R18" i="7" s="1"/>
  <c r="V10" i="6"/>
  <c r="V18" i="7" s="1"/>
  <c r="Z10" i="6"/>
  <c r="Z18" i="7" s="1"/>
  <c r="W10" i="6"/>
  <c r="W18" i="7" s="1"/>
  <c r="X10" i="6"/>
  <c r="X18" i="7" s="1"/>
  <c r="C39" i="7"/>
  <c r="H9" i="9"/>
  <c r="G6" i="10"/>
  <c r="K9" i="12"/>
  <c r="K31" i="12" s="1"/>
  <c r="H11" i="12"/>
  <c r="D6" i="9"/>
  <c r="G4" i="10"/>
  <c r="C50" i="7"/>
  <c r="G12" i="3"/>
  <c r="G52" i="7" s="1"/>
  <c r="G63" i="7" s="1"/>
  <c r="C4" i="11"/>
  <c r="H9" i="11"/>
  <c r="G6" i="9"/>
  <c r="G28" i="9" s="1"/>
  <c r="K9" i="9"/>
  <c r="K31" i="9" s="1"/>
  <c r="C5" i="10"/>
  <c r="D41" i="7"/>
  <c r="G4" i="11"/>
  <c r="C8" i="12"/>
  <c r="C49" i="3"/>
  <c r="C156" i="7" s="1"/>
  <c r="C53" i="3"/>
  <c r="C160" i="7" s="1"/>
  <c r="G10" i="3"/>
  <c r="G50" i="7" s="1"/>
  <c r="G61" i="7" s="1"/>
  <c r="D25" i="3"/>
  <c r="D87" i="7" s="1"/>
  <c r="C4" i="9"/>
  <c r="C26" i="9" s="1"/>
  <c r="C27" i="3"/>
  <c r="C89" i="7" s="1"/>
  <c r="H9" i="13"/>
  <c r="G6" i="11"/>
  <c r="G12" i="11"/>
  <c r="G36" i="3"/>
  <c r="G121" i="7" s="1"/>
  <c r="K9" i="10"/>
  <c r="K31" i="10" s="1"/>
  <c r="K44" i="7"/>
  <c r="G47" i="7"/>
  <c r="C5" i="13"/>
  <c r="C27" i="13" s="1"/>
  <c r="C40" i="3"/>
  <c r="C125" i="7" s="1"/>
  <c r="K54" i="3"/>
  <c r="K161" i="7" s="1"/>
  <c r="O14" i="3"/>
  <c r="O54" i="7" s="1"/>
  <c r="H13" i="13"/>
  <c r="C6" i="9"/>
  <c r="C28" i="9" s="1"/>
  <c r="C41" i="7"/>
  <c r="O12" i="10"/>
  <c r="O34" i="10" s="1"/>
  <c r="C37" i="3"/>
  <c r="C122" i="7" s="1"/>
  <c r="L31" i="3"/>
  <c r="L93" i="7" s="1"/>
  <c r="L41" i="7"/>
  <c r="D12" i="10"/>
  <c r="D12" i="11"/>
  <c r="K9" i="11"/>
  <c r="G12" i="9"/>
  <c r="G34" i="9" s="1"/>
  <c r="G12" i="13"/>
  <c r="G34" i="13" s="1"/>
  <c r="I50" i="3"/>
  <c r="I157" i="7" s="1"/>
  <c r="C5" i="9"/>
  <c r="C27" i="9" s="1"/>
  <c r="C40" i="7"/>
  <c r="I5" i="9"/>
  <c r="I27" i="9" s="1"/>
  <c r="D55" i="3"/>
  <c r="D162" i="7" s="1"/>
  <c r="D10" i="12"/>
  <c r="L12" i="10"/>
  <c r="L34" i="10" s="1"/>
  <c r="L47" i="7"/>
  <c r="I9" i="11"/>
  <c r="I9" i="10"/>
  <c r="C8" i="9"/>
  <c r="C30" i="9" s="1"/>
  <c r="C43" i="7"/>
  <c r="G57" i="3"/>
  <c r="G164" i="7" s="1"/>
  <c r="C24" i="3"/>
  <c r="C86" i="7" s="1"/>
  <c r="O6" i="9"/>
  <c r="G31" i="3"/>
  <c r="G93" i="7" s="1"/>
  <c r="L44" i="3"/>
  <c r="L129" i="7" s="1"/>
  <c r="C5" i="11"/>
  <c r="L12" i="12"/>
  <c r="C8" i="13"/>
  <c r="C30" i="13" s="1"/>
  <c r="C8" i="11"/>
  <c r="K28" i="3"/>
  <c r="K90" i="7" s="1"/>
  <c r="I41" i="3"/>
  <c r="I126" i="7" s="1"/>
  <c r="G18" i="3"/>
  <c r="G58" i="7" s="1"/>
  <c r="H13" i="12"/>
  <c r="K15" i="3"/>
  <c r="K55" i="7" s="1"/>
  <c r="O18" i="3"/>
  <c r="O58" i="7" s="1"/>
  <c r="H13" i="9"/>
  <c r="H48" i="7"/>
  <c r="C6" i="13"/>
  <c r="C28" i="13" s="1"/>
  <c r="O12" i="9"/>
  <c r="O47" i="7"/>
  <c r="G12" i="10"/>
  <c r="I54" i="3"/>
  <c r="I161" i="7" s="1"/>
  <c r="C5" i="12"/>
  <c r="C27" i="12" s="1"/>
  <c r="I28" i="3"/>
  <c r="I90" i="7" s="1"/>
  <c r="L57" i="3"/>
  <c r="L164" i="7" s="1"/>
  <c r="L12" i="9"/>
  <c r="I9" i="13"/>
  <c r="I31" i="13" s="1"/>
  <c r="O164" i="7"/>
  <c r="L81" i="7"/>
  <c r="L117" i="7"/>
  <c r="L152" i="7"/>
  <c r="L148" i="7"/>
  <c r="L77" i="7"/>
  <c r="L113" i="7"/>
  <c r="H80" i="7"/>
  <c r="H116" i="7"/>
  <c r="H151" i="7"/>
  <c r="D83" i="7"/>
  <c r="D119" i="7"/>
  <c r="D154" i="7"/>
  <c r="E78" i="7"/>
  <c r="E114" i="7"/>
  <c r="E149" i="7"/>
  <c r="E75" i="7"/>
  <c r="E146" i="7"/>
  <c r="E111" i="7"/>
  <c r="M77" i="7"/>
  <c r="M148" i="7"/>
  <c r="M113" i="7"/>
  <c r="I80" i="7"/>
  <c r="I116" i="7"/>
  <c r="I151" i="7"/>
  <c r="E154" i="7"/>
  <c r="E83" i="7"/>
  <c r="E119" i="7"/>
  <c r="I33" i="12"/>
  <c r="G34" i="12"/>
  <c r="N148" i="7"/>
  <c r="N77" i="7"/>
  <c r="N113" i="7"/>
  <c r="J151" i="7"/>
  <c r="J80" i="7"/>
  <c r="J116" i="7"/>
  <c r="F154" i="7"/>
  <c r="F83" i="7"/>
  <c r="F119" i="7"/>
  <c r="M149" i="7"/>
  <c r="M78" i="7"/>
  <c r="M114" i="7"/>
  <c r="G30" i="12"/>
  <c r="G148" i="7"/>
  <c r="G113" i="7"/>
  <c r="G77" i="7"/>
  <c r="O150" i="7"/>
  <c r="O115" i="7"/>
  <c r="O79" i="7"/>
  <c r="K118" i="7"/>
  <c r="K153" i="7"/>
  <c r="K82" i="7"/>
  <c r="C35" i="12"/>
  <c r="F147" i="7"/>
  <c r="F112" i="7"/>
  <c r="F76" i="7"/>
  <c r="N149" i="7"/>
  <c r="N78" i="7"/>
  <c r="N114" i="7"/>
  <c r="J152" i="7"/>
  <c r="J81" i="7"/>
  <c r="J117" i="7"/>
  <c r="C148" i="7"/>
  <c r="C77" i="7"/>
  <c r="C113" i="7"/>
  <c r="L80" i="7"/>
  <c r="L151" i="7"/>
  <c r="L116" i="7"/>
  <c r="O10" i="13"/>
  <c r="O32" i="13" s="1"/>
  <c r="O116" i="7"/>
  <c r="O80" i="7"/>
  <c r="O151" i="7"/>
  <c r="K58" i="3"/>
  <c r="K165" i="7" s="1"/>
  <c r="K119" i="7"/>
  <c r="K154" i="7"/>
  <c r="K83" i="7"/>
  <c r="L6" i="12"/>
  <c r="L147" i="7"/>
  <c r="L76" i="7"/>
  <c r="L98" i="7" s="1"/>
  <c r="L112" i="7"/>
  <c r="K41" i="3"/>
  <c r="K126" i="7" s="1"/>
  <c r="K150" i="7"/>
  <c r="K115" i="7"/>
  <c r="K79" i="7"/>
  <c r="C75" i="7"/>
  <c r="C111" i="7"/>
  <c r="C146" i="7"/>
  <c r="C168" i="7" s="1"/>
  <c r="C114" i="7"/>
  <c r="C78" i="7"/>
  <c r="C149" i="7"/>
  <c r="G44" i="3"/>
  <c r="G129" i="7" s="1"/>
  <c r="G118" i="7"/>
  <c r="G82" i="7"/>
  <c r="G153" i="7"/>
  <c r="L18" i="3"/>
  <c r="L58" i="7" s="1"/>
  <c r="L82" i="7"/>
  <c r="L118" i="7"/>
  <c r="L153" i="7"/>
  <c r="H147" i="7"/>
  <c r="H76" i="7"/>
  <c r="H112" i="7"/>
  <c r="H149" i="7"/>
  <c r="H78" i="7"/>
  <c r="H114" i="7"/>
  <c r="D152" i="7"/>
  <c r="D81" i="7"/>
  <c r="D117" i="7"/>
  <c r="L83" i="7"/>
  <c r="L119" i="7"/>
  <c r="L154" i="7"/>
  <c r="M80" i="7"/>
  <c r="M151" i="7"/>
  <c r="M116" i="7"/>
  <c r="M146" i="7"/>
  <c r="M75" i="7"/>
  <c r="M111" i="7"/>
  <c r="I149" i="7"/>
  <c r="I78" i="7"/>
  <c r="I114" i="7"/>
  <c r="E152" i="7"/>
  <c r="E81" i="7"/>
  <c r="E117" i="7"/>
  <c r="M154" i="7"/>
  <c r="M83" i="7"/>
  <c r="M119" i="7"/>
  <c r="J149" i="7"/>
  <c r="J78" i="7"/>
  <c r="J114" i="7"/>
  <c r="F152" i="7"/>
  <c r="F81" i="7"/>
  <c r="F117" i="7"/>
  <c r="N119" i="7"/>
  <c r="N154" i="7"/>
  <c r="N83" i="7"/>
  <c r="E151" i="7"/>
  <c r="E80" i="7"/>
  <c r="E116" i="7"/>
  <c r="O148" i="7"/>
  <c r="O113" i="7"/>
  <c r="O77" i="7"/>
  <c r="K151" i="7"/>
  <c r="K116" i="7"/>
  <c r="K80" i="7"/>
  <c r="G119" i="7"/>
  <c r="G83" i="7"/>
  <c r="G154" i="7"/>
  <c r="F145" i="7"/>
  <c r="F74" i="7"/>
  <c r="F110" i="7"/>
  <c r="N147" i="7"/>
  <c r="N76" i="7"/>
  <c r="N112" i="7"/>
  <c r="J150" i="7"/>
  <c r="J79" i="7"/>
  <c r="J115" i="7"/>
  <c r="F153" i="7"/>
  <c r="F82" i="7"/>
  <c r="F118" i="7"/>
  <c r="M26" i="12"/>
  <c r="O27" i="12"/>
  <c r="O118" i="7"/>
  <c r="O82" i="7"/>
  <c r="O153" i="7"/>
  <c r="D145" i="7"/>
  <c r="D74" i="7"/>
  <c r="D110" i="7"/>
  <c r="H83" i="7"/>
  <c r="H119" i="7"/>
  <c r="H154" i="7"/>
  <c r="O147" i="7"/>
  <c r="O112" i="7"/>
  <c r="O76" i="7"/>
  <c r="I15" i="3"/>
  <c r="I55" i="7" s="1"/>
  <c r="I66" i="7" s="1"/>
  <c r="I79" i="7"/>
  <c r="I115" i="7"/>
  <c r="I150" i="7"/>
  <c r="O149" i="7"/>
  <c r="O114" i="7"/>
  <c r="O78" i="7"/>
  <c r="I11" i="3"/>
  <c r="I51" i="7" s="1"/>
  <c r="I75" i="7"/>
  <c r="I111" i="7"/>
  <c r="I146" i="7"/>
  <c r="C147" i="7"/>
  <c r="C76" i="7"/>
  <c r="C112" i="7"/>
  <c r="G55" i="3"/>
  <c r="G162" i="7" s="1"/>
  <c r="G151" i="7"/>
  <c r="G116" i="7"/>
  <c r="G80" i="7"/>
  <c r="D151" i="7"/>
  <c r="D80" i="7"/>
  <c r="D116" i="7"/>
  <c r="D57" i="3"/>
  <c r="D164" i="7" s="1"/>
  <c r="D82" i="7"/>
  <c r="D118" i="7"/>
  <c r="D153" i="7"/>
  <c r="E147" i="7"/>
  <c r="E76" i="7"/>
  <c r="E112" i="7"/>
  <c r="M153" i="7"/>
  <c r="M82" i="7"/>
  <c r="M118" i="7"/>
  <c r="I76" i="7"/>
  <c r="I147" i="7"/>
  <c r="I112" i="7"/>
  <c r="E79" i="7"/>
  <c r="E150" i="7"/>
  <c r="E115" i="7"/>
  <c r="M152" i="7"/>
  <c r="M81" i="7"/>
  <c r="M117" i="7"/>
  <c r="C151" i="7"/>
  <c r="C80" i="7"/>
  <c r="C116" i="7"/>
  <c r="D26" i="12"/>
  <c r="J147" i="7"/>
  <c r="J112" i="7"/>
  <c r="J76" i="7"/>
  <c r="F150" i="7"/>
  <c r="F79" i="7"/>
  <c r="F115" i="7"/>
  <c r="N117" i="7"/>
  <c r="N152" i="7"/>
  <c r="N81" i="7"/>
  <c r="C152" i="7"/>
  <c r="C81" i="7"/>
  <c r="C117" i="7"/>
  <c r="E153" i="7"/>
  <c r="E82" i="7"/>
  <c r="E118" i="7"/>
  <c r="K149" i="7"/>
  <c r="K114" i="7"/>
  <c r="K78" i="7"/>
  <c r="G117" i="7"/>
  <c r="G152" i="7"/>
  <c r="G81" i="7"/>
  <c r="O119" i="7"/>
  <c r="O154" i="7"/>
  <c r="O83" i="7"/>
  <c r="N145" i="7"/>
  <c r="N74" i="7"/>
  <c r="N110" i="7"/>
  <c r="J148" i="7"/>
  <c r="J77" i="7"/>
  <c r="J113" i="7"/>
  <c r="F151" i="7"/>
  <c r="F80" i="7"/>
  <c r="F116" i="7"/>
  <c r="N118" i="7"/>
  <c r="N153" i="7"/>
  <c r="N82" i="7"/>
  <c r="N27" i="12"/>
  <c r="D6" i="10"/>
  <c r="D147" i="7"/>
  <c r="D76" i="7"/>
  <c r="D112" i="7"/>
  <c r="C36" i="3"/>
  <c r="C121" i="7" s="1"/>
  <c r="C145" i="7"/>
  <c r="C74" i="7"/>
  <c r="C110" i="7"/>
  <c r="G38" i="3"/>
  <c r="G123" i="7" s="1"/>
  <c r="G147" i="7"/>
  <c r="G112" i="7"/>
  <c r="G76" i="7"/>
  <c r="H81" i="7"/>
  <c r="H117" i="7"/>
  <c r="H152" i="7"/>
  <c r="H150" i="7"/>
  <c r="H79" i="7"/>
  <c r="H115" i="7"/>
  <c r="I32" i="3"/>
  <c r="I94" i="7" s="1"/>
  <c r="I154" i="7"/>
  <c r="I83" i="7"/>
  <c r="I119" i="7"/>
  <c r="H24" i="3"/>
  <c r="H86" i="7" s="1"/>
  <c r="H146" i="7"/>
  <c r="H75" i="7"/>
  <c r="H111" i="7"/>
  <c r="H39" i="3"/>
  <c r="H124" i="7" s="1"/>
  <c r="H148" i="7"/>
  <c r="H77" i="7"/>
  <c r="H113" i="7"/>
  <c r="C58" i="3"/>
  <c r="C165" i="7" s="1"/>
  <c r="C83" i="7"/>
  <c r="C119" i="7"/>
  <c r="C154" i="7"/>
  <c r="K146" i="7"/>
  <c r="K168" i="7" s="1"/>
  <c r="K111" i="7"/>
  <c r="K75" i="7"/>
  <c r="D150" i="7"/>
  <c r="D79" i="7"/>
  <c r="D115" i="7"/>
  <c r="L32" i="12"/>
  <c r="D148" i="7"/>
  <c r="D77" i="7"/>
  <c r="D113" i="7"/>
  <c r="L150" i="7"/>
  <c r="L79" i="7"/>
  <c r="L115" i="7"/>
  <c r="H82" i="7"/>
  <c r="H118" i="7"/>
  <c r="H153" i="7"/>
  <c r="M76" i="7"/>
  <c r="M112" i="7"/>
  <c r="M147" i="7"/>
  <c r="E148" i="7"/>
  <c r="E77" i="7"/>
  <c r="E113" i="7"/>
  <c r="M150" i="7"/>
  <c r="M79" i="7"/>
  <c r="M115" i="7"/>
  <c r="I153" i="7"/>
  <c r="I82" i="7"/>
  <c r="I118" i="7"/>
  <c r="F148" i="7"/>
  <c r="F77" i="7"/>
  <c r="F113" i="7"/>
  <c r="N150" i="7"/>
  <c r="N79" i="7"/>
  <c r="N115" i="7"/>
  <c r="J153" i="7"/>
  <c r="J82" i="7"/>
  <c r="J118" i="7"/>
  <c r="K147" i="7"/>
  <c r="K112" i="7"/>
  <c r="K76" i="7"/>
  <c r="G150" i="7"/>
  <c r="G115" i="7"/>
  <c r="G79" i="7"/>
  <c r="O117" i="7"/>
  <c r="O152" i="7"/>
  <c r="O81" i="7"/>
  <c r="C118" i="7"/>
  <c r="C82" i="7"/>
  <c r="C153" i="7"/>
  <c r="J146" i="7"/>
  <c r="J75" i="7"/>
  <c r="J111" i="7"/>
  <c r="F149" i="7"/>
  <c r="F78" i="7"/>
  <c r="F114" i="7"/>
  <c r="N151" i="7"/>
  <c r="N116" i="7"/>
  <c r="N80" i="7"/>
  <c r="J154" i="7"/>
  <c r="J83" i="7"/>
  <c r="J119" i="7"/>
  <c r="G53" i="3"/>
  <c r="G160" i="7" s="1"/>
  <c r="G149" i="7"/>
  <c r="G114" i="7"/>
  <c r="G78" i="7"/>
  <c r="O156" i="7"/>
  <c r="O145" i="7"/>
  <c r="O110" i="7"/>
  <c r="O74" i="7"/>
  <c r="L149" i="7"/>
  <c r="L171" i="7" s="1"/>
  <c r="L78" i="7"/>
  <c r="L114" i="7"/>
  <c r="I152" i="7"/>
  <c r="I81" i="7"/>
  <c r="I117" i="7"/>
  <c r="G145" i="7"/>
  <c r="G110" i="7"/>
  <c r="G74" i="7"/>
  <c r="I52" i="3"/>
  <c r="I159" i="7" s="1"/>
  <c r="I148" i="7"/>
  <c r="I77" i="7"/>
  <c r="I113" i="7"/>
  <c r="K52" i="3"/>
  <c r="K159" i="7" s="1"/>
  <c r="K148" i="7"/>
  <c r="K113" i="7"/>
  <c r="K77" i="7"/>
  <c r="K99" i="7" s="1"/>
  <c r="D53" i="3"/>
  <c r="D160" i="7" s="1"/>
  <c r="D149" i="7"/>
  <c r="D78" i="7"/>
  <c r="D114" i="7"/>
  <c r="L10" i="3"/>
  <c r="L50" i="7" s="1"/>
  <c r="L145" i="7"/>
  <c r="L74" i="7"/>
  <c r="L110" i="7"/>
  <c r="K56" i="3"/>
  <c r="K163" i="7" s="1"/>
  <c r="K117" i="7"/>
  <c r="K81" i="7"/>
  <c r="K152" i="7"/>
  <c r="G29" i="4"/>
  <c r="G33" i="4" s="1"/>
  <c r="G10" i="4"/>
  <c r="I29" i="4"/>
  <c r="I33" i="4" s="1"/>
  <c r="I10" i="4"/>
  <c r="E29" i="4"/>
  <c r="E33" i="4" s="1"/>
  <c r="E10" i="4"/>
  <c r="C33" i="4"/>
  <c r="C10" i="4"/>
  <c r="L4" i="12"/>
  <c r="L10" i="9"/>
  <c r="L4" i="13"/>
  <c r="L26" i="13" s="1"/>
  <c r="K39" i="3"/>
  <c r="K124" i="7" s="1"/>
  <c r="K13" i="9"/>
  <c r="K35" i="9" s="1"/>
  <c r="K13" i="11"/>
  <c r="K35" i="11" s="1"/>
  <c r="K7" i="9"/>
  <c r="K29" i="9" s="1"/>
  <c r="O10" i="12"/>
  <c r="L36" i="3"/>
  <c r="L121" i="7" s="1"/>
  <c r="L4" i="11"/>
  <c r="L26" i="11" s="1"/>
  <c r="L10" i="13"/>
  <c r="L32" i="13" s="1"/>
  <c r="L45" i="7"/>
  <c r="O16" i="3"/>
  <c r="O56" i="7" s="1"/>
  <c r="L10" i="10"/>
  <c r="L32" i="10" s="1"/>
  <c r="L10" i="11"/>
  <c r="L32" i="11" s="1"/>
  <c r="L29" i="3"/>
  <c r="L91" i="7" s="1"/>
  <c r="K13" i="13"/>
  <c r="K35" i="13" s="1"/>
  <c r="K7" i="12"/>
  <c r="O10" i="10"/>
  <c r="O32" i="10" s="1"/>
  <c r="K42" i="7"/>
  <c r="O45" i="7"/>
  <c r="K45" i="3"/>
  <c r="K130" i="7" s="1"/>
  <c r="K13" i="3"/>
  <c r="K53" i="7" s="1"/>
  <c r="L55" i="3"/>
  <c r="L162" i="7" s="1"/>
  <c r="L4" i="9"/>
  <c r="O162" i="7"/>
  <c r="K48" i="7"/>
  <c r="K19" i="3"/>
  <c r="K59" i="7" s="1"/>
  <c r="O91" i="7"/>
  <c r="L4" i="10"/>
  <c r="L26" i="10" s="1"/>
  <c r="K7" i="10"/>
  <c r="K29" i="10" s="1"/>
  <c r="K7" i="11"/>
  <c r="K29" i="11" s="1"/>
  <c r="O10" i="11"/>
  <c r="O32" i="11" s="1"/>
  <c r="H45" i="6"/>
  <c r="L23" i="3"/>
  <c r="L85" i="7" s="1"/>
  <c r="K13" i="12"/>
  <c r="L49" i="3"/>
  <c r="L156" i="7" s="1"/>
  <c r="L39" i="7"/>
  <c r="K7" i="13"/>
  <c r="K29" i="13" s="1"/>
  <c r="K32" i="3"/>
  <c r="K94" i="7" s="1"/>
  <c r="H5" i="10"/>
  <c r="O8" i="13"/>
  <c r="O30" i="13" s="1"/>
  <c r="D4" i="13"/>
  <c r="L6" i="11"/>
  <c r="L28" i="11" s="1"/>
  <c r="L6" i="13"/>
  <c r="L28" i="13" s="1"/>
  <c r="O123" i="7"/>
  <c r="J45" i="6"/>
  <c r="O6" i="12"/>
  <c r="L45" i="6"/>
  <c r="D23" i="3"/>
  <c r="D85" i="7" s="1"/>
  <c r="I26" i="3"/>
  <c r="I88" i="7" s="1"/>
  <c r="I42" i="7"/>
  <c r="O8" i="12"/>
  <c r="E45" i="6"/>
  <c r="D4" i="9"/>
  <c r="L6" i="10"/>
  <c r="L28" i="10" s="1"/>
  <c r="H7" i="9"/>
  <c r="O6" i="11"/>
  <c r="O28" i="11" s="1"/>
  <c r="O8" i="10"/>
  <c r="O30" i="10" s="1"/>
  <c r="M45" i="6"/>
  <c r="D39" i="7"/>
  <c r="L6" i="9"/>
  <c r="G10" i="10"/>
  <c r="G10" i="13"/>
  <c r="G32" i="13" s="1"/>
  <c r="H7" i="12"/>
  <c r="I13" i="3"/>
  <c r="I53" i="7" s="1"/>
  <c r="H13" i="3"/>
  <c r="H53" i="7" s="1"/>
  <c r="D16" i="3"/>
  <c r="D56" i="7" s="1"/>
  <c r="D42" i="3"/>
  <c r="D127" i="7" s="1"/>
  <c r="I39" i="3"/>
  <c r="I124" i="7" s="1"/>
  <c r="O12" i="3"/>
  <c r="O52" i="7" s="1"/>
  <c r="O8" i="9"/>
  <c r="H26" i="3"/>
  <c r="H88" i="7" s="1"/>
  <c r="G42" i="3"/>
  <c r="G127" i="7" s="1"/>
  <c r="G10" i="11"/>
  <c r="H7" i="10"/>
  <c r="O41" i="7"/>
  <c r="O89" i="7"/>
  <c r="G10" i="9"/>
  <c r="G32" i="9" s="1"/>
  <c r="D49" i="3"/>
  <c r="D156" i="7" s="1"/>
  <c r="K45" i="6"/>
  <c r="H7" i="11"/>
  <c r="H5" i="12"/>
  <c r="H5" i="13"/>
  <c r="I7" i="12"/>
  <c r="G10" i="12"/>
  <c r="H7" i="13"/>
  <c r="O133" i="7"/>
  <c r="D14" i="3"/>
  <c r="D54" i="7" s="1"/>
  <c r="C11" i="3"/>
  <c r="C51" i="7" s="1"/>
  <c r="H56" i="3"/>
  <c r="H163" i="7" s="1"/>
  <c r="H43" i="3"/>
  <c r="H128" i="7" s="1"/>
  <c r="H17" i="3"/>
  <c r="H57" i="7" s="1"/>
  <c r="G49" i="3"/>
  <c r="G156" i="7" s="1"/>
  <c r="G45" i="6"/>
  <c r="H11" i="11"/>
  <c r="D51" i="3"/>
  <c r="D158" i="7" s="1"/>
  <c r="C45" i="6"/>
  <c r="G4" i="12"/>
  <c r="I19" i="3"/>
  <c r="I59" i="7" s="1"/>
  <c r="L51" i="3"/>
  <c r="L158" i="7" s="1"/>
  <c r="L38" i="3"/>
  <c r="L123" i="7" s="1"/>
  <c r="L12" i="3"/>
  <c r="H11" i="3"/>
  <c r="H51" i="7" s="1"/>
  <c r="H62" i="7" s="1"/>
  <c r="H37" i="3"/>
  <c r="H122" i="7" s="1"/>
  <c r="H11" i="13"/>
  <c r="O4" i="11"/>
  <c r="O26" i="11" s="1"/>
  <c r="O4" i="13"/>
  <c r="O26" i="13" s="1"/>
  <c r="G4" i="9"/>
  <c r="G26" i="9" s="1"/>
  <c r="N168" i="7"/>
  <c r="D45" i="6"/>
  <c r="D10" i="3"/>
  <c r="D36" i="3"/>
  <c r="I45" i="6"/>
  <c r="D38" i="3"/>
  <c r="D123" i="7" s="1"/>
  <c r="D12" i="3"/>
  <c r="D52" i="7" s="1"/>
  <c r="H54" i="3"/>
  <c r="H161" i="7" s="1"/>
  <c r="H15" i="3"/>
  <c r="H55" i="7" s="1"/>
  <c r="H66" i="7" s="1"/>
  <c r="H41" i="3"/>
  <c r="H126" i="7" s="1"/>
  <c r="L14" i="3"/>
  <c r="L54" i="7" s="1"/>
  <c r="L40" i="3"/>
  <c r="L125" i="7" s="1"/>
  <c r="C38" i="3"/>
  <c r="C123" i="7" s="1"/>
  <c r="C25" i="3"/>
  <c r="C87" i="7" s="1"/>
  <c r="C4" i="13"/>
  <c r="C26" i="13" s="1"/>
  <c r="H46" i="7"/>
  <c r="I5" i="10"/>
  <c r="G23" i="3"/>
  <c r="G85" i="7" s="1"/>
  <c r="L16" i="3"/>
  <c r="L56" i="7" s="1"/>
  <c r="L42" i="3"/>
  <c r="L127" i="7" s="1"/>
  <c r="O39" i="7"/>
  <c r="H30" i="3"/>
  <c r="H92" i="7" s="1"/>
  <c r="G4" i="13"/>
  <c r="G26" i="13" s="1"/>
  <c r="C23" i="3"/>
  <c r="C85" i="7" s="1"/>
  <c r="O85" i="7"/>
  <c r="H45" i="3"/>
  <c r="H130" i="7" s="1"/>
  <c r="H19" i="3"/>
  <c r="H59" i="7" s="1"/>
  <c r="C47" i="7"/>
  <c r="C12" i="11"/>
  <c r="C12" i="12"/>
  <c r="C12" i="13"/>
  <c r="C34" i="13" s="1"/>
  <c r="C12" i="10"/>
  <c r="C12" i="9"/>
  <c r="C34" i="9" s="1"/>
  <c r="C44" i="3"/>
  <c r="C129" i="7" s="1"/>
  <c r="C18" i="3"/>
  <c r="C58" i="7" s="1"/>
  <c r="C57" i="3"/>
  <c r="C164" i="7" s="1"/>
  <c r="C31" i="3"/>
  <c r="C93" i="7" s="1"/>
  <c r="J40" i="7"/>
  <c r="J5" i="9"/>
  <c r="J5" i="11"/>
  <c r="J5" i="12"/>
  <c r="J5" i="13"/>
  <c r="J5" i="10"/>
  <c r="J37" i="3"/>
  <c r="J122" i="7" s="1"/>
  <c r="J11" i="3"/>
  <c r="J51" i="7" s="1"/>
  <c r="J50" i="3"/>
  <c r="J157" i="7" s="1"/>
  <c r="J24" i="3"/>
  <c r="J86" i="7" s="1"/>
  <c r="I121" i="7"/>
  <c r="I132" i="7" s="1"/>
  <c r="H10" i="13"/>
  <c r="H45" i="7"/>
  <c r="H10" i="9"/>
  <c r="H10" i="12"/>
  <c r="H10" i="10"/>
  <c r="H10" i="11"/>
  <c r="H29" i="3"/>
  <c r="H91" i="7" s="1"/>
  <c r="H16" i="3"/>
  <c r="H56" i="7" s="1"/>
  <c r="H42" i="3"/>
  <c r="H127" i="7" s="1"/>
  <c r="H55" i="3"/>
  <c r="H162" i="7" s="1"/>
  <c r="E8" i="13"/>
  <c r="E30" i="13" s="1"/>
  <c r="E43" i="7"/>
  <c r="E8" i="12"/>
  <c r="E8" i="11"/>
  <c r="E8" i="10"/>
  <c r="E8" i="9"/>
  <c r="E30" i="9" s="1"/>
  <c r="E40" i="3"/>
  <c r="E125" i="7" s="1"/>
  <c r="E53" i="3"/>
  <c r="E160" i="7" s="1"/>
  <c r="E27" i="3"/>
  <c r="E89" i="7" s="1"/>
  <c r="E14" i="3"/>
  <c r="E54" i="7" s="1"/>
  <c r="M5" i="10"/>
  <c r="M27" i="10" s="1"/>
  <c r="M40" i="7"/>
  <c r="M5" i="9"/>
  <c r="M5" i="13"/>
  <c r="M27" i="13" s="1"/>
  <c r="M5" i="12"/>
  <c r="M5" i="11"/>
  <c r="M27" i="11" s="1"/>
  <c r="M50" i="3"/>
  <c r="M37" i="3"/>
  <c r="M122" i="7" s="1"/>
  <c r="M24" i="3"/>
  <c r="M11" i="3"/>
  <c r="M51" i="7" s="1"/>
  <c r="E46" i="7"/>
  <c r="E11" i="12"/>
  <c r="E11" i="10"/>
  <c r="E11" i="13"/>
  <c r="E33" i="13" s="1"/>
  <c r="E11" i="11"/>
  <c r="E11" i="9"/>
  <c r="E33" i="9" s="1"/>
  <c r="E56" i="3"/>
  <c r="E163" i="7" s="1"/>
  <c r="E30" i="3"/>
  <c r="E92" i="7" s="1"/>
  <c r="E43" i="3"/>
  <c r="E128" i="7" s="1"/>
  <c r="E17" i="3"/>
  <c r="E57" i="7" s="1"/>
  <c r="F7" i="11"/>
  <c r="F7" i="12"/>
  <c r="F42" i="7"/>
  <c r="F7" i="9"/>
  <c r="F7" i="13"/>
  <c r="F7" i="10"/>
  <c r="F52" i="3"/>
  <c r="F159" i="7" s="1"/>
  <c r="F26" i="3"/>
  <c r="F88" i="7" s="1"/>
  <c r="F39" i="3"/>
  <c r="F124" i="7" s="1"/>
  <c r="F13" i="3"/>
  <c r="F53" i="7" s="1"/>
  <c r="J47" i="7"/>
  <c r="J12" i="9"/>
  <c r="J12" i="10"/>
  <c r="J12" i="13"/>
  <c r="J12" i="12"/>
  <c r="J12" i="11"/>
  <c r="J57" i="3"/>
  <c r="J164" i="7" s="1"/>
  <c r="J31" i="3"/>
  <c r="J93" i="7" s="1"/>
  <c r="J18" i="3"/>
  <c r="J58" i="7" s="1"/>
  <c r="J44" i="3"/>
  <c r="J129" i="7" s="1"/>
  <c r="E12" i="13"/>
  <c r="E34" i="13" s="1"/>
  <c r="E12" i="11"/>
  <c r="E12" i="12"/>
  <c r="E47" i="7"/>
  <c r="E12" i="9"/>
  <c r="E34" i="9" s="1"/>
  <c r="E12" i="10"/>
  <c r="E44" i="3"/>
  <c r="E129" i="7" s="1"/>
  <c r="E31" i="3"/>
  <c r="E93" i="7" s="1"/>
  <c r="E57" i="3"/>
  <c r="E164" i="7" s="1"/>
  <c r="E18" i="3"/>
  <c r="E58" i="7" s="1"/>
  <c r="O9" i="13"/>
  <c r="O31" i="13" s="1"/>
  <c r="O44" i="7"/>
  <c r="O9" i="12"/>
  <c r="O9" i="11"/>
  <c r="O31" i="11" s="1"/>
  <c r="O9" i="9"/>
  <c r="O9" i="10"/>
  <c r="O31" i="10" s="1"/>
  <c r="O161" i="7"/>
  <c r="O15" i="3"/>
  <c r="O55" i="7" s="1"/>
  <c r="O126" i="7"/>
  <c r="F41" i="7"/>
  <c r="F6" i="13"/>
  <c r="F6" i="12"/>
  <c r="F6" i="10"/>
  <c r="F6" i="11"/>
  <c r="F6" i="9"/>
  <c r="F12" i="3"/>
  <c r="F52" i="7" s="1"/>
  <c r="F38" i="3"/>
  <c r="F123" i="7" s="1"/>
  <c r="F51" i="3"/>
  <c r="F158" i="7" s="1"/>
  <c r="F25" i="3"/>
  <c r="F87" i="7" s="1"/>
  <c r="J46" i="7"/>
  <c r="J11" i="13"/>
  <c r="J11" i="11"/>
  <c r="J11" i="12"/>
  <c r="J11" i="10"/>
  <c r="J11" i="9"/>
  <c r="J56" i="3"/>
  <c r="J163" i="7" s="1"/>
  <c r="J43" i="3"/>
  <c r="J128" i="7" s="1"/>
  <c r="J17" i="3"/>
  <c r="J57" i="7" s="1"/>
  <c r="J30" i="3"/>
  <c r="J92" i="7" s="1"/>
  <c r="O62" i="7"/>
  <c r="I85" i="7"/>
  <c r="K45" i="7"/>
  <c r="K10" i="13"/>
  <c r="K32" i="13" s="1"/>
  <c r="K10" i="12"/>
  <c r="K10" i="9"/>
  <c r="K32" i="9" s="1"/>
  <c r="K10" i="11"/>
  <c r="K32" i="11" s="1"/>
  <c r="K10" i="10"/>
  <c r="K32" i="10" s="1"/>
  <c r="K16" i="3"/>
  <c r="K56" i="7" s="1"/>
  <c r="K55" i="3"/>
  <c r="K162" i="7" s="1"/>
  <c r="K29" i="3"/>
  <c r="K91" i="7" s="1"/>
  <c r="K42" i="3"/>
  <c r="K127" i="7" s="1"/>
  <c r="H6" i="11"/>
  <c r="H6" i="10"/>
  <c r="H41" i="7"/>
  <c r="H6" i="13"/>
  <c r="H6" i="12"/>
  <c r="H6" i="9"/>
  <c r="H25" i="3"/>
  <c r="H87" i="7" s="1"/>
  <c r="H12" i="3"/>
  <c r="H52" i="7" s="1"/>
  <c r="H38" i="3"/>
  <c r="H123" i="7" s="1"/>
  <c r="H51" i="3"/>
  <c r="H158" i="7" s="1"/>
  <c r="M12" i="13"/>
  <c r="M34" i="13" s="1"/>
  <c r="M12" i="12"/>
  <c r="M12" i="11"/>
  <c r="M34" i="11" s="1"/>
  <c r="P34" i="11" s="1"/>
  <c r="M47" i="7"/>
  <c r="M12" i="9"/>
  <c r="M12" i="10"/>
  <c r="M34" i="10" s="1"/>
  <c r="M44" i="3"/>
  <c r="M129" i="7" s="1"/>
  <c r="M31" i="3"/>
  <c r="M93" i="7" s="1"/>
  <c r="M57" i="3"/>
  <c r="M164" i="7" s="1"/>
  <c r="M18" i="3"/>
  <c r="M58" i="7" s="1"/>
  <c r="E7" i="11"/>
  <c r="E7" i="13"/>
  <c r="E29" i="13" s="1"/>
  <c r="E42" i="7"/>
  <c r="E7" i="9"/>
  <c r="E29" i="9" s="1"/>
  <c r="E7" i="12"/>
  <c r="E7" i="10"/>
  <c r="E52" i="3"/>
  <c r="E159" i="7" s="1"/>
  <c r="E39" i="3"/>
  <c r="E124" i="7" s="1"/>
  <c r="E26" i="3"/>
  <c r="E88" i="7" s="1"/>
  <c r="E13" i="3"/>
  <c r="E53" i="7" s="1"/>
  <c r="I12" i="13"/>
  <c r="I34" i="13" s="1"/>
  <c r="I47" i="7"/>
  <c r="I12" i="9"/>
  <c r="I34" i="9" s="1"/>
  <c r="I12" i="12"/>
  <c r="I12" i="11"/>
  <c r="I12" i="10"/>
  <c r="I57" i="3"/>
  <c r="I164" i="7" s="1"/>
  <c r="I44" i="3"/>
  <c r="I129" i="7" s="1"/>
  <c r="I31" i="3"/>
  <c r="I93" i="7" s="1"/>
  <c r="I18" i="3"/>
  <c r="I58" i="7" s="1"/>
  <c r="N13" i="11"/>
  <c r="N35" i="11" s="1"/>
  <c r="N48" i="7"/>
  <c r="N13" i="10"/>
  <c r="N35" i="10" s="1"/>
  <c r="N13" i="13"/>
  <c r="N35" i="13" s="1"/>
  <c r="N13" i="9"/>
  <c r="N13" i="12"/>
  <c r="N58" i="3"/>
  <c r="N165" i="7" s="1"/>
  <c r="N32" i="3"/>
  <c r="N94" i="7" s="1"/>
  <c r="N45" i="3"/>
  <c r="N130" i="7" s="1"/>
  <c r="N19" i="3"/>
  <c r="N59" i="7" s="1"/>
  <c r="G11" i="11"/>
  <c r="G46" i="7"/>
  <c r="G11" i="10"/>
  <c r="G11" i="13"/>
  <c r="G33" i="13" s="1"/>
  <c r="G11" i="12"/>
  <c r="G11" i="9"/>
  <c r="G33" i="9" s="1"/>
  <c r="G56" i="3"/>
  <c r="G163" i="7" s="1"/>
  <c r="G30" i="3"/>
  <c r="G92" i="7" s="1"/>
  <c r="G17" i="3"/>
  <c r="G57" i="7" s="1"/>
  <c r="G43" i="3"/>
  <c r="G128" i="7" s="1"/>
  <c r="J7" i="12"/>
  <c r="J7" i="10"/>
  <c r="J42" i="7"/>
  <c r="J7" i="13"/>
  <c r="J7" i="11"/>
  <c r="J7" i="9"/>
  <c r="J39" i="3"/>
  <c r="J124" i="7" s="1"/>
  <c r="J13" i="3"/>
  <c r="J53" i="7" s="1"/>
  <c r="J52" i="3"/>
  <c r="J159" i="7" s="1"/>
  <c r="J26" i="3"/>
  <c r="J88" i="7" s="1"/>
  <c r="N12" i="10"/>
  <c r="N34" i="10" s="1"/>
  <c r="N47" i="7"/>
  <c r="N12" i="11"/>
  <c r="N34" i="11" s="1"/>
  <c r="N12" i="12"/>
  <c r="N12" i="13"/>
  <c r="N34" i="13" s="1"/>
  <c r="N12" i="9"/>
  <c r="N44" i="3"/>
  <c r="N129" i="7" s="1"/>
  <c r="N57" i="3"/>
  <c r="N164" i="7" s="1"/>
  <c r="N18" i="3"/>
  <c r="N58" i="7" s="1"/>
  <c r="N31" i="3"/>
  <c r="N93" i="7" s="1"/>
  <c r="M167" i="7"/>
  <c r="O168" i="7"/>
  <c r="L9" i="12"/>
  <c r="L9" i="11"/>
  <c r="L31" i="11" s="1"/>
  <c r="L44" i="7"/>
  <c r="L9" i="10"/>
  <c r="L31" i="10" s="1"/>
  <c r="L9" i="9"/>
  <c r="L9" i="13"/>
  <c r="L31" i="13" s="1"/>
  <c r="L28" i="3"/>
  <c r="L90" i="7" s="1"/>
  <c r="L15" i="3"/>
  <c r="L55" i="7" s="1"/>
  <c r="L41" i="3"/>
  <c r="L126" i="7" s="1"/>
  <c r="L54" i="3"/>
  <c r="L161" i="7" s="1"/>
  <c r="E40" i="7"/>
  <c r="E5" i="13"/>
  <c r="E27" i="13" s="1"/>
  <c r="E5" i="12"/>
  <c r="E5" i="9"/>
  <c r="E27" i="9" s="1"/>
  <c r="E5" i="10"/>
  <c r="E5" i="11"/>
  <c r="E50" i="3"/>
  <c r="E24" i="3"/>
  <c r="E86" i="7" s="1"/>
  <c r="E11" i="3"/>
  <c r="E51" i="7" s="1"/>
  <c r="E37" i="3"/>
  <c r="E122" i="7" s="1"/>
  <c r="D46" i="7"/>
  <c r="D11" i="13"/>
  <c r="D11" i="12"/>
  <c r="D11" i="10"/>
  <c r="D11" i="9"/>
  <c r="D11" i="11"/>
  <c r="D30" i="3"/>
  <c r="D92" i="7" s="1"/>
  <c r="D17" i="3"/>
  <c r="D57" i="7" s="1"/>
  <c r="D43" i="3"/>
  <c r="D128" i="7" s="1"/>
  <c r="D56" i="3"/>
  <c r="D163" i="7" s="1"/>
  <c r="I6" i="12"/>
  <c r="I41" i="7"/>
  <c r="I6" i="9"/>
  <c r="I28" i="9" s="1"/>
  <c r="I6" i="11"/>
  <c r="I6" i="13"/>
  <c r="I28" i="13" s="1"/>
  <c r="I6" i="10"/>
  <c r="I51" i="3"/>
  <c r="I158" i="7" s="1"/>
  <c r="I25" i="3"/>
  <c r="I87" i="7" s="1"/>
  <c r="I12" i="3"/>
  <c r="I52" i="7" s="1"/>
  <c r="I38" i="3"/>
  <c r="I123" i="7" s="1"/>
  <c r="N7" i="12"/>
  <c r="N7" i="11"/>
  <c r="N29" i="11" s="1"/>
  <c r="N42" i="7"/>
  <c r="N7" i="9"/>
  <c r="N7" i="10"/>
  <c r="N29" i="10" s="1"/>
  <c r="N7" i="13"/>
  <c r="N29" i="13" s="1"/>
  <c r="N52" i="3"/>
  <c r="N159" i="7" s="1"/>
  <c r="N26" i="3"/>
  <c r="N88" i="7" s="1"/>
  <c r="N13" i="3"/>
  <c r="N53" i="7" s="1"/>
  <c r="N39" i="3"/>
  <c r="N124" i="7" s="1"/>
  <c r="M96" i="7"/>
  <c r="C126" i="7"/>
  <c r="L46" i="7"/>
  <c r="L11" i="12"/>
  <c r="L11" i="11"/>
  <c r="L33" i="11" s="1"/>
  <c r="L11" i="13"/>
  <c r="L33" i="13" s="1"/>
  <c r="L11" i="10"/>
  <c r="L33" i="10" s="1"/>
  <c r="L11" i="9"/>
  <c r="L30" i="3"/>
  <c r="L92" i="7" s="1"/>
  <c r="L17" i="3"/>
  <c r="L57" i="7" s="1"/>
  <c r="L43" i="3"/>
  <c r="L128" i="7" s="1"/>
  <c r="L56" i="3"/>
  <c r="L163" i="7" s="1"/>
  <c r="J8" i="13"/>
  <c r="J43" i="7"/>
  <c r="J8" i="10"/>
  <c r="J8" i="12"/>
  <c r="J8" i="11"/>
  <c r="J8" i="9"/>
  <c r="J40" i="3"/>
  <c r="J125" i="7" s="1"/>
  <c r="J53" i="3"/>
  <c r="J160" i="7" s="1"/>
  <c r="J27" i="3"/>
  <c r="J89" i="7" s="1"/>
  <c r="J14" i="3"/>
  <c r="J54" i="7" s="1"/>
  <c r="D7" i="11"/>
  <c r="D42" i="7"/>
  <c r="D7" i="13"/>
  <c r="D7" i="12"/>
  <c r="D7" i="9"/>
  <c r="D7" i="10"/>
  <c r="D26" i="3"/>
  <c r="D88" i="7" s="1"/>
  <c r="D13" i="3"/>
  <c r="D53" i="7" s="1"/>
  <c r="D39" i="3"/>
  <c r="D124" i="7" s="1"/>
  <c r="D52" i="3"/>
  <c r="D159" i="7" s="1"/>
  <c r="H47" i="7"/>
  <c r="H12" i="13"/>
  <c r="H12" i="11"/>
  <c r="H12" i="9"/>
  <c r="H12" i="12"/>
  <c r="H12" i="10"/>
  <c r="H31" i="3"/>
  <c r="H93" i="7" s="1"/>
  <c r="H18" i="3"/>
  <c r="H58" i="7" s="1"/>
  <c r="H44" i="3"/>
  <c r="H129" i="7" s="1"/>
  <c r="H57" i="3"/>
  <c r="H164" i="7" s="1"/>
  <c r="M7" i="13"/>
  <c r="M29" i="13" s="1"/>
  <c r="M7" i="11"/>
  <c r="M29" i="11" s="1"/>
  <c r="M42" i="7"/>
  <c r="M7" i="9"/>
  <c r="M7" i="12"/>
  <c r="M7" i="10"/>
  <c r="M29" i="10" s="1"/>
  <c r="M52" i="3"/>
  <c r="M159" i="7" s="1"/>
  <c r="M26" i="3"/>
  <c r="M88" i="7" s="1"/>
  <c r="M13" i="3"/>
  <c r="M53" i="7" s="1"/>
  <c r="M39" i="3"/>
  <c r="M124" i="7" s="1"/>
  <c r="E13" i="11"/>
  <c r="E13" i="10"/>
  <c r="E35" i="10" s="1"/>
  <c r="E48" i="7"/>
  <c r="E13" i="9"/>
  <c r="E13" i="13"/>
  <c r="E35" i="13" s="1"/>
  <c r="E13" i="12"/>
  <c r="E58" i="3"/>
  <c r="E165" i="7" s="1"/>
  <c r="E32" i="3"/>
  <c r="E94" i="7" s="1"/>
  <c r="E19" i="3"/>
  <c r="E59" i="7" s="1"/>
  <c r="E45" i="3"/>
  <c r="E130" i="7" s="1"/>
  <c r="F9" i="13"/>
  <c r="F44" i="7"/>
  <c r="F9" i="10"/>
  <c r="F9" i="11"/>
  <c r="F9" i="12"/>
  <c r="F9" i="9"/>
  <c r="F54" i="3"/>
  <c r="F161" i="7" s="1"/>
  <c r="F28" i="3"/>
  <c r="F90" i="7" s="1"/>
  <c r="F15" i="3"/>
  <c r="F55" i="7" s="1"/>
  <c r="F41" i="3"/>
  <c r="F126" i="7" s="1"/>
  <c r="C30" i="3"/>
  <c r="C92" i="7" s="1"/>
  <c r="C46" i="7"/>
  <c r="C11" i="12"/>
  <c r="C11" i="13"/>
  <c r="C33" i="13" s="1"/>
  <c r="C11" i="9"/>
  <c r="C33" i="9" s="1"/>
  <c r="C11" i="11"/>
  <c r="C11" i="10"/>
  <c r="C56" i="3"/>
  <c r="C163" i="7" s="1"/>
  <c r="C17" i="3"/>
  <c r="C57" i="7" s="1"/>
  <c r="C43" i="3"/>
  <c r="C128" i="7" s="1"/>
  <c r="K41" i="7"/>
  <c r="K6" i="11"/>
  <c r="K28" i="11" s="1"/>
  <c r="K6" i="9"/>
  <c r="K28" i="9" s="1"/>
  <c r="K6" i="13"/>
  <c r="K28" i="13" s="1"/>
  <c r="K6" i="10"/>
  <c r="K28" i="10" s="1"/>
  <c r="K6" i="12"/>
  <c r="K51" i="3"/>
  <c r="K158" i="7" s="1"/>
  <c r="K25" i="3"/>
  <c r="K87" i="7" s="1"/>
  <c r="K12" i="3"/>
  <c r="K52" i="7" s="1"/>
  <c r="K38" i="3"/>
  <c r="K123" i="7" s="1"/>
  <c r="O11" i="11"/>
  <c r="O33" i="11" s="1"/>
  <c r="O46" i="7"/>
  <c r="O11" i="9"/>
  <c r="O11" i="13"/>
  <c r="O33" i="13" s="1"/>
  <c r="O11" i="12"/>
  <c r="O11" i="10"/>
  <c r="O33" i="10" s="1"/>
  <c r="O17" i="3"/>
  <c r="O57" i="7" s="1"/>
  <c r="O163" i="7"/>
  <c r="O128" i="7"/>
  <c r="F8" i="11"/>
  <c r="F43" i="7"/>
  <c r="F8" i="10"/>
  <c r="F8" i="9"/>
  <c r="F8" i="12"/>
  <c r="F8" i="13"/>
  <c r="F40" i="3"/>
  <c r="F125" i="7" s="1"/>
  <c r="F14" i="3"/>
  <c r="F54" i="7" s="1"/>
  <c r="F53" i="3"/>
  <c r="F160" i="7" s="1"/>
  <c r="F27" i="3"/>
  <c r="F89" i="7" s="1"/>
  <c r="J13" i="12"/>
  <c r="J48" i="7"/>
  <c r="J13" i="11"/>
  <c r="J13" i="13"/>
  <c r="J13" i="10"/>
  <c r="J13" i="9"/>
  <c r="J45" i="3"/>
  <c r="J130" i="7" s="1"/>
  <c r="J58" i="3"/>
  <c r="J165" i="7" s="1"/>
  <c r="J19" i="3"/>
  <c r="J59" i="7" s="1"/>
  <c r="J32" i="3"/>
  <c r="J94" i="7" s="1"/>
  <c r="M121" i="7"/>
  <c r="M132" i="7" s="1"/>
  <c r="N62" i="7"/>
  <c r="N133" i="7"/>
  <c r="G9" i="12"/>
  <c r="G9" i="13"/>
  <c r="G31" i="13" s="1"/>
  <c r="G44" i="7"/>
  <c r="G9" i="10"/>
  <c r="G9" i="11"/>
  <c r="G9" i="9"/>
  <c r="G31" i="9" s="1"/>
  <c r="G54" i="3"/>
  <c r="G161" i="7" s="1"/>
  <c r="G28" i="3"/>
  <c r="G90" i="7" s="1"/>
  <c r="G15" i="3"/>
  <c r="G55" i="7" s="1"/>
  <c r="G41" i="3"/>
  <c r="G126" i="7" s="1"/>
  <c r="L7" i="11"/>
  <c r="L29" i="11" s="1"/>
  <c r="L7" i="10"/>
  <c r="L29" i="10" s="1"/>
  <c r="L42" i="7"/>
  <c r="L7" i="13"/>
  <c r="L29" i="13" s="1"/>
  <c r="L7" i="9"/>
  <c r="L7" i="12"/>
  <c r="L26" i="3"/>
  <c r="L88" i="7" s="1"/>
  <c r="L13" i="3"/>
  <c r="L53" i="7" s="1"/>
  <c r="L39" i="3"/>
  <c r="L124" i="7" s="1"/>
  <c r="L52" i="3"/>
  <c r="L159" i="7" s="1"/>
  <c r="I8" i="13"/>
  <c r="I30" i="13" s="1"/>
  <c r="I43" i="7"/>
  <c r="I8" i="12"/>
  <c r="I8" i="9"/>
  <c r="I30" i="9" s="1"/>
  <c r="I8" i="11"/>
  <c r="I8" i="10"/>
  <c r="I53" i="3"/>
  <c r="I160" i="7" s="1"/>
  <c r="I27" i="3"/>
  <c r="I89" i="7" s="1"/>
  <c r="I40" i="3"/>
  <c r="I125" i="7" s="1"/>
  <c r="I14" i="3"/>
  <c r="I54" i="7" s="1"/>
  <c r="N9" i="12"/>
  <c r="N44" i="7"/>
  <c r="N9" i="13"/>
  <c r="N31" i="13" s="1"/>
  <c r="N9" i="10"/>
  <c r="N31" i="10" s="1"/>
  <c r="N9" i="9"/>
  <c r="N9" i="11"/>
  <c r="N31" i="11" s="1"/>
  <c r="N54" i="3"/>
  <c r="N161" i="7" s="1"/>
  <c r="N28" i="3"/>
  <c r="N90" i="7" s="1"/>
  <c r="N41" i="3"/>
  <c r="N126" i="7" s="1"/>
  <c r="N15" i="3"/>
  <c r="N55" i="7" s="1"/>
  <c r="G7" i="13"/>
  <c r="G29" i="13" s="1"/>
  <c r="G7" i="10"/>
  <c r="G42" i="7"/>
  <c r="G7" i="11"/>
  <c r="G7" i="9"/>
  <c r="G29" i="9" s="1"/>
  <c r="G7" i="12"/>
  <c r="G52" i="3"/>
  <c r="G159" i="7" s="1"/>
  <c r="G13" i="3"/>
  <c r="G53" i="7" s="1"/>
  <c r="G26" i="3"/>
  <c r="G88" i="7" s="1"/>
  <c r="G39" i="3"/>
  <c r="G124" i="7" s="1"/>
  <c r="K47" i="7"/>
  <c r="K12" i="11"/>
  <c r="K12" i="9"/>
  <c r="K34" i="9" s="1"/>
  <c r="K12" i="12"/>
  <c r="K12" i="13"/>
  <c r="K34" i="13" s="1"/>
  <c r="K12" i="10"/>
  <c r="K34" i="10" s="1"/>
  <c r="K57" i="3"/>
  <c r="K164" i="7" s="1"/>
  <c r="K18" i="3"/>
  <c r="K58" i="7" s="1"/>
  <c r="K31" i="3"/>
  <c r="K93" i="7" s="1"/>
  <c r="K44" i="3"/>
  <c r="K129" i="7" s="1"/>
  <c r="N8" i="11"/>
  <c r="N30" i="11" s="1"/>
  <c r="N43" i="7"/>
  <c r="N8" i="12"/>
  <c r="N8" i="10"/>
  <c r="N30" i="10" s="1"/>
  <c r="N8" i="9"/>
  <c r="N8" i="13"/>
  <c r="N30" i="13" s="1"/>
  <c r="N40" i="3"/>
  <c r="N125" i="7" s="1"/>
  <c r="N53" i="3"/>
  <c r="N160" i="7" s="1"/>
  <c r="N14" i="3"/>
  <c r="N54" i="7" s="1"/>
  <c r="N27" i="3"/>
  <c r="N89" i="7" s="1"/>
  <c r="C7" i="11"/>
  <c r="C42" i="7"/>
  <c r="C7" i="13"/>
  <c r="C29" i="13" s="1"/>
  <c r="C7" i="10"/>
  <c r="C7" i="9"/>
  <c r="C29" i="9" s="1"/>
  <c r="C7" i="12"/>
  <c r="C26" i="3"/>
  <c r="C88" i="7" s="1"/>
  <c r="C13" i="3"/>
  <c r="C53" i="7" s="1"/>
  <c r="C39" i="3"/>
  <c r="C124" i="7" s="1"/>
  <c r="C52" i="3"/>
  <c r="C159" i="7" s="1"/>
  <c r="N86" i="7"/>
  <c r="N97" i="7" s="1"/>
  <c r="N10" i="13"/>
  <c r="N32" i="13" s="1"/>
  <c r="N10" i="11"/>
  <c r="N32" i="11" s="1"/>
  <c r="N45" i="7"/>
  <c r="N10" i="12"/>
  <c r="N10" i="9"/>
  <c r="N10" i="10"/>
  <c r="N32" i="10" s="1"/>
  <c r="N16" i="3"/>
  <c r="N56" i="7" s="1"/>
  <c r="N42" i="3"/>
  <c r="N127" i="7" s="1"/>
  <c r="N55" i="3"/>
  <c r="N162" i="7" s="1"/>
  <c r="N29" i="3"/>
  <c r="N91" i="7" s="1"/>
  <c r="M46" i="7"/>
  <c r="M11" i="11"/>
  <c r="M33" i="11" s="1"/>
  <c r="M11" i="10"/>
  <c r="M33" i="10" s="1"/>
  <c r="M11" i="13"/>
  <c r="M33" i="13" s="1"/>
  <c r="M11" i="9"/>
  <c r="M11" i="12"/>
  <c r="M56" i="3"/>
  <c r="M163" i="7" s="1"/>
  <c r="M30" i="3"/>
  <c r="M92" i="7" s="1"/>
  <c r="M17" i="3"/>
  <c r="M57" i="7" s="1"/>
  <c r="M43" i="3"/>
  <c r="M128" i="7" s="1"/>
  <c r="F13" i="11"/>
  <c r="F13" i="10"/>
  <c r="F48" i="7"/>
  <c r="F13" i="9"/>
  <c r="F13" i="13"/>
  <c r="F13" i="12"/>
  <c r="F45" i="3"/>
  <c r="F130" i="7" s="1"/>
  <c r="F58" i="3"/>
  <c r="F165" i="7" s="1"/>
  <c r="F32" i="3"/>
  <c r="F94" i="7" s="1"/>
  <c r="F19" i="3"/>
  <c r="F59" i="7" s="1"/>
  <c r="F12" i="12"/>
  <c r="F47" i="7"/>
  <c r="F12" i="13"/>
  <c r="F12" i="11"/>
  <c r="F12" i="9"/>
  <c r="F12" i="10"/>
  <c r="F44" i="3"/>
  <c r="F129" i="7" s="1"/>
  <c r="F57" i="3"/>
  <c r="F164" i="7" s="1"/>
  <c r="F18" i="3"/>
  <c r="F58" i="7" s="1"/>
  <c r="F31" i="3"/>
  <c r="F93" i="7" s="1"/>
  <c r="D48" i="7"/>
  <c r="D13" i="13"/>
  <c r="D13" i="12"/>
  <c r="D13" i="11"/>
  <c r="D13" i="10"/>
  <c r="D13" i="9"/>
  <c r="D32" i="3"/>
  <c r="D94" i="7" s="1"/>
  <c r="D19" i="3"/>
  <c r="D59" i="7" s="1"/>
  <c r="D45" i="3"/>
  <c r="D130" i="7" s="1"/>
  <c r="D58" i="3"/>
  <c r="D165" i="7" s="1"/>
  <c r="M13" i="11"/>
  <c r="M35" i="11" s="1"/>
  <c r="M48" i="7"/>
  <c r="M13" i="12"/>
  <c r="M13" i="9"/>
  <c r="M13" i="10"/>
  <c r="M35" i="10" s="1"/>
  <c r="M13" i="13"/>
  <c r="M35" i="13" s="1"/>
  <c r="M58" i="3"/>
  <c r="M165" i="7" s="1"/>
  <c r="M32" i="3"/>
  <c r="M94" i="7" s="1"/>
  <c r="M45" i="3"/>
  <c r="M130" i="7" s="1"/>
  <c r="M19" i="3"/>
  <c r="M59" i="7" s="1"/>
  <c r="H43" i="7"/>
  <c r="H8" i="11"/>
  <c r="H8" i="9"/>
  <c r="H8" i="12"/>
  <c r="H8" i="10"/>
  <c r="H8" i="13"/>
  <c r="H27" i="3"/>
  <c r="H89" i="7" s="1"/>
  <c r="H14" i="3"/>
  <c r="H54" i="7" s="1"/>
  <c r="H40" i="3"/>
  <c r="H125" i="7" s="1"/>
  <c r="H53" i="3"/>
  <c r="H160" i="7" s="1"/>
  <c r="L48" i="7"/>
  <c r="L13" i="13"/>
  <c r="L35" i="13" s="1"/>
  <c r="L13" i="11"/>
  <c r="L35" i="11" s="1"/>
  <c r="L13" i="9"/>
  <c r="L13" i="12"/>
  <c r="L13" i="10"/>
  <c r="L35" i="10" s="1"/>
  <c r="L32" i="3"/>
  <c r="L94" i="7" s="1"/>
  <c r="L19" i="3"/>
  <c r="L59" i="7" s="1"/>
  <c r="L45" i="3"/>
  <c r="L130" i="7" s="1"/>
  <c r="L58" i="3"/>
  <c r="L165" i="7" s="1"/>
  <c r="E6" i="12"/>
  <c r="E6" i="13"/>
  <c r="E28" i="13" s="1"/>
  <c r="E41" i="7"/>
  <c r="E6" i="9"/>
  <c r="E28" i="9" s="1"/>
  <c r="E6" i="10"/>
  <c r="E6" i="11"/>
  <c r="E38" i="3"/>
  <c r="E123" i="7" s="1"/>
  <c r="E25" i="3"/>
  <c r="E87" i="7" s="1"/>
  <c r="E51" i="3"/>
  <c r="E158" i="7" s="1"/>
  <c r="E12" i="3"/>
  <c r="E52" i="7" s="1"/>
  <c r="E9" i="12"/>
  <c r="E9" i="13"/>
  <c r="E31" i="13" s="1"/>
  <c r="E44" i="7"/>
  <c r="E9" i="11"/>
  <c r="E9" i="10"/>
  <c r="E9" i="9"/>
  <c r="E31" i="9" s="1"/>
  <c r="E54" i="3"/>
  <c r="E161" i="7" s="1"/>
  <c r="E28" i="3"/>
  <c r="E90" i="7" s="1"/>
  <c r="E15" i="3"/>
  <c r="E55" i="7" s="1"/>
  <c r="E41" i="3"/>
  <c r="E126" i="7" s="1"/>
  <c r="C45" i="7"/>
  <c r="C10" i="10"/>
  <c r="C10" i="12"/>
  <c r="C10" i="13"/>
  <c r="C32" i="13" s="1"/>
  <c r="C10" i="11"/>
  <c r="C10" i="9"/>
  <c r="C32" i="9" s="1"/>
  <c r="C55" i="3"/>
  <c r="C162" i="7" s="1"/>
  <c r="C16" i="3"/>
  <c r="C56" i="7" s="1"/>
  <c r="C29" i="3"/>
  <c r="C91" i="7" s="1"/>
  <c r="C42" i="3"/>
  <c r="C127" i="7" s="1"/>
  <c r="J10" i="12"/>
  <c r="J45" i="7"/>
  <c r="J10" i="13"/>
  <c r="J10" i="9"/>
  <c r="J10" i="11"/>
  <c r="J10" i="10"/>
  <c r="J55" i="3"/>
  <c r="J162" i="7" s="1"/>
  <c r="J29" i="3"/>
  <c r="J91" i="7" s="1"/>
  <c r="J16" i="3"/>
  <c r="J56" i="7" s="1"/>
  <c r="J42" i="3"/>
  <c r="J127" i="7" s="1"/>
  <c r="O7" i="12"/>
  <c r="O7" i="13"/>
  <c r="O29" i="13" s="1"/>
  <c r="O42" i="7"/>
  <c r="O7" i="9"/>
  <c r="O7" i="11"/>
  <c r="O29" i="11" s="1"/>
  <c r="O7" i="10"/>
  <c r="O29" i="10" s="1"/>
  <c r="O13" i="3"/>
  <c r="O53" i="7" s="1"/>
  <c r="G13" i="11"/>
  <c r="G13" i="13"/>
  <c r="G35" i="13" s="1"/>
  <c r="G13" i="12"/>
  <c r="G48" i="7"/>
  <c r="G13" i="9"/>
  <c r="G13" i="10"/>
  <c r="G35" i="10" s="1"/>
  <c r="G19" i="3"/>
  <c r="G59" i="7" s="1"/>
  <c r="G58" i="3"/>
  <c r="G165" i="7" s="1"/>
  <c r="G32" i="3"/>
  <c r="G94" i="7" s="1"/>
  <c r="G45" i="3"/>
  <c r="G130" i="7" s="1"/>
  <c r="F4" i="12"/>
  <c r="F4" i="13"/>
  <c r="F39" i="7"/>
  <c r="F4" i="10"/>
  <c r="F4" i="11"/>
  <c r="F4" i="9"/>
  <c r="F45" i="6"/>
  <c r="F36" i="3"/>
  <c r="F121" i="7" s="1"/>
  <c r="F49" i="3"/>
  <c r="F156" i="7" s="1"/>
  <c r="F10" i="3"/>
  <c r="F23" i="3"/>
  <c r="F85" i="7" s="1"/>
  <c r="J44" i="7"/>
  <c r="J9" i="11"/>
  <c r="J9" i="9"/>
  <c r="J9" i="13"/>
  <c r="J9" i="10"/>
  <c r="J9" i="12"/>
  <c r="J41" i="3"/>
  <c r="J126" i="7" s="1"/>
  <c r="J54" i="3"/>
  <c r="J161" i="7" s="1"/>
  <c r="J15" i="3"/>
  <c r="J55" i="7" s="1"/>
  <c r="J28" i="3"/>
  <c r="J90" i="7" s="1"/>
  <c r="K85" i="7"/>
  <c r="K96" i="7" s="1"/>
  <c r="J156" i="7"/>
  <c r="I10" i="13"/>
  <c r="I32" i="13" s="1"/>
  <c r="I45" i="7"/>
  <c r="I10" i="12"/>
  <c r="I10" i="9"/>
  <c r="I32" i="9" s="1"/>
  <c r="I10" i="10"/>
  <c r="I10" i="11"/>
  <c r="I55" i="3"/>
  <c r="I162" i="7" s="1"/>
  <c r="I42" i="3"/>
  <c r="I127" i="7" s="1"/>
  <c r="I29" i="3"/>
  <c r="I91" i="7" s="1"/>
  <c r="I16" i="3"/>
  <c r="I56" i="7" s="1"/>
  <c r="J41" i="7"/>
  <c r="J6" i="12"/>
  <c r="J6" i="13"/>
  <c r="J6" i="11"/>
  <c r="J6" i="10"/>
  <c r="J6" i="9"/>
  <c r="J38" i="3"/>
  <c r="J123" i="7" s="1"/>
  <c r="J51" i="3"/>
  <c r="J158" i="7" s="1"/>
  <c r="J25" i="3"/>
  <c r="J87" i="7" s="1"/>
  <c r="J12" i="3"/>
  <c r="J52" i="7" s="1"/>
  <c r="N46" i="7"/>
  <c r="N11" i="11"/>
  <c r="N33" i="11" s="1"/>
  <c r="N11" i="9"/>
  <c r="N11" i="12"/>
  <c r="N11" i="10"/>
  <c r="N33" i="10" s="1"/>
  <c r="N11" i="13"/>
  <c r="N33" i="13" s="1"/>
  <c r="N56" i="3"/>
  <c r="N163" i="7" s="1"/>
  <c r="N43" i="3"/>
  <c r="N128" i="7" s="1"/>
  <c r="N30" i="3"/>
  <c r="N92" i="7" s="1"/>
  <c r="N17" i="3"/>
  <c r="N57" i="7" s="1"/>
  <c r="E10" i="13"/>
  <c r="E32" i="13" s="1"/>
  <c r="E10" i="11"/>
  <c r="E10" i="10"/>
  <c r="E45" i="7"/>
  <c r="E10" i="9"/>
  <c r="E32" i="9" s="1"/>
  <c r="E10" i="12"/>
  <c r="E42" i="3"/>
  <c r="E127" i="7" s="1"/>
  <c r="E29" i="3"/>
  <c r="E91" i="7" s="1"/>
  <c r="E55" i="3"/>
  <c r="E162" i="7" s="1"/>
  <c r="E16" i="3"/>
  <c r="E56" i="7" s="1"/>
  <c r="M10" i="11"/>
  <c r="M32" i="11" s="1"/>
  <c r="M45" i="7"/>
  <c r="M10" i="13"/>
  <c r="M32" i="13" s="1"/>
  <c r="M10" i="12"/>
  <c r="M10" i="9"/>
  <c r="M10" i="10"/>
  <c r="M32" i="10" s="1"/>
  <c r="M42" i="3"/>
  <c r="M127" i="7" s="1"/>
  <c r="M55" i="3"/>
  <c r="M162" i="7" s="1"/>
  <c r="M29" i="3"/>
  <c r="M91" i="7" s="1"/>
  <c r="M16" i="3"/>
  <c r="M56" i="7" s="1"/>
  <c r="N6" i="12"/>
  <c r="N41" i="7"/>
  <c r="N6" i="11"/>
  <c r="N28" i="11" s="1"/>
  <c r="N6" i="13"/>
  <c r="N28" i="13" s="1"/>
  <c r="N6" i="9"/>
  <c r="N6" i="10"/>
  <c r="N28" i="10" s="1"/>
  <c r="N38" i="3"/>
  <c r="N123" i="7" s="1"/>
  <c r="N12" i="3"/>
  <c r="N52" i="7" s="1"/>
  <c r="N51" i="3"/>
  <c r="N158" i="7" s="1"/>
  <c r="N25" i="3"/>
  <c r="N87" i="7" s="1"/>
  <c r="D9" i="9"/>
  <c r="D9" i="11"/>
  <c r="D9" i="12"/>
  <c r="D44" i="7"/>
  <c r="D9" i="10"/>
  <c r="D9" i="13"/>
  <c r="D28" i="3"/>
  <c r="D90" i="7" s="1"/>
  <c r="D15" i="3"/>
  <c r="D55" i="7" s="1"/>
  <c r="D41" i="3"/>
  <c r="D126" i="7" s="1"/>
  <c r="D54" i="3"/>
  <c r="D161" i="7" s="1"/>
  <c r="M6" i="13"/>
  <c r="M28" i="13" s="1"/>
  <c r="M6" i="12"/>
  <c r="M41" i="7"/>
  <c r="M6" i="11"/>
  <c r="M28" i="11" s="1"/>
  <c r="M6" i="9"/>
  <c r="M6" i="10"/>
  <c r="M28" i="10" s="1"/>
  <c r="M38" i="3"/>
  <c r="M123" i="7" s="1"/>
  <c r="M25" i="3"/>
  <c r="M87" i="7" s="1"/>
  <c r="M51" i="3"/>
  <c r="M158" i="7" s="1"/>
  <c r="M12" i="3"/>
  <c r="M52" i="7" s="1"/>
  <c r="M9" i="13"/>
  <c r="M31" i="13" s="1"/>
  <c r="M9" i="12"/>
  <c r="M44" i="7"/>
  <c r="M9" i="10"/>
  <c r="M31" i="10" s="1"/>
  <c r="M9" i="9"/>
  <c r="M9" i="11"/>
  <c r="M31" i="11" s="1"/>
  <c r="M54" i="3"/>
  <c r="M161" i="7" s="1"/>
  <c r="M28" i="3"/>
  <c r="M90" i="7" s="1"/>
  <c r="M15" i="3"/>
  <c r="M55" i="7" s="1"/>
  <c r="M41" i="3"/>
  <c r="M126" i="7" s="1"/>
  <c r="F46" i="7"/>
  <c r="F11" i="12"/>
  <c r="F11" i="13"/>
  <c r="F11" i="9"/>
  <c r="F11" i="10"/>
  <c r="F11" i="11"/>
  <c r="F43" i="3"/>
  <c r="F128" i="7" s="1"/>
  <c r="F56" i="3"/>
  <c r="F163" i="7" s="1"/>
  <c r="F30" i="3"/>
  <c r="F92" i="7" s="1"/>
  <c r="F17" i="3"/>
  <c r="F57" i="7" s="1"/>
  <c r="M8" i="13"/>
  <c r="M30" i="13" s="1"/>
  <c r="M8" i="10"/>
  <c r="M30" i="10" s="1"/>
  <c r="M43" i="7"/>
  <c r="M8" i="11"/>
  <c r="M30" i="11" s="1"/>
  <c r="M8" i="9"/>
  <c r="M8" i="12"/>
  <c r="M40" i="3"/>
  <c r="M125" i="7" s="1"/>
  <c r="M53" i="3"/>
  <c r="M160" i="7" s="1"/>
  <c r="M27" i="3"/>
  <c r="M89" i="7" s="1"/>
  <c r="M14" i="3"/>
  <c r="M54" i="7" s="1"/>
  <c r="K43" i="7"/>
  <c r="K8" i="10"/>
  <c r="K30" i="10" s="1"/>
  <c r="K8" i="11"/>
  <c r="K8" i="13"/>
  <c r="K30" i="13" s="1"/>
  <c r="K8" i="12"/>
  <c r="K8" i="9"/>
  <c r="K30" i="9" s="1"/>
  <c r="K14" i="3"/>
  <c r="K54" i="7" s="1"/>
  <c r="K53" i="3"/>
  <c r="K160" i="7" s="1"/>
  <c r="K27" i="3"/>
  <c r="K89" i="7" s="1"/>
  <c r="K40" i="3"/>
  <c r="K125" i="7" s="1"/>
  <c r="O13" i="11"/>
  <c r="O35" i="11" s="1"/>
  <c r="O13" i="13"/>
  <c r="O35" i="13" s="1"/>
  <c r="O48" i="7"/>
  <c r="O13" i="12"/>
  <c r="O13" i="10"/>
  <c r="O35" i="10" s="1"/>
  <c r="O13" i="9"/>
  <c r="O94" i="7"/>
  <c r="O19" i="3"/>
  <c r="O59" i="7" s="1"/>
  <c r="N4" i="13"/>
  <c r="N26" i="13" s="1"/>
  <c r="N4" i="12"/>
  <c r="N39" i="7"/>
  <c r="N4" i="11"/>
  <c r="N26" i="11" s="1"/>
  <c r="N4" i="10"/>
  <c r="N26" i="10" s="1"/>
  <c r="N4" i="9"/>
  <c r="N26" i="9" s="1"/>
  <c r="N45" i="6"/>
  <c r="N49" i="3"/>
  <c r="N10" i="3"/>
  <c r="N36" i="3"/>
  <c r="N23" i="3"/>
  <c r="N85" i="7" s="1"/>
  <c r="F10" i="11"/>
  <c r="F10" i="10"/>
  <c r="F45" i="7"/>
  <c r="F10" i="9"/>
  <c r="F10" i="13"/>
  <c r="F10" i="12"/>
  <c r="F42" i="3"/>
  <c r="F127" i="7" s="1"/>
  <c r="F55" i="3"/>
  <c r="F162" i="7" s="1"/>
  <c r="F29" i="3"/>
  <c r="F91" i="7" s="1"/>
  <c r="F16" i="3"/>
  <c r="F56" i="7" s="1"/>
  <c r="K50" i="7"/>
  <c r="M50" i="7"/>
  <c r="M61" i="7" s="1"/>
  <c r="I50" i="7"/>
  <c r="F86" i="7"/>
  <c r="J45" i="13"/>
  <c r="H45" i="13"/>
  <c r="F45" i="13"/>
  <c r="D45" i="13"/>
  <c r="D28" i="13"/>
  <c r="J45" i="12"/>
  <c r="H45" i="12"/>
  <c r="H31" i="12"/>
  <c r="F45" i="12"/>
  <c r="D45" i="12"/>
  <c r="D34" i="12"/>
  <c r="J45" i="11"/>
  <c r="F45" i="11"/>
  <c r="J46" i="11"/>
  <c r="H46" i="11"/>
  <c r="H45" i="11"/>
  <c r="F46" i="11"/>
  <c r="D46" i="11"/>
  <c r="D45" i="11"/>
  <c r="J49" i="10"/>
  <c r="J48" i="10"/>
  <c r="J47" i="10"/>
  <c r="H49" i="10"/>
  <c r="H48" i="10"/>
  <c r="H47" i="10"/>
  <c r="H35" i="10"/>
  <c r="F49" i="10"/>
  <c r="F48" i="10"/>
  <c r="F47" i="10"/>
  <c r="D47" i="10"/>
  <c r="D48" i="10"/>
  <c r="D49" i="10"/>
  <c r="M26" i="9"/>
  <c r="O140" i="7" l="1"/>
  <c r="W121" i="7"/>
  <c r="W46" i="3"/>
  <c r="Z156" i="7"/>
  <c r="Z59" i="3"/>
  <c r="U50" i="7"/>
  <c r="U20" i="3"/>
  <c r="T50" i="7"/>
  <c r="T20" i="3"/>
  <c r="V85" i="7"/>
  <c r="V33" i="3"/>
  <c r="Q121" i="7"/>
  <c r="Q46" i="3"/>
  <c r="AB156" i="7"/>
  <c r="AB59" i="3"/>
  <c r="R156" i="7"/>
  <c r="R59" i="3"/>
  <c r="X85" i="7"/>
  <c r="X33" i="3"/>
  <c r="W85" i="7"/>
  <c r="W33" i="3"/>
  <c r="Z121" i="7"/>
  <c r="Z46" i="3"/>
  <c r="U156" i="7"/>
  <c r="U59" i="3"/>
  <c r="T156" i="7"/>
  <c r="T59" i="3"/>
  <c r="Q34" i="11"/>
  <c r="R34" i="11" s="1"/>
  <c r="S34" i="11" s="1"/>
  <c r="T34" i="11" s="1"/>
  <c r="U34" i="11" s="1"/>
  <c r="V34" i="11" s="1"/>
  <c r="W34" i="11" s="1"/>
  <c r="X34" i="11" s="1"/>
  <c r="Y34" i="11" s="1"/>
  <c r="Z34" i="11" s="1"/>
  <c r="AA34" i="11" s="1"/>
  <c r="AB34" i="11" s="1"/>
  <c r="AA156" i="7"/>
  <c r="AA59" i="3"/>
  <c r="V50" i="7"/>
  <c r="V20" i="3"/>
  <c r="P85" i="7"/>
  <c r="P33" i="3"/>
  <c r="R121" i="7"/>
  <c r="R46" i="3"/>
  <c r="Y50" i="7"/>
  <c r="Y20" i="3"/>
  <c r="P15" i="7"/>
  <c r="P4" i="7" s="1"/>
  <c r="P3" i="7" s="1"/>
  <c r="P179" i="7" s="1"/>
  <c r="P17" i="6"/>
  <c r="P50" i="7"/>
  <c r="P20" i="3"/>
  <c r="S156" i="7"/>
  <c r="S59" i="3"/>
  <c r="Y85" i="7"/>
  <c r="Y33" i="3"/>
  <c r="AB121" i="7"/>
  <c r="AB46" i="3"/>
  <c r="AA121" i="7"/>
  <c r="AA46" i="3"/>
  <c r="V156" i="7"/>
  <c r="V59" i="3"/>
  <c r="Q50" i="7"/>
  <c r="Q20" i="3"/>
  <c r="P30" i="11"/>
  <c r="Q30" i="11" s="1"/>
  <c r="R30" i="11" s="1"/>
  <c r="S30" i="11" s="1"/>
  <c r="T30" i="11" s="1"/>
  <c r="U30" i="11" s="1"/>
  <c r="V30" i="11" s="1"/>
  <c r="W30" i="11" s="1"/>
  <c r="X30" i="11" s="1"/>
  <c r="Y30" i="11" s="1"/>
  <c r="Z30" i="11" s="1"/>
  <c r="AA30" i="11" s="1"/>
  <c r="AB30" i="11" s="1"/>
  <c r="X50" i="7"/>
  <c r="X20" i="3"/>
  <c r="W50" i="7"/>
  <c r="W20" i="3"/>
  <c r="Q85" i="7"/>
  <c r="Q33" i="3"/>
  <c r="T121" i="7"/>
  <c r="T46" i="3"/>
  <c r="S121" i="7"/>
  <c r="S46" i="3"/>
  <c r="Z50" i="7"/>
  <c r="Z20" i="3"/>
  <c r="AB85" i="7"/>
  <c r="AB33" i="3"/>
  <c r="P31" i="11"/>
  <c r="Q31" i="11" s="1"/>
  <c r="R31" i="11" s="1"/>
  <c r="S31" i="11" s="1"/>
  <c r="T31" i="11" s="1"/>
  <c r="U31" i="11" s="1"/>
  <c r="V31" i="11" s="1"/>
  <c r="W31" i="11" s="1"/>
  <c r="X31" i="11" s="1"/>
  <c r="Y31" i="11" s="1"/>
  <c r="Z31" i="11" s="1"/>
  <c r="AA31" i="11" s="1"/>
  <c r="AB31" i="11" s="1"/>
  <c r="AA85" i="7"/>
  <c r="AA33" i="3"/>
  <c r="Z85" i="7"/>
  <c r="Z33" i="3"/>
  <c r="U121" i="7"/>
  <c r="U46" i="3"/>
  <c r="X156" i="7"/>
  <c r="X59" i="3"/>
  <c r="W156" i="7"/>
  <c r="W59" i="3"/>
  <c r="R50" i="7"/>
  <c r="R20" i="3"/>
  <c r="T85" i="7"/>
  <c r="T33" i="3"/>
  <c r="D69" i="7"/>
  <c r="S85" i="7"/>
  <c r="S33" i="3"/>
  <c r="R85" i="7"/>
  <c r="R33" i="3"/>
  <c r="Y156" i="7"/>
  <c r="Y59" i="3"/>
  <c r="P156" i="7"/>
  <c r="P59" i="3"/>
  <c r="AA50" i="7"/>
  <c r="AA20" i="3"/>
  <c r="U85" i="7"/>
  <c r="U33" i="3"/>
  <c r="X121" i="7"/>
  <c r="X46" i="3"/>
  <c r="P26" i="11"/>
  <c r="Q26" i="11" s="1"/>
  <c r="R26" i="11" s="1"/>
  <c r="S26" i="11" s="1"/>
  <c r="T26" i="11" s="1"/>
  <c r="U26" i="11" s="1"/>
  <c r="V26" i="11" s="1"/>
  <c r="W26" i="11" s="1"/>
  <c r="X26" i="11" s="1"/>
  <c r="Y26" i="11" s="1"/>
  <c r="Z26" i="11" s="1"/>
  <c r="AA26" i="11" s="1"/>
  <c r="AB26" i="11" s="1"/>
  <c r="V121" i="7"/>
  <c r="V46" i="3"/>
  <c r="Q156" i="7"/>
  <c r="Q59" i="3"/>
  <c r="AB50" i="7"/>
  <c r="AB20" i="3"/>
  <c r="S50" i="7"/>
  <c r="S20" i="3"/>
  <c r="Y121" i="7"/>
  <c r="Y46" i="3"/>
  <c r="P121" i="7"/>
  <c r="P46" i="3"/>
  <c r="D5" i="14"/>
  <c r="Z79" i="14"/>
  <c r="AA77" i="14"/>
  <c r="AA79" i="14" s="1"/>
  <c r="W64" i="14"/>
  <c r="V50" i="14"/>
  <c r="V52" i="14" s="1"/>
  <c r="V55" i="14" s="1"/>
  <c r="S38" i="10"/>
  <c r="S53" i="10" s="1"/>
  <c r="U46" i="13"/>
  <c r="T40" i="13"/>
  <c r="T38" i="13" s="1"/>
  <c r="T50" i="13" s="1"/>
  <c r="W45" i="13"/>
  <c r="V39" i="13"/>
  <c r="T56" i="9"/>
  <c r="V46" i="11"/>
  <c r="U40" i="11"/>
  <c r="T38" i="11"/>
  <c r="T50" i="11" s="1"/>
  <c r="V45" i="11"/>
  <c r="U39" i="11"/>
  <c r="S32" i="7"/>
  <c r="R10" i="7"/>
  <c r="S27" i="7"/>
  <c r="R5" i="7"/>
  <c r="S33" i="7"/>
  <c r="R11" i="7"/>
  <c r="S28" i="7"/>
  <c r="R6" i="7"/>
  <c r="S31" i="7"/>
  <c r="R9" i="7"/>
  <c r="S30" i="7"/>
  <c r="R8" i="7"/>
  <c r="S35" i="7"/>
  <c r="R13" i="7"/>
  <c r="Q3" i="7"/>
  <c r="Q179" i="7" s="1"/>
  <c r="S29" i="7"/>
  <c r="R7" i="7"/>
  <c r="S34" i="7"/>
  <c r="R12" i="7"/>
  <c r="S26" i="7"/>
  <c r="R4" i="7"/>
  <c r="T38" i="12"/>
  <c r="T50" i="12" s="1"/>
  <c r="V45" i="12"/>
  <c r="U39" i="12"/>
  <c r="V46" i="12"/>
  <c r="U40" i="12"/>
  <c r="O26" i="12"/>
  <c r="AA52" i="9"/>
  <c r="Z42" i="9"/>
  <c r="V49" i="9"/>
  <c r="U39" i="9"/>
  <c r="V51" i="9"/>
  <c r="U41" i="9"/>
  <c r="V50" i="9"/>
  <c r="U40" i="9"/>
  <c r="U49" i="10"/>
  <c r="T41" i="10"/>
  <c r="T40" i="10"/>
  <c r="U48" i="10"/>
  <c r="U47" i="10"/>
  <c r="T39" i="10"/>
  <c r="I139" i="7"/>
  <c r="J65" i="7"/>
  <c r="I103" i="7"/>
  <c r="C61" i="7"/>
  <c r="E167" i="7"/>
  <c r="G168" i="7"/>
  <c r="K61" i="7"/>
  <c r="L133" i="7"/>
  <c r="C68" i="7"/>
  <c r="I61" i="7"/>
  <c r="G68" i="7"/>
  <c r="D65" i="7"/>
  <c r="D100" i="7"/>
  <c r="G98" i="7"/>
  <c r="H105" i="7"/>
  <c r="D140" i="7"/>
  <c r="I133" i="7"/>
  <c r="L34" i="12"/>
  <c r="H64" i="7"/>
  <c r="L100" i="7"/>
  <c r="L30" i="12"/>
  <c r="C31" i="12"/>
  <c r="L97" i="7"/>
  <c r="K132" i="7"/>
  <c r="Z17" i="6"/>
  <c r="AB17" i="6"/>
  <c r="K139" i="7"/>
  <c r="C141" i="7"/>
  <c r="I96" i="7"/>
  <c r="C169" i="7"/>
  <c r="H132" i="7"/>
  <c r="R17" i="6"/>
  <c r="X17" i="6"/>
  <c r="D104" i="7"/>
  <c r="T17" i="6"/>
  <c r="Y17" i="6"/>
  <c r="U17" i="6"/>
  <c r="D27" i="12"/>
  <c r="D30" i="12"/>
  <c r="K97" i="7"/>
  <c r="Q17" i="6"/>
  <c r="L62" i="7"/>
  <c r="F173" i="7"/>
  <c r="H176" i="7"/>
  <c r="AA17" i="6"/>
  <c r="S17" i="6"/>
  <c r="G102" i="7"/>
  <c r="W17" i="6"/>
  <c r="V17" i="6"/>
  <c r="D102" i="7"/>
  <c r="K62" i="7"/>
  <c r="C101" i="7"/>
  <c r="L137" i="7"/>
  <c r="D96" i="7"/>
  <c r="H168" i="7"/>
  <c r="G169" i="7"/>
  <c r="N66" i="7"/>
  <c r="I137" i="7"/>
  <c r="D67" i="7"/>
  <c r="L140" i="7"/>
  <c r="K172" i="7"/>
  <c r="O132" i="7"/>
  <c r="I168" i="7"/>
  <c r="H61" i="7"/>
  <c r="I167" i="7"/>
  <c r="I141" i="7"/>
  <c r="L65" i="7"/>
  <c r="H170" i="7"/>
  <c r="C66" i="7"/>
  <c r="K173" i="7"/>
  <c r="G133" i="7"/>
  <c r="C133" i="7"/>
  <c r="H69" i="7"/>
  <c r="G100" i="7"/>
  <c r="H99" i="7"/>
  <c r="I68" i="7"/>
  <c r="O67" i="7"/>
  <c r="C137" i="7"/>
  <c r="G136" i="7"/>
  <c r="O34" i="12"/>
  <c r="L68" i="7"/>
  <c r="N70" i="7"/>
  <c r="G173" i="7"/>
  <c r="J96" i="7"/>
  <c r="D136" i="7"/>
  <c r="I174" i="7"/>
  <c r="O169" i="7"/>
  <c r="K133" i="7"/>
  <c r="O98" i="7"/>
  <c r="I97" i="7"/>
  <c r="G175" i="7"/>
  <c r="G69" i="7"/>
  <c r="C172" i="7"/>
  <c r="H101" i="7"/>
  <c r="D168" i="7"/>
  <c r="C63" i="7"/>
  <c r="I172" i="7"/>
  <c r="D173" i="7"/>
  <c r="D63" i="7"/>
  <c r="I70" i="7"/>
  <c r="K27" i="12"/>
  <c r="G27" i="12"/>
  <c r="E26" i="12"/>
  <c r="K66" i="7"/>
  <c r="C65" i="7"/>
  <c r="G138" i="7"/>
  <c r="H33" i="12"/>
  <c r="D27" i="13"/>
  <c r="H167" i="7"/>
  <c r="H103" i="7"/>
  <c r="K64" i="7"/>
  <c r="L102" i="7"/>
  <c r="D133" i="7"/>
  <c r="H96" i="7"/>
  <c r="F133" i="7"/>
  <c r="F62" i="7"/>
  <c r="E96" i="7"/>
  <c r="O69" i="7"/>
  <c r="F168" i="7"/>
  <c r="D62" i="7"/>
  <c r="D97" i="7"/>
  <c r="E61" i="7"/>
  <c r="F26" i="13"/>
  <c r="H26" i="13"/>
  <c r="J26" i="13"/>
  <c r="J26" i="12"/>
  <c r="E35" i="9"/>
  <c r="H26" i="9"/>
  <c r="L27" i="9"/>
  <c r="C35" i="9"/>
  <c r="N27" i="9"/>
  <c r="D27" i="9"/>
  <c r="J26" i="10"/>
  <c r="P26" i="10" s="1"/>
  <c r="Q26" i="10" s="1"/>
  <c r="F26" i="9"/>
  <c r="J26" i="9"/>
  <c r="C132" i="7"/>
  <c r="H26" i="12"/>
  <c r="F27" i="9"/>
  <c r="G97" i="7"/>
  <c r="E174" i="7"/>
  <c r="I31" i="12"/>
  <c r="H97" i="7"/>
  <c r="L104" i="7"/>
  <c r="C97" i="7"/>
  <c r="D34" i="13"/>
  <c r="P34" i="13" s="1"/>
  <c r="Q34" i="13" s="1"/>
  <c r="C105" i="7"/>
  <c r="I176" i="7"/>
  <c r="I101" i="7"/>
  <c r="O175" i="7"/>
  <c r="D28" i="12"/>
  <c r="D32" i="12"/>
  <c r="L175" i="7"/>
  <c r="O65" i="7"/>
  <c r="AA17" i="14"/>
  <c r="W66" i="14"/>
  <c r="W68" i="14" s="1"/>
  <c r="X61" i="14"/>
  <c r="X63" i="14" s="1"/>
  <c r="Z93" i="14"/>
  <c r="Z96" i="14" s="1"/>
  <c r="AA92" i="14"/>
  <c r="AA93" i="14" s="1"/>
  <c r="AA96" i="14" s="1"/>
  <c r="AA80" i="14"/>
  <c r="X14" i="14"/>
  <c r="Y12" i="14" s="1"/>
  <c r="V78" i="14"/>
  <c r="V84" i="14"/>
  <c r="AA18" i="14"/>
  <c r="Y71" i="14"/>
  <c r="Y73" i="14" s="1"/>
  <c r="J29" i="11"/>
  <c r="P29" i="11" s="1"/>
  <c r="Q29" i="11" s="1"/>
  <c r="R29" i="11" s="1"/>
  <c r="S29" i="11" s="1"/>
  <c r="T29" i="11" s="1"/>
  <c r="U29" i="11" s="1"/>
  <c r="V29" i="11" s="1"/>
  <c r="W29" i="11" s="1"/>
  <c r="X29" i="11" s="1"/>
  <c r="Y29" i="11" s="1"/>
  <c r="Z29" i="11" s="1"/>
  <c r="AA29" i="11" s="1"/>
  <c r="AB29" i="11" s="1"/>
  <c r="H33" i="13"/>
  <c r="J31" i="13"/>
  <c r="D26" i="13"/>
  <c r="P26" i="13" s="1"/>
  <c r="Q26" i="13" s="1"/>
  <c r="F27" i="13"/>
  <c r="P27" i="13" s="1"/>
  <c r="Q27" i="13" s="1"/>
  <c r="R27" i="13" s="1"/>
  <c r="J33" i="13"/>
  <c r="F29" i="13"/>
  <c r="J28" i="11"/>
  <c r="P28" i="11" s="1"/>
  <c r="Q28" i="11" s="1"/>
  <c r="R28" i="11" s="1"/>
  <c r="S28" i="11" s="1"/>
  <c r="T28" i="11" s="1"/>
  <c r="U28" i="11" s="1"/>
  <c r="V28" i="11" s="1"/>
  <c r="W28" i="11" s="1"/>
  <c r="X28" i="11" s="1"/>
  <c r="Y28" i="11" s="1"/>
  <c r="Z28" i="11" s="1"/>
  <c r="AA28" i="11" s="1"/>
  <c r="AB28" i="11" s="1"/>
  <c r="D35" i="13"/>
  <c r="F34" i="13"/>
  <c r="F35" i="10"/>
  <c r="J35" i="10"/>
  <c r="F27" i="12"/>
  <c r="C134" i="7"/>
  <c r="D167" i="7"/>
  <c r="N100" i="7"/>
  <c r="C171" i="7"/>
  <c r="E132" i="7"/>
  <c r="L138" i="7"/>
  <c r="L136" i="7"/>
  <c r="H172" i="7"/>
  <c r="I135" i="7"/>
  <c r="K103" i="7"/>
  <c r="L96" i="7"/>
  <c r="K135" i="7"/>
  <c r="G132" i="7"/>
  <c r="O167" i="7"/>
  <c r="C30" i="12"/>
  <c r="I62" i="7"/>
  <c r="O104" i="7"/>
  <c r="G104" i="7"/>
  <c r="K141" i="7"/>
  <c r="J167" i="7"/>
  <c r="L134" i="7"/>
  <c r="D98" i="7"/>
  <c r="F97" i="7"/>
  <c r="J132" i="7"/>
  <c r="I98" i="7"/>
  <c r="J61" i="7"/>
  <c r="M133" i="7"/>
  <c r="H70" i="7"/>
  <c r="C96" i="7"/>
  <c r="L67" i="7"/>
  <c r="D138" i="7"/>
  <c r="O171" i="7"/>
  <c r="K176" i="7"/>
  <c r="M30" i="9"/>
  <c r="F33" i="9"/>
  <c r="J32" i="13"/>
  <c r="L35" i="9"/>
  <c r="H30" i="9"/>
  <c r="M33" i="9"/>
  <c r="F30" i="9"/>
  <c r="J30" i="9"/>
  <c r="N34" i="9"/>
  <c r="J33" i="9"/>
  <c r="J34" i="9"/>
  <c r="H32" i="9"/>
  <c r="J27" i="10"/>
  <c r="P27" i="10" s="1"/>
  <c r="Q27" i="10" s="1"/>
  <c r="R27" i="10" s="1"/>
  <c r="J27" i="9"/>
  <c r="D28" i="9"/>
  <c r="G35" i="9"/>
  <c r="O35" i="9"/>
  <c r="F33" i="13"/>
  <c r="D31" i="13"/>
  <c r="J28" i="13"/>
  <c r="J31" i="9"/>
  <c r="J32" i="10"/>
  <c r="P32" i="10" s="1"/>
  <c r="Q32" i="10" s="1"/>
  <c r="H30" i="13"/>
  <c r="D35" i="10"/>
  <c r="P35" i="10" s="1"/>
  <c r="Q35" i="10" s="1"/>
  <c r="F35" i="13"/>
  <c r="N31" i="9"/>
  <c r="J35" i="13"/>
  <c r="H34" i="13"/>
  <c r="D29" i="9"/>
  <c r="J30" i="13"/>
  <c r="J29" i="13"/>
  <c r="H28" i="9"/>
  <c r="J33" i="10"/>
  <c r="P33" i="10" s="1"/>
  <c r="Q33" i="10" s="1"/>
  <c r="F29" i="9"/>
  <c r="J27" i="13"/>
  <c r="H29" i="9"/>
  <c r="L26" i="9"/>
  <c r="L32" i="9"/>
  <c r="H35" i="9"/>
  <c r="H31" i="9"/>
  <c r="O26" i="9"/>
  <c r="O27" i="9"/>
  <c r="O28" i="9"/>
  <c r="O29" i="9"/>
  <c r="O30" i="9"/>
  <c r="O31" i="9"/>
  <c r="O32" i="9"/>
  <c r="O33" i="9"/>
  <c r="P33" i="9" s="1"/>
  <c r="O34" i="9"/>
  <c r="F32" i="13"/>
  <c r="D31" i="9"/>
  <c r="N28" i="9"/>
  <c r="M32" i="9"/>
  <c r="N33" i="9"/>
  <c r="J28" i="9"/>
  <c r="M35" i="9"/>
  <c r="F34" i="9"/>
  <c r="N30" i="9"/>
  <c r="L29" i="9"/>
  <c r="J35" i="11"/>
  <c r="P35" i="11" s="1"/>
  <c r="Q35" i="11" s="1"/>
  <c r="R35" i="11" s="1"/>
  <c r="S35" i="11" s="1"/>
  <c r="T35" i="11" s="1"/>
  <c r="U35" i="11" s="1"/>
  <c r="V35" i="11" s="1"/>
  <c r="W35" i="11" s="1"/>
  <c r="X35" i="11" s="1"/>
  <c r="Y35" i="11" s="1"/>
  <c r="Z35" i="11" s="1"/>
  <c r="AA35" i="11" s="1"/>
  <c r="AB35" i="11" s="1"/>
  <c r="F30" i="13"/>
  <c r="F31" i="9"/>
  <c r="M29" i="9"/>
  <c r="N29" i="9"/>
  <c r="D33" i="13"/>
  <c r="L31" i="9"/>
  <c r="N35" i="9"/>
  <c r="J34" i="13"/>
  <c r="M27" i="9"/>
  <c r="H32" i="13"/>
  <c r="H29" i="13"/>
  <c r="L34" i="9"/>
  <c r="F32" i="9"/>
  <c r="M31" i="9"/>
  <c r="M28" i="9"/>
  <c r="J28" i="10"/>
  <c r="P28" i="10" s="1"/>
  <c r="Q28" i="10" s="1"/>
  <c r="J31" i="10"/>
  <c r="P31" i="10" s="1"/>
  <c r="Q31" i="10" s="1"/>
  <c r="J32" i="9"/>
  <c r="N32" i="9"/>
  <c r="J35" i="9"/>
  <c r="F31" i="13"/>
  <c r="H34" i="9"/>
  <c r="D29" i="13"/>
  <c r="J30" i="10"/>
  <c r="P30" i="10" s="1"/>
  <c r="Q30" i="10" s="1"/>
  <c r="L33" i="9"/>
  <c r="D33" i="9"/>
  <c r="J29" i="9"/>
  <c r="J29" i="10"/>
  <c r="P29" i="10" s="1"/>
  <c r="Q29" i="10" s="1"/>
  <c r="M34" i="9"/>
  <c r="H28" i="13"/>
  <c r="F28" i="9"/>
  <c r="F28" i="13"/>
  <c r="P28" i="13" s="1"/>
  <c r="Q28" i="13" s="1"/>
  <c r="J34" i="10"/>
  <c r="P34" i="10" s="1"/>
  <c r="Q34" i="10" s="1"/>
  <c r="H27" i="13"/>
  <c r="L28" i="9"/>
  <c r="D26" i="9"/>
  <c r="H35" i="13"/>
  <c r="H31" i="13"/>
  <c r="O102" i="7"/>
  <c r="J69" i="7"/>
  <c r="C100" i="7"/>
  <c r="J104" i="7"/>
  <c r="H141" i="7"/>
  <c r="O138" i="7"/>
  <c r="D171" i="7"/>
  <c r="K170" i="7"/>
  <c r="I170" i="7"/>
  <c r="H135" i="7"/>
  <c r="C167" i="7"/>
  <c r="E139" i="7"/>
  <c r="C136" i="7"/>
  <c r="F138" i="7"/>
  <c r="E172" i="7"/>
  <c r="G135" i="7"/>
  <c r="L169" i="7"/>
  <c r="H174" i="7"/>
  <c r="L69" i="7"/>
  <c r="K101" i="7"/>
  <c r="K105" i="7"/>
  <c r="F68" i="7"/>
  <c r="O134" i="7"/>
  <c r="O61" i="7"/>
  <c r="H139" i="7"/>
  <c r="J134" i="7"/>
  <c r="I102" i="7"/>
  <c r="J102" i="7"/>
  <c r="H133" i="7"/>
  <c r="G167" i="7"/>
  <c r="L61" i="7"/>
  <c r="K174" i="7"/>
  <c r="H35" i="12"/>
  <c r="O96" i="7"/>
  <c r="C98" i="7"/>
  <c r="H137" i="7"/>
  <c r="D169" i="7"/>
  <c r="C62" i="7"/>
  <c r="L167" i="7"/>
  <c r="O173" i="7"/>
  <c r="I99" i="7"/>
  <c r="G134" i="7"/>
  <c r="H59" i="3"/>
  <c r="G171" i="7"/>
  <c r="N64" i="7"/>
  <c r="G96" i="7"/>
  <c r="O136" i="7"/>
  <c r="F33" i="12"/>
  <c r="M31" i="12"/>
  <c r="N26" i="12"/>
  <c r="O35" i="12"/>
  <c r="M28" i="12"/>
  <c r="N28" i="12"/>
  <c r="N33" i="12"/>
  <c r="F31" i="12"/>
  <c r="H34" i="12"/>
  <c r="D29" i="12"/>
  <c r="J30" i="12"/>
  <c r="D33" i="12"/>
  <c r="E27" i="12"/>
  <c r="E29" i="12"/>
  <c r="M27" i="12"/>
  <c r="P27" i="12" s="1"/>
  <c r="Q27" i="12" s="1"/>
  <c r="H32" i="12"/>
  <c r="I29" i="12"/>
  <c r="O28" i="12"/>
  <c r="K35" i="12"/>
  <c r="K29" i="12"/>
  <c r="G140" i="7"/>
  <c r="L28" i="12"/>
  <c r="E32" i="12"/>
  <c r="M32" i="12"/>
  <c r="J28" i="12"/>
  <c r="G35" i="12"/>
  <c r="C32" i="12"/>
  <c r="L35" i="12"/>
  <c r="H30" i="12"/>
  <c r="M35" i="12"/>
  <c r="F34" i="12"/>
  <c r="C29" i="12"/>
  <c r="N31" i="12"/>
  <c r="I30" i="12"/>
  <c r="L29" i="12"/>
  <c r="O33" i="12"/>
  <c r="L33" i="12"/>
  <c r="L31" i="12"/>
  <c r="N34" i="12"/>
  <c r="G33" i="12"/>
  <c r="N35" i="12"/>
  <c r="O31" i="12"/>
  <c r="E34" i="12"/>
  <c r="F29" i="12"/>
  <c r="G32" i="12"/>
  <c r="M30" i="12"/>
  <c r="D31" i="12"/>
  <c r="J31" i="12"/>
  <c r="O29" i="12"/>
  <c r="E31" i="12"/>
  <c r="E28" i="12"/>
  <c r="D35" i="12"/>
  <c r="M33" i="12"/>
  <c r="K34" i="12"/>
  <c r="F30" i="12"/>
  <c r="E35" i="12"/>
  <c r="M29" i="12"/>
  <c r="I34" i="12"/>
  <c r="M34" i="12"/>
  <c r="H28" i="12"/>
  <c r="K32" i="12"/>
  <c r="E30" i="12"/>
  <c r="H67" i="7"/>
  <c r="H68" i="7"/>
  <c r="H27" i="12"/>
  <c r="H29" i="12"/>
  <c r="K70" i="7"/>
  <c r="O32" i="12"/>
  <c r="L26" i="12"/>
  <c r="C176" i="7"/>
  <c r="D175" i="7"/>
  <c r="K137" i="7"/>
  <c r="F32" i="12"/>
  <c r="K30" i="12"/>
  <c r="I32" i="12"/>
  <c r="F26" i="12"/>
  <c r="J32" i="12"/>
  <c r="F35" i="12"/>
  <c r="N32" i="12"/>
  <c r="N30" i="12"/>
  <c r="G29" i="12"/>
  <c r="G31" i="12"/>
  <c r="J35" i="12"/>
  <c r="K28" i="12"/>
  <c r="C33" i="12"/>
  <c r="N29" i="12"/>
  <c r="I28" i="12"/>
  <c r="J29" i="12"/>
  <c r="J33" i="12"/>
  <c r="F28" i="12"/>
  <c r="J34" i="12"/>
  <c r="E33" i="12"/>
  <c r="J27" i="12"/>
  <c r="C34" i="12"/>
  <c r="G26" i="12"/>
  <c r="O30" i="12"/>
  <c r="I105" i="7"/>
  <c r="H33" i="3"/>
  <c r="D134" i="7"/>
  <c r="I59" i="3"/>
  <c r="G66" i="7"/>
  <c r="C174" i="7"/>
  <c r="D99" i="7"/>
  <c r="N69" i="7"/>
  <c r="J135" i="7"/>
  <c r="E175" i="7"/>
  <c r="L173" i="7"/>
  <c r="G70" i="7"/>
  <c r="J67" i="7"/>
  <c r="C67" i="7"/>
  <c r="M141" i="7"/>
  <c r="D141" i="7"/>
  <c r="D139" i="7"/>
  <c r="G141" i="7"/>
  <c r="G105" i="7"/>
  <c r="O135" i="7"/>
  <c r="J138" i="7"/>
  <c r="L141" i="7"/>
  <c r="N172" i="7"/>
  <c r="F101" i="7"/>
  <c r="L101" i="7"/>
  <c r="J170" i="7"/>
  <c r="L132" i="7"/>
  <c r="M102" i="7"/>
  <c r="I20" i="3"/>
  <c r="D172" i="7"/>
  <c r="K33" i="3"/>
  <c r="E101" i="7"/>
  <c r="L64" i="7"/>
  <c r="L135" i="7"/>
  <c r="K63" i="7"/>
  <c r="F98" i="7"/>
  <c r="F174" i="7"/>
  <c r="H20" i="3"/>
  <c r="F104" i="7"/>
  <c r="N67" i="7"/>
  <c r="N101" i="7"/>
  <c r="I65" i="7"/>
  <c r="N140" i="7"/>
  <c r="F169" i="7"/>
  <c r="E133" i="7"/>
  <c r="I136" i="7"/>
  <c r="M67" i="7"/>
  <c r="K104" i="7"/>
  <c r="D174" i="7"/>
  <c r="L172" i="7"/>
  <c r="I104" i="7"/>
  <c r="O63" i="7"/>
  <c r="I64" i="7"/>
  <c r="O100" i="7"/>
  <c r="N98" i="7"/>
  <c r="K138" i="7"/>
  <c r="J168" i="7"/>
  <c r="N174" i="7"/>
  <c r="D101" i="7"/>
  <c r="F100" i="7"/>
  <c r="O20" i="3"/>
  <c r="G46" i="3"/>
  <c r="E33" i="3"/>
  <c r="L52" i="7"/>
  <c r="L63" i="7" s="1"/>
  <c r="L20" i="3"/>
  <c r="F33" i="3"/>
  <c r="I100" i="7"/>
  <c r="K46" i="3"/>
  <c r="F66" i="7"/>
  <c r="D103" i="7"/>
  <c r="G59" i="3"/>
  <c r="N176" i="7"/>
  <c r="G33" i="3"/>
  <c r="J68" i="7"/>
  <c r="J46" i="3"/>
  <c r="D66" i="7"/>
  <c r="K20" i="3"/>
  <c r="C33" i="3"/>
  <c r="J59" i="3"/>
  <c r="O64" i="7"/>
  <c r="M70" i="7"/>
  <c r="D59" i="3"/>
  <c r="C99" i="7"/>
  <c r="D170" i="7"/>
  <c r="N99" i="7"/>
  <c r="I134" i="7"/>
  <c r="G20" i="3"/>
  <c r="F134" i="7"/>
  <c r="H102" i="7"/>
  <c r="D121" i="7"/>
  <c r="D132" i="7" s="1"/>
  <c r="D46" i="3"/>
  <c r="F96" i="7"/>
  <c r="E46" i="3"/>
  <c r="L33" i="3"/>
  <c r="I46" i="3"/>
  <c r="D50" i="7"/>
  <c r="D61" i="7" s="1"/>
  <c r="D20" i="3"/>
  <c r="O59" i="3"/>
  <c r="J100" i="7"/>
  <c r="L103" i="7"/>
  <c r="I33" i="3"/>
  <c r="L59" i="3"/>
  <c r="F64" i="7"/>
  <c r="F175" i="7"/>
  <c r="M136" i="7"/>
  <c r="N169" i="7"/>
  <c r="M173" i="7"/>
  <c r="C138" i="7"/>
  <c r="D176" i="7"/>
  <c r="E20" i="3"/>
  <c r="O46" i="3"/>
  <c r="O33" i="3"/>
  <c r="M46" i="3"/>
  <c r="F171" i="7"/>
  <c r="O103" i="7"/>
  <c r="K134" i="7"/>
  <c r="E105" i="7"/>
  <c r="J136" i="7"/>
  <c r="L174" i="7"/>
  <c r="J99" i="7"/>
  <c r="I175" i="7"/>
  <c r="M69" i="7"/>
  <c r="C59" i="3"/>
  <c r="K59" i="3"/>
  <c r="C20" i="3"/>
  <c r="M20" i="3"/>
  <c r="K100" i="7"/>
  <c r="M137" i="7"/>
  <c r="M134" i="7"/>
  <c r="O105" i="7"/>
  <c r="K65" i="7"/>
  <c r="M101" i="7"/>
  <c r="L105" i="7"/>
  <c r="D33" i="3"/>
  <c r="K175" i="7"/>
  <c r="J33" i="3"/>
  <c r="J105" i="7"/>
  <c r="O68" i="7"/>
  <c r="O139" i="7"/>
  <c r="K169" i="7"/>
  <c r="M140" i="7"/>
  <c r="J20" i="3"/>
  <c r="L46" i="3"/>
  <c r="H46" i="3"/>
  <c r="E140" i="7"/>
  <c r="E171" i="7"/>
  <c r="E67" i="7"/>
  <c r="E137" i="7"/>
  <c r="E98" i="7"/>
  <c r="F70" i="7"/>
  <c r="M68" i="7"/>
  <c r="G101" i="7"/>
  <c r="C46" i="3"/>
  <c r="D68" i="7"/>
  <c r="N104" i="7"/>
  <c r="O66" i="7"/>
  <c r="C69" i="7"/>
  <c r="M176" i="7"/>
  <c r="F141" i="7"/>
  <c r="K98" i="7"/>
  <c r="C103" i="7"/>
  <c r="F63" i="7"/>
  <c r="E68" i="7"/>
  <c r="J133" i="7"/>
  <c r="G99" i="7"/>
  <c r="M66" i="7"/>
  <c r="D137" i="7"/>
  <c r="N63" i="7"/>
  <c r="M65" i="7"/>
  <c r="M63" i="7"/>
  <c r="I67" i="7"/>
  <c r="F50" i="7"/>
  <c r="F61" i="7" s="1"/>
  <c r="F20" i="3"/>
  <c r="C102" i="7"/>
  <c r="D70" i="7"/>
  <c r="F69" i="7"/>
  <c r="F176" i="7"/>
  <c r="M174" i="7"/>
  <c r="N65" i="7"/>
  <c r="G64" i="7"/>
  <c r="J70" i="7"/>
  <c r="F136" i="7"/>
  <c r="F172" i="7"/>
  <c r="I63" i="7"/>
  <c r="E59" i="3"/>
  <c r="E157" i="7"/>
  <c r="E168" i="7" s="1"/>
  <c r="I69" i="7"/>
  <c r="E170" i="7"/>
  <c r="K67" i="7"/>
  <c r="O101" i="7"/>
  <c r="E104" i="7"/>
  <c r="F170" i="7"/>
  <c r="E103" i="7"/>
  <c r="M59" i="3"/>
  <c r="M157" i="7"/>
  <c r="M168" i="7" s="1"/>
  <c r="F59" i="3"/>
  <c r="I138" i="7"/>
  <c r="M100" i="7"/>
  <c r="C173" i="7"/>
  <c r="H65" i="7"/>
  <c r="D105" i="7"/>
  <c r="N102" i="7"/>
  <c r="D64" i="7"/>
  <c r="C64" i="7"/>
  <c r="J103" i="7"/>
  <c r="O172" i="7"/>
  <c r="J140" i="7"/>
  <c r="J176" i="7"/>
  <c r="J63" i="7"/>
  <c r="J66" i="7"/>
  <c r="F167" i="7"/>
  <c r="N137" i="7"/>
  <c r="D135" i="7"/>
  <c r="I140" i="7"/>
  <c r="F102" i="7"/>
  <c r="J101" i="7"/>
  <c r="E63" i="7"/>
  <c r="L70" i="7"/>
  <c r="H100" i="7"/>
  <c r="H136" i="7"/>
  <c r="F140" i="7"/>
  <c r="N33" i="3"/>
  <c r="N136" i="7"/>
  <c r="L99" i="7"/>
  <c r="L170" i="7"/>
  <c r="G137" i="7"/>
  <c r="M99" i="7"/>
  <c r="M135" i="7"/>
  <c r="J171" i="7"/>
  <c r="I169" i="7"/>
  <c r="G139" i="7"/>
  <c r="N105" i="7"/>
  <c r="N141" i="7"/>
  <c r="M175" i="7"/>
  <c r="J174" i="7"/>
  <c r="J175" i="7"/>
  <c r="C140" i="7"/>
  <c r="O99" i="7"/>
  <c r="F67" i="7"/>
  <c r="N46" i="3"/>
  <c r="N121" i="7"/>
  <c r="N132" i="7" s="1"/>
  <c r="M98" i="7"/>
  <c r="G103" i="7"/>
  <c r="O70" i="7"/>
  <c r="N134" i="7"/>
  <c r="I173" i="7"/>
  <c r="F132" i="7"/>
  <c r="N96" i="7"/>
  <c r="F139" i="7"/>
  <c r="M172" i="7"/>
  <c r="E138" i="7"/>
  <c r="H171" i="7"/>
  <c r="M139" i="7"/>
  <c r="N138" i="7"/>
  <c r="C170" i="7"/>
  <c r="J141" i="7"/>
  <c r="O174" i="7"/>
  <c r="F137" i="7"/>
  <c r="E70" i="7"/>
  <c r="E141" i="7"/>
  <c r="M170" i="7"/>
  <c r="H104" i="7"/>
  <c r="N170" i="7"/>
  <c r="N175" i="7"/>
  <c r="G174" i="7"/>
  <c r="E64" i="7"/>
  <c r="M104" i="7"/>
  <c r="H98" i="7"/>
  <c r="J139" i="7"/>
  <c r="E65" i="7"/>
  <c r="C104" i="7"/>
  <c r="N171" i="7"/>
  <c r="M64" i="7"/>
  <c r="N50" i="7"/>
  <c r="N61" i="7" s="1"/>
  <c r="N20" i="3"/>
  <c r="M171" i="7"/>
  <c r="F103" i="7"/>
  <c r="M169" i="7"/>
  <c r="J98" i="7"/>
  <c r="O141" i="7"/>
  <c r="K136" i="7"/>
  <c r="N68" i="7"/>
  <c r="J172" i="7"/>
  <c r="O170" i="7"/>
  <c r="J173" i="7"/>
  <c r="E134" i="7"/>
  <c r="K171" i="7"/>
  <c r="E102" i="7"/>
  <c r="N103" i="7"/>
  <c r="J169" i="7"/>
  <c r="J137" i="7"/>
  <c r="N173" i="7"/>
  <c r="F46" i="3"/>
  <c r="K69" i="7"/>
  <c r="G170" i="7"/>
  <c r="I171" i="7"/>
  <c r="G172" i="7"/>
  <c r="C139" i="7"/>
  <c r="H140" i="7"/>
  <c r="L66" i="7"/>
  <c r="E99" i="7"/>
  <c r="H169" i="7"/>
  <c r="F99" i="7"/>
  <c r="E136" i="7"/>
  <c r="H138" i="7"/>
  <c r="J62" i="7"/>
  <c r="N135" i="7"/>
  <c r="H63" i="7"/>
  <c r="H134" i="7"/>
  <c r="N156" i="7"/>
  <c r="N167" i="7" s="1"/>
  <c r="N59" i="3"/>
  <c r="G176" i="7"/>
  <c r="O176" i="7"/>
  <c r="M138" i="7"/>
  <c r="E173" i="7"/>
  <c r="N139" i="7"/>
  <c r="E66" i="7"/>
  <c r="E169" i="7"/>
  <c r="L176" i="7"/>
  <c r="M105" i="7"/>
  <c r="F105" i="7"/>
  <c r="M103" i="7"/>
  <c r="C135" i="7"/>
  <c r="K140" i="7"/>
  <c r="F65" i="7"/>
  <c r="E176" i="7"/>
  <c r="H175" i="7"/>
  <c r="L139" i="7"/>
  <c r="E62" i="7"/>
  <c r="E97" i="7"/>
  <c r="J64" i="7"/>
  <c r="E135" i="7"/>
  <c r="K102" i="7"/>
  <c r="O137" i="7"/>
  <c r="E69" i="7"/>
  <c r="F135" i="7"/>
  <c r="M33" i="3"/>
  <c r="M86" i="7"/>
  <c r="M97" i="7" s="1"/>
  <c r="M62" i="7"/>
  <c r="E100" i="7"/>
  <c r="H173" i="7"/>
  <c r="J97" i="7"/>
  <c r="C175" i="7"/>
  <c r="D35" i="9"/>
  <c r="J27" i="11"/>
  <c r="P27" i="11" s="1"/>
  <c r="Q27" i="11" s="1"/>
  <c r="R27" i="11" s="1"/>
  <c r="S27" i="11" s="1"/>
  <c r="T27" i="11" s="1"/>
  <c r="U27" i="11" s="1"/>
  <c r="V27" i="11" s="1"/>
  <c r="W27" i="11" s="1"/>
  <c r="X27" i="11" s="1"/>
  <c r="Y27" i="11" s="1"/>
  <c r="Z27" i="11" s="1"/>
  <c r="AA27" i="11" s="1"/>
  <c r="AB27" i="11" s="1"/>
  <c r="J32" i="11"/>
  <c r="P32" i="11" s="1"/>
  <c r="Q32" i="11" s="1"/>
  <c r="R32" i="11" s="1"/>
  <c r="S32" i="11" s="1"/>
  <c r="T32" i="11" s="1"/>
  <c r="U32" i="11" s="1"/>
  <c r="V32" i="11" s="1"/>
  <c r="W32" i="11" s="1"/>
  <c r="X32" i="11" s="1"/>
  <c r="Y32" i="11" s="1"/>
  <c r="Z32" i="11" s="1"/>
  <c r="AA32" i="11" s="1"/>
  <c r="AB32" i="11" s="1"/>
  <c r="J33" i="11"/>
  <c r="P33" i="11" s="1"/>
  <c r="Q33" i="11" s="1"/>
  <c r="R33" i="11" s="1"/>
  <c r="S33" i="11" s="1"/>
  <c r="T33" i="11" s="1"/>
  <c r="U33" i="11" s="1"/>
  <c r="V33" i="11" s="1"/>
  <c r="W33" i="11" s="1"/>
  <c r="X33" i="11" s="1"/>
  <c r="Y33" i="11" s="1"/>
  <c r="Z33" i="11" s="1"/>
  <c r="AA33" i="11" s="1"/>
  <c r="AB33" i="11" s="1"/>
  <c r="F35" i="9"/>
  <c r="P26" i="9" l="1"/>
  <c r="Q26" i="9" s="1"/>
  <c r="P70" i="7"/>
  <c r="P48" i="7" s="1"/>
  <c r="P27" i="9"/>
  <c r="Q27" i="9" s="1"/>
  <c r="P35" i="12"/>
  <c r="Q35" i="12" s="1"/>
  <c r="P30" i="13"/>
  <c r="Q30" i="13" s="1"/>
  <c r="R30" i="13" s="1"/>
  <c r="P29" i="9"/>
  <c r="Q29" i="9" s="1"/>
  <c r="P26" i="12"/>
  <c r="P4" i="12" s="1"/>
  <c r="P168" i="7"/>
  <c r="Q168" i="7" s="1"/>
  <c r="P28" i="9"/>
  <c r="Q28" i="9" s="1"/>
  <c r="P28" i="12"/>
  <c r="Q28" i="12" s="1"/>
  <c r="P29" i="13"/>
  <c r="Q29" i="13" s="1"/>
  <c r="R29" i="13" s="1"/>
  <c r="P31" i="9"/>
  <c r="Q31" i="9" s="1"/>
  <c r="P32" i="13"/>
  <c r="Q32" i="13" s="1"/>
  <c r="R32" i="13" s="1"/>
  <c r="P29" i="12"/>
  <c r="Q29" i="12" s="1"/>
  <c r="P32" i="9"/>
  <c r="Q32" i="9" s="1"/>
  <c r="P33" i="13"/>
  <c r="Q33" i="13" s="1"/>
  <c r="R33" i="13" s="1"/>
  <c r="P34" i="9"/>
  <c r="Q34" i="9" s="1"/>
  <c r="P35" i="13"/>
  <c r="Q35" i="13" s="1"/>
  <c r="R35" i="13" s="1"/>
  <c r="P30" i="9"/>
  <c r="Q30" i="9" s="1"/>
  <c r="P33" i="12"/>
  <c r="Q33" i="12" s="1"/>
  <c r="P30" i="12"/>
  <c r="Q30" i="12" s="1"/>
  <c r="P97" i="7"/>
  <c r="P132" i="7"/>
  <c r="Q132" i="7" s="1"/>
  <c r="P63" i="7"/>
  <c r="P41" i="7" s="1"/>
  <c r="P133" i="7"/>
  <c r="P104" i="7"/>
  <c r="Q104" i="7" s="1"/>
  <c r="P134" i="7"/>
  <c r="P34" i="12"/>
  <c r="Q34" i="12" s="1"/>
  <c r="P68" i="7"/>
  <c r="P46" i="7" s="1"/>
  <c r="P69" i="7"/>
  <c r="Q69" i="7" s="1"/>
  <c r="P64" i="7"/>
  <c r="Q64" i="7" s="1"/>
  <c r="P138" i="7"/>
  <c r="Q138" i="7" s="1"/>
  <c r="P98" i="7"/>
  <c r="Q98" i="7" s="1"/>
  <c r="R98" i="7" s="1"/>
  <c r="S98" i="7" s="1"/>
  <c r="T98" i="7" s="1"/>
  <c r="U98" i="7" s="1"/>
  <c r="V98" i="7" s="1"/>
  <c r="W98" i="7" s="1"/>
  <c r="X98" i="7" s="1"/>
  <c r="Y98" i="7" s="1"/>
  <c r="Z98" i="7" s="1"/>
  <c r="AA98" i="7" s="1"/>
  <c r="AB98" i="7" s="1"/>
  <c r="P167" i="7"/>
  <c r="Q167" i="7" s="1"/>
  <c r="P100" i="7"/>
  <c r="Q100" i="7" s="1"/>
  <c r="P62" i="7"/>
  <c r="P105" i="7"/>
  <c r="Q105" i="7" s="1"/>
  <c r="P61" i="7"/>
  <c r="P39" i="7" s="1"/>
  <c r="P102" i="7"/>
  <c r="Q102" i="7" s="1"/>
  <c r="P67" i="7"/>
  <c r="Q67" i="7" s="1"/>
  <c r="P65" i="7"/>
  <c r="P43" i="7" s="1"/>
  <c r="P135" i="7"/>
  <c r="P113" i="7" s="1"/>
  <c r="P99" i="7"/>
  <c r="Q99" i="7" s="1"/>
  <c r="P32" i="12"/>
  <c r="Q32" i="12" s="1"/>
  <c r="P96" i="7"/>
  <c r="P74" i="7" s="1"/>
  <c r="P137" i="7"/>
  <c r="Q137" i="7" s="1"/>
  <c r="P169" i="7"/>
  <c r="P147" i="7" s="1"/>
  <c r="P31" i="12"/>
  <c r="Q31" i="12" s="1"/>
  <c r="P175" i="7"/>
  <c r="Q175" i="7" s="1"/>
  <c r="P176" i="7"/>
  <c r="P154" i="7" s="1"/>
  <c r="P139" i="7"/>
  <c r="Q139" i="7" s="1"/>
  <c r="P31" i="13"/>
  <c r="Q31" i="13" s="1"/>
  <c r="R31" i="13" s="1"/>
  <c r="P171" i="7"/>
  <c r="P149" i="7" s="1"/>
  <c r="P172" i="7"/>
  <c r="P150" i="7" s="1"/>
  <c r="P66" i="7"/>
  <c r="P44" i="7" s="1"/>
  <c r="P170" i="7"/>
  <c r="Q170" i="7" s="1"/>
  <c r="P173" i="7"/>
  <c r="P151" i="7" s="1"/>
  <c r="P35" i="9"/>
  <c r="Q35" i="9" s="1"/>
  <c r="P174" i="7"/>
  <c r="Q174" i="7" s="1"/>
  <c r="P136" i="7"/>
  <c r="Q136" i="7" s="1"/>
  <c r="P140" i="7"/>
  <c r="P103" i="7"/>
  <c r="Q103" i="7" s="1"/>
  <c r="P101" i="7"/>
  <c r="Q101" i="7" s="1"/>
  <c r="P141" i="7"/>
  <c r="P119" i="7" s="1"/>
  <c r="W48" i="14"/>
  <c r="X64" i="14"/>
  <c r="X66" i="14" s="1"/>
  <c r="X68" i="14" s="1"/>
  <c r="X78" i="14" s="1"/>
  <c r="D7" i="14"/>
  <c r="W50" i="14"/>
  <c r="W52" i="14" s="1"/>
  <c r="W55" i="14" s="1"/>
  <c r="X48" i="14"/>
  <c r="Z69" i="14"/>
  <c r="Z71" i="14" s="1"/>
  <c r="Z73" i="14" s="1"/>
  <c r="W46" i="11"/>
  <c r="V40" i="11"/>
  <c r="U38" i="11"/>
  <c r="U50" i="11" s="1"/>
  <c r="X45" i="13"/>
  <c r="W39" i="13"/>
  <c r="W45" i="11"/>
  <c r="V39" i="11"/>
  <c r="T38" i="10"/>
  <c r="T53" i="10" s="1"/>
  <c r="V46" i="13"/>
  <c r="U40" i="13"/>
  <c r="U38" i="13" s="1"/>
  <c r="U50" i="13" s="1"/>
  <c r="T29" i="7"/>
  <c r="S7" i="7"/>
  <c r="T28" i="7"/>
  <c r="S6" i="7"/>
  <c r="R3" i="7"/>
  <c r="R179" i="7" s="1"/>
  <c r="T35" i="7"/>
  <c r="S13" i="7"/>
  <c r="T33" i="7"/>
  <c r="S11" i="7"/>
  <c r="T26" i="7"/>
  <c r="S4" i="7"/>
  <c r="T30" i="7"/>
  <c r="S8" i="7"/>
  <c r="T27" i="7"/>
  <c r="S5" i="7"/>
  <c r="T34" i="7"/>
  <c r="S12" i="7"/>
  <c r="T31" i="7"/>
  <c r="S9" i="7"/>
  <c r="T32" i="7"/>
  <c r="S10" i="7"/>
  <c r="S27" i="13"/>
  <c r="R26" i="13"/>
  <c r="R28" i="13"/>
  <c r="R34" i="13"/>
  <c r="U38" i="12"/>
  <c r="U50" i="12" s="1"/>
  <c r="W46" i="12"/>
  <c r="V40" i="12"/>
  <c r="W45" i="12"/>
  <c r="V39" i="12"/>
  <c r="R27" i="12"/>
  <c r="AB52" i="9"/>
  <c r="AB42" i="9" s="1"/>
  <c r="AA42" i="9"/>
  <c r="W50" i="9"/>
  <c r="V40" i="9"/>
  <c r="W51" i="9"/>
  <c r="V41" i="9"/>
  <c r="W49" i="9"/>
  <c r="V39" i="9"/>
  <c r="U56" i="9"/>
  <c r="U41" i="10"/>
  <c r="V49" i="10"/>
  <c r="U40" i="10"/>
  <c r="V48" i="10"/>
  <c r="V47" i="10"/>
  <c r="U39" i="10"/>
  <c r="R35" i="10"/>
  <c r="R31" i="10"/>
  <c r="R26" i="10"/>
  <c r="R32" i="10"/>
  <c r="S27" i="10"/>
  <c r="R30" i="10"/>
  <c r="R28" i="10"/>
  <c r="R29" i="10"/>
  <c r="R33" i="10"/>
  <c r="R34" i="10"/>
  <c r="Q33" i="9"/>
  <c r="P114" i="7"/>
  <c r="P112" i="7"/>
  <c r="Q134" i="7"/>
  <c r="P117" i="7"/>
  <c r="P78" i="7"/>
  <c r="Q70" i="7"/>
  <c r="Y14" i="14"/>
  <c r="Z12" i="14" s="1"/>
  <c r="W84" i="14"/>
  <c r="W78" i="14"/>
  <c r="V87" i="14"/>
  <c r="Y59" i="14"/>
  <c r="C7" i="14"/>
  <c r="P145" i="7" l="1"/>
  <c r="Q176" i="7"/>
  <c r="P152" i="7"/>
  <c r="P83" i="7"/>
  <c r="P148" i="7"/>
  <c r="Q63" i="7"/>
  <c r="R63" i="7" s="1"/>
  <c r="Q26" i="12"/>
  <c r="Q4" i="12" s="1"/>
  <c r="P115" i="7"/>
  <c r="Q68" i="7"/>
  <c r="R68" i="7" s="1"/>
  <c r="P82" i="7"/>
  <c r="P47" i="7"/>
  <c r="Q135" i="7"/>
  <c r="R135" i="7" s="1"/>
  <c r="Q171" i="7"/>
  <c r="R171" i="7" s="1"/>
  <c r="Q141" i="7"/>
  <c r="Q65" i="7"/>
  <c r="R65" i="7" s="1"/>
  <c r="P76" i="7"/>
  <c r="P42" i="7"/>
  <c r="Q169" i="7"/>
  <c r="R169" i="7" s="1"/>
  <c r="P80" i="7"/>
  <c r="Q173" i="7"/>
  <c r="Q151" i="7" s="1"/>
  <c r="R102" i="7"/>
  <c r="S102" i="7" s="1"/>
  <c r="T102" i="7" s="1"/>
  <c r="U102" i="7" s="1"/>
  <c r="V102" i="7" s="1"/>
  <c r="W102" i="7" s="1"/>
  <c r="X102" i="7" s="1"/>
  <c r="Y102" i="7" s="1"/>
  <c r="Z102" i="7" s="1"/>
  <c r="AA102" i="7" s="1"/>
  <c r="AB102" i="7" s="1"/>
  <c r="Q80" i="7"/>
  <c r="R104" i="7"/>
  <c r="S104" i="7" s="1"/>
  <c r="T104" i="7" s="1"/>
  <c r="U104" i="7" s="1"/>
  <c r="V104" i="7" s="1"/>
  <c r="W104" i="7" s="1"/>
  <c r="X104" i="7" s="1"/>
  <c r="Y104" i="7" s="1"/>
  <c r="Z104" i="7" s="1"/>
  <c r="AA104" i="7" s="1"/>
  <c r="AB104" i="7" s="1"/>
  <c r="Q82" i="7"/>
  <c r="Q66" i="7"/>
  <c r="R66" i="7" s="1"/>
  <c r="P79" i="7"/>
  <c r="P116" i="7"/>
  <c r="P45" i="7"/>
  <c r="Q96" i="7"/>
  <c r="Q61" i="7"/>
  <c r="Q39" i="7" s="1"/>
  <c r="R101" i="7"/>
  <c r="S101" i="7" s="1"/>
  <c r="T101" i="7" s="1"/>
  <c r="U101" i="7" s="1"/>
  <c r="V101" i="7" s="1"/>
  <c r="W101" i="7" s="1"/>
  <c r="X101" i="7" s="1"/>
  <c r="Y101" i="7" s="1"/>
  <c r="Z101" i="7" s="1"/>
  <c r="AA101" i="7" s="1"/>
  <c r="AB101" i="7" s="1"/>
  <c r="Q79" i="7"/>
  <c r="R168" i="7"/>
  <c r="R146" i="7" s="1"/>
  <c r="Q146" i="7"/>
  <c r="P146" i="7"/>
  <c r="R105" i="7"/>
  <c r="S105" i="7" s="1"/>
  <c r="T105" i="7" s="1"/>
  <c r="U105" i="7" s="1"/>
  <c r="V105" i="7" s="1"/>
  <c r="W105" i="7" s="1"/>
  <c r="X105" i="7" s="1"/>
  <c r="Y105" i="7" s="1"/>
  <c r="Z105" i="7" s="1"/>
  <c r="AA105" i="7" s="1"/>
  <c r="AB105" i="7" s="1"/>
  <c r="Q83" i="7"/>
  <c r="R99" i="7"/>
  <c r="S99" i="7" s="1"/>
  <c r="T99" i="7" s="1"/>
  <c r="U99" i="7" s="1"/>
  <c r="V99" i="7" s="1"/>
  <c r="W99" i="7" s="1"/>
  <c r="X99" i="7" s="1"/>
  <c r="Y99" i="7" s="1"/>
  <c r="Z99" i="7" s="1"/>
  <c r="AA99" i="7" s="1"/>
  <c r="AB99" i="7" s="1"/>
  <c r="Q77" i="7"/>
  <c r="R100" i="7"/>
  <c r="S100" i="7" s="1"/>
  <c r="T100" i="7" s="1"/>
  <c r="U100" i="7" s="1"/>
  <c r="V100" i="7" s="1"/>
  <c r="W100" i="7" s="1"/>
  <c r="X100" i="7" s="1"/>
  <c r="Y100" i="7" s="1"/>
  <c r="Z100" i="7" s="1"/>
  <c r="AA100" i="7" s="1"/>
  <c r="AB100" i="7" s="1"/>
  <c r="Q78" i="7"/>
  <c r="R103" i="7"/>
  <c r="S103" i="7" s="1"/>
  <c r="T103" i="7" s="1"/>
  <c r="U103" i="7" s="1"/>
  <c r="V103" i="7" s="1"/>
  <c r="W103" i="7" s="1"/>
  <c r="X103" i="7" s="1"/>
  <c r="Y103" i="7" s="1"/>
  <c r="Z103" i="7" s="1"/>
  <c r="AA103" i="7" s="1"/>
  <c r="AB103" i="7" s="1"/>
  <c r="Q81" i="7"/>
  <c r="Q97" i="7"/>
  <c r="P75" i="7"/>
  <c r="Q172" i="7"/>
  <c r="R172" i="7" s="1"/>
  <c r="P81" i="7"/>
  <c r="P77" i="7"/>
  <c r="P40" i="7"/>
  <c r="Q62" i="7"/>
  <c r="Q76" i="7"/>
  <c r="P118" i="7"/>
  <c r="Q140" i="7"/>
  <c r="P153" i="7"/>
  <c r="Q133" i="7"/>
  <c r="P111" i="7"/>
  <c r="Y64" i="14"/>
  <c r="X84" i="14"/>
  <c r="X50" i="14"/>
  <c r="X52" i="14" s="1"/>
  <c r="X55" i="14" s="1"/>
  <c r="X87" i="14"/>
  <c r="X45" i="11"/>
  <c r="W39" i="11"/>
  <c r="Y45" i="13"/>
  <c r="X39" i="13"/>
  <c r="W46" i="13"/>
  <c r="V40" i="13"/>
  <c r="V38" i="13" s="1"/>
  <c r="V50" i="13" s="1"/>
  <c r="V38" i="11"/>
  <c r="V50" i="11" s="1"/>
  <c r="W40" i="11"/>
  <c r="X46" i="11"/>
  <c r="U34" i="7"/>
  <c r="T12" i="7"/>
  <c r="U33" i="7"/>
  <c r="T11" i="7"/>
  <c r="U27" i="7"/>
  <c r="T5" i="7"/>
  <c r="U35" i="7"/>
  <c r="T13" i="7"/>
  <c r="U32" i="7"/>
  <c r="T10" i="7"/>
  <c r="U30" i="7"/>
  <c r="T8" i="7"/>
  <c r="S3" i="7"/>
  <c r="S179" i="7" s="1"/>
  <c r="U28" i="7"/>
  <c r="T6" i="7"/>
  <c r="U31" i="7"/>
  <c r="T9" i="7"/>
  <c r="U26" i="7"/>
  <c r="T4" i="7"/>
  <c r="U29" i="7"/>
  <c r="T7" i="7"/>
  <c r="S28" i="13"/>
  <c r="S31" i="13"/>
  <c r="S26" i="13"/>
  <c r="S33" i="13"/>
  <c r="S30" i="13"/>
  <c r="T27" i="13"/>
  <c r="S32" i="13"/>
  <c r="S29" i="13"/>
  <c r="S35" i="13"/>
  <c r="S34" i="13"/>
  <c r="V38" i="12"/>
  <c r="V50" i="12" s="1"/>
  <c r="X45" i="12"/>
  <c r="W39" i="12"/>
  <c r="X46" i="12"/>
  <c r="W40" i="12"/>
  <c r="R34" i="12"/>
  <c r="R28" i="12"/>
  <c r="R33" i="12"/>
  <c r="R32" i="12"/>
  <c r="R35" i="12"/>
  <c r="R31" i="12"/>
  <c r="S27" i="12"/>
  <c r="R29" i="12"/>
  <c r="R30" i="12"/>
  <c r="U38" i="10"/>
  <c r="U53" i="10" s="1"/>
  <c r="V56" i="9"/>
  <c r="X49" i="9"/>
  <c r="W39" i="9"/>
  <c r="X51" i="9"/>
  <c r="W41" i="9"/>
  <c r="X50" i="9"/>
  <c r="W40" i="9"/>
  <c r="V41" i="10"/>
  <c r="W49" i="10"/>
  <c r="W48" i="10"/>
  <c r="V40" i="10"/>
  <c r="V39" i="10"/>
  <c r="W47" i="10"/>
  <c r="S26" i="10"/>
  <c r="S33" i="10"/>
  <c r="S35" i="10"/>
  <c r="S29" i="10"/>
  <c r="S32" i="10"/>
  <c r="S28" i="10"/>
  <c r="S34" i="10"/>
  <c r="S30" i="10"/>
  <c r="S31" i="10"/>
  <c r="T27" i="10"/>
  <c r="R29" i="9"/>
  <c r="R26" i="9"/>
  <c r="R31" i="9"/>
  <c r="R35" i="9"/>
  <c r="R30" i="9"/>
  <c r="R28" i="9"/>
  <c r="R34" i="9"/>
  <c r="R27" i="9"/>
  <c r="R32" i="9"/>
  <c r="R33" i="9"/>
  <c r="R167" i="7"/>
  <c r="Q145" i="7"/>
  <c r="R176" i="7"/>
  <c r="Q154" i="7"/>
  <c r="R174" i="7"/>
  <c r="Q152" i="7"/>
  <c r="R175" i="7"/>
  <c r="Q153" i="7"/>
  <c r="R170" i="7"/>
  <c r="Q148" i="7"/>
  <c r="R134" i="7"/>
  <c r="Q112" i="7"/>
  <c r="R132" i="7"/>
  <c r="Q110" i="7"/>
  <c r="P110" i="7"/>
  <c r="R136" i="7"/>
  <c r="Q114" i="7"/>
  <c r="R141" i="7"/>
  <c r="Q119" i="7"/>
  <c r="R139" i="7"/>
  <c r="Q117" i="7"/>
  <c r="R137" i="7"/>
  <c r="Q115" i="7"/>
  <c r="R138" i="7"/>
  <c r="Q116" i="7"/>
  <c r="R79" i="7"/>
  <c r="R76" i="7"/>
  <c r="R64" i="7"/>
  <c r="Q42" i="7"/>
  <c r="R67" i="7"/>
  <c r="Q45" i="7"/>
  <c r="R70" i="7"/>
  <c r="Q48" i="7"/>
  <c r="R69" i="7"/>
  <c r="Q47" i="7"/>
  <c r="W87" i="14"/>
  <c r="Z14" i="14"/>
  <c r="AA12" i="14" s="1"/>
  <c r="AA14" i="14" s="1"/>
  <c r="Y66" i="14"/>
  <c r="Y68" i="14" s="1"/>
  <c r="Z64" i="14"/>
  <c r="Y61" i="14"/>
  <c r="Y63" i="14" s="1"/>
  <c r="AA69" i="14"/>
  <c r="AA71" i="14" s="1"/>
  <c r="AA73" i="14" s="1"/>
  <c r="Q46" i="7" l="1"/>
  <c r="Q43" i="7"/>
  <c r="Q44" i="7"/>
  <c r="Q41" i="7"/>
  <c r="R78" i="7"/>
  <c r="R82" i="7"/>
  <c r="Q113" i="7"/>
  <c r="R26" i="12"/>
  <c r="S26" i="12" s="1"/>
  <c r="R61" i="7"/>
  <c r="Q149" i="7"/>
  <c r="S168" i="7"/>
  <c r="T168" i="7" s="1"/>
  <c r="Q147" i="7"/>
  <c r="Q144" i="7" s="1"/>
  <c r="P73" i="7"/>
  <c r="R173" i="7"/>
  <c r="S173" i="7" s="1"/>
  <c r="R80" i="7"/>
  <c r="P144" i="7"/>
  <c r="R77" i="7"/>
  <c r="Q150" i="7"/>
  <c r="R96" i="7"/>
  <c r="Q74" i="7"/>
  <c r="R83" i="7"/>
  <c r="P109" i="7"/>
  <c r="R81" i="7"/>
  <c r="R133" i="7"/>
  <c r="Q111" i="7"/>
  <c r="R140" i="7"/>
  <c r="Q118" i="7"/>
  <c r="R62" i="7"/>
  <c r="Q40" i="7"/>
  <c r="R97" i="7"/>
  <c r="Q75" i="7"/>
  <c r="W38" i="11"/>
  <c r="W50" i="11" s="1"/>
  <c r="Y48" i="14"/>
  <c r="Y50" i="14"/>
  <c r="Y52" i="14" s="1"/>
  <c r="Y55" i="14" s="1"/>
  <c r="Z48" i="14"/>
  <c r="Z59" i="14"/>
  <c r="X46" i="13"/>
  <c r="W40" i="13"/>
  <c r="W38" i="13" s="1"/>
  <c r="W50" i="13" s="1"/>
  <c r="Z45" i="13"/>
  <c r="Y39" i="13"/>
  <c r="Y46" i="11"/>
  <c r="X40" i="11"/>
  <c r="Y45" i="11"/>
  <c r="X39" i="11"/>
  <c r="V35" i="7"/>
  <c r="U13" i="7"/>
  <c r="V31" i="7"/>
  <c r="U9" i="7"/>
  <c r="V28" i="7"/>
  <c r="U6" i="7"/>
  <c r="V27" i="7"/>
  <c r="U5" i="7"/>
  <c r="V29" i="7"/>
  <c r="U7" i="7"/>
  <c r="T3" i="7"/>
  <c r="T179" i="7" s="1"/>
  <c r="V30" i="7"/>
  <c r="U8" i="7"/>
  <c r="V33" i="7"/>
  <c r="U11" i="7"/>
  <c r="V26" i="7"/>
  <c r="U4" i="7"/>
  <c r="V32" i="7"/>
  <c r="U10" i="7"/>
  <c r="V34" i="7"/>
  <c r="U12" i="7"/>
  <c r="T32" i="13"/>
  <c r="T26" i="13"/>
  <c r="T34" i="13"/>
  <c r="U27" i="13"/>
  <c r="T31" i="13"/>
  <c r="T33" i="13"/>
  <c r="T35" i="13"/>
  <c r="T30" i="13"/>
  <c r="T29" i="13"/>
  <c r="T28" i="13"/>
  <c r="W38" i="12"/>
  <c r="W50" i="12" s="1"/>
  <c r="Y46" i="12"/>
  <c r="X40" i="12"/>
  <c r="Y45" i="12"/>
  <c r="X39" i="12"/>
  <c r="T27" i="12"/>
  <c r="S31" i="12"/>
  <c r="S33" i="12"/>
  <c r="S30" i="12"/>
  <c r="S35" i="12"/>
  <c r="S28" i="12"/>
  <c r="S34" i="12"/>
  <c r="S29" i="12"/>
  <c r="S32" i="12"/>
  <c r="Y50" i="9"/>
  <c r="X40" i="9"/>
  <c r="Y51" i="9"/>
  <c r="X41" i="9"/>
  <c r="W56" i="9"/>
  <c r="Y49" i="9"/>
  <c r="X39" i="9"/>
  <c r="V38" i="10"/>
  <c r="V53" i="10" s="1"/>
  <c r="W41" i="10"/>
  <c r="X49" i="10"/>
  <c r="X48" i="10"/>
  <c r="W40" i="10"/>
  <c r="W39" i="10"/>
  <c r="X47" i="10"/>
  <c r="T31" i="10"/>
  <c r="T32" i="10"/>
  <c r="T26" i="10"/>
  <c r="T30" i="10"/>
  <c r="T29" i="10"/>
  <c r="T35" i="10"/>
  <c r="U27" i="10"/>
  <c r="T28" i="10"/>
  <c r="T33" i="10"/>
  <c r="T34" i="10"/>
  <c r="S30" i="9"/>
  <c r="S29" i="9"/>
  <c r="S27" i="9"/>
  <c r="S35" i="9"/>
  <c r="S28" i="9"/>
  <c r="S26" i="9"/>
  <c r="S34" i="9"/>
  <c r="S31" i="9"/>
  <c r="S33" i="9"/>
  <c r="S32" i="9"/>
  <c r="S174" i="7"/>
  <c r="R152" i="7"/>
  <c r="S171" i="7"/>
  <c r="R149" i="7"/>
  <c r="S169" i="7"/>
  <c r="R147" i="7"/>
  <c r="S170" i="7"/>
  <c r="R148" i="7"/>
  <c r="S176" i="7"/>
  <c r="R154" i="7"/>
  <c r="S175" i="7"/>
  <c r="R153" i="7"/>
  <c r="S172" i="7"/>
  <c r="R150" i="7"/>
  <c r="S167" i="7"/>
  <c r="R145" i="7"/>
  <c r="S135" i="7"/>
  <c r="R113" i="7"/>
  <c r="S141" i="7"/>
  <c r="R119" i="7"/>
  <c r="S136" i="7"/>
  <c r="R114" i="7"/>
  <c r="S132" i="7"/>
  <c r="R110" i="7"/>
  <c r="S137" i="7"/>
  <c r="R115" i="7"/>
  <c r="S139" i="7"/>
  <c r="R117" i="7"/>
  <c r="S138" i="7"/>
  <c r="R116" i="7"/>
  <c r="S134" i="7"/>
  <c r="R112" i="7"/>
  <c r="S77" i="7"/>
  <c r="S76" i="7"/>
  <c r="S81" i="7"/>
  <c r="S79" i="7"/>
  <c r="S80" i="7"/>
  <c r="S82" i="7"/>
  <c r="S78" i="7"/>
  <c r="S83" i="7"/>
  <c r="S65" i="7"/>
  <c r="R43" i="7"/>
  <c r="S69" i="7"/>
  <c r="R47" i="7"/>
  <c r="S63" i="7"/>
  <c r="R41" i="7"/>
  <c r="S67" i="7"/>
  <c r="R45" i="7"/>
  <c r="S70" i="7"/>
  <c r="R48" i="7"/>
  <c r="S66" i="7"/>
  <c r="R44" i="7"/>
  <c r="S61" i="7"/>
  <c r="R39" i="7"/>
  <c r="S68" i="7"/>
  <c r="R46" i="7"/>
  <c r="S64" i="7"/>
  <c r="R42" i="7"/>
  <c r="Z61" i="14"/>
  <c r="Z63" i="14" s="1"/>
  <c r="Y78" i="14"/>
  <c r="Y84" i="14"/>
  <c r="Z66" i="14"/>
  <c r="Z68" i="14" s="1"/>
  <c r="R15" i="14"/>
  <c r="Q38" i="7" l="1"/>
  <c r="R4" i="12"/>
  <c r="S146" i="7"/>
  <c r="Q73" i="7"/>
  <c r="R151" i="7"/>
  <c r="Q109" i="7"/>
  <c r="Q180" i="7" s="1"/>
  <c r="S96" i="7"/>
  <c r="R74" i="7"/>
  <c r="S62" i="7"/>
  <c r="R40" i="7"/>
  <c r="R38" i="7" s="1"/>
  <c r="S97" i="7"/>
  <c r="R75" i="7"/>
  <c r="S140" i="7"/>
  <c r="R118" i="7"/>
  <c r="R111" i="7"/>
  <c r="S133" i="7"/>
  <c r="Z50" i="14"/>
  <c r="Z52" i="14" s="1"/>
  <c r="Z55" i="14" s="1"/>
  <c r="X38" i="11"/>
  <c r="X50" i="11" s="1"/>
  <c r="X56" i="9"/>
  <c r="Z45" i="11"/>
  <c r="Y39" i="11"/>
  <c r="Z46" i="11"/>
  <c r="Y40" i="11"/>
  <c r="Y38" i="11" s="1"/>
  <c r="Y50" i="11" s="1"/>
  <c r="AA45" i="13"/>
  <c r="Z39" i="13"/>
  <c r="Y46" i="13"/>
  <c r="X40" i="13"/>
  <c r="X38" i="13" s="1"/>
  <c r="X50" i="13" s="1"/>
  <c r="W27" i="7"/>
  <c r="V5" i="7"/>
  <c r="W26" i="7"/>
  <c r="V4" i="7"/>
  <c r="W33" i="7"/>
  <c r="V11" i="7"/>
  <c r="W28" i="7"/>
  <c r="V6" i="7"/>
  <c r="W34" i="7"/>
  <c r="V12" i="7"/>
  <c r="W30" i="7"/>
  <c r="V8" i="7"/>
  <c r="W31" i="7"/>
  <c r="V9" i="7"/>
  <c r="W32" i="7"/>
  <c r="V10" i="7"/>
  <c r="U3" i="7"/>
  <c r="U179" i="7" s="1"/>
  <c r="W29" i="7"/>
  <c r="V7" i="7"/>
  <c r="W35" i="7"/>
  <c r="V13" i="7"/>
  <c r="V27" i="13"/>
  <c r="U30" i="13"/>
  <c r="U35" i="13"/>
  <c r="U34" i="13"/>
  <c r="U28" i="13"/>
  <c r="U33" i="13"/>
  <c r="U26" i="13"/>
  <c r="U29" i="13"/>
  <c r="U31" i="13"/>
  <c r="U32" i="13"/>
  <c r="X38" i="12"/>
  <c r="X50" i="12" s="1"/>
  <c r="Z45" i="12"/>
  <c r="Y39" i="12"/>
  <c r="Z46" i="12"/>
  <c r="Y40" i="12"/>
  <c r="T34" i="12"/>
  <c r="T33" i="12"/>
  <c r="T32" i="12"/>
  <c r="T35" i="12"/>
  <c r="T31" i="12"/>
  <c r="T28" i="12"/>
  <c r="T29" i="12"/>
  <c r="T30" i="12"/>
  <c r="U27" i="12"/>
  <c r="S4" i="12"/>
  <c r="T26" i="12"/>
  <c r="Z50" i="9"/>
  <c r="Y40" i="9"/>
  <c r="Z49" i="9"/>
  <c r="Y39" i="9"/>
  <c r="Z51" i="9"/>
  <c r="Y41" i="9"/>
  <c r="W38" i="10"/>
  <c r="W53" i="10" s="1"/>
  <c r="Y49" i="10"/>
  <c r="X41" i="10"/>
  <c r="X40" i="10"/>
  <c r="Y48" i="10"/>
  <c r="Y47" i="10"/>
  <c r="X39" i="10"/>
  <c r="U33" i="10"/>
  <c r="U29" i="10"/>
  <c r="U31" i="10"/>
  <c r="U28" i="10"/>
  <c r="U30" i="10"/>
  <c r="V27" i="10"/>
  <c r="U34" i="10"/>
  <c r="U35" i="10"/>
  <c r="U32" i="10"/>
  <c r="U26" i="10"/>
  <c r="T31" i="9"/>
  <c r="T35" i="9"/>
  <c r="T27" i="9"/>
  <c r="T32" i="9"/>
  <c r="T26" i="9"/>
  <c r="T29" i="9"/>
  <c r="T34" i="9"/>
  <c r="T33" i="9"/>
  <c r="T28" i="9"/>
  <c r="T30" i="9"/>
  <c r="T170" i="7"/>
  <c r="S148" i="7"/>
  <c r="T167" i="7"/>
  <c r="S145" i="7"/>
  <c r="T176" i="7"/>
  <c r="S154" i="7"/>
  <c r="T171" i="7"/>
  <c r="S149" i="7"/>
  <c r="T175" i="7"/>
  <c r="S153" i="7"/>
  <c r="T173" i="7"/>
  <c r="S151" i="7"/>
  <c r="T172" i="7"/>
  <c r="S150" i="7"/>
  <c r="R144" i="7"/>
  <c r="T169" i="7"/>
  <c r="S147" i="7"/>
  <c r="U168" i="7"/>
  <c r="T146" i="7"/>
  <c r="T174" i="7"/>
  <c r="S152" i="7"/>
  <c r="T136" i="7"/>
  <c r="S114" i="7"/>
  <c r="T139" i="7"/>
  <c r="S117" i="7"/>
  <c r="T134" i="7"/>
  <c r="S112" i="7"/>
  <c r="T137" i="7"/>
  <c r="S115" i="7"/>
  <c r="T141" i="7"/>
  <c r="S119" i="7"/>
  <c r="T138" i="7"/>
  <c r="S116" i="7"/>
  <c r="T132" i="7"/>
  <c r="S110" i="7"/>
  <c r="T135" i="7"/>
  <c r="S113" i="7"/>
  <c r="T76" i="7"/>
  <c r="T83" i="7"/>
  <c r="T77" i="7"/>
  <c r="T80" i="7"/>
  <c r="T81" i="7"/>
  <c r="T78" i="7"/>
  <c r="T79" i="7"/>
  <c r="T82" i="7"/>
  <c r="T67" i="7"/>
  <c r="S45" i="7"/>
  <c r="T63" i="7"/>
  <c r="S41" i="7"/>
  <c r="T64" i="7"/>
  <c r="S42" i="7"/>
  <c r="T66" i="7"/>
  <c r="S44" i="7"/>
  <c r="T69" i="7"/>
  <c r="S47" i="7"/>
  <c r="T61" i="7"/>
  <c r="S39" i="7"/>
  <c r="T68" i="7"/>
  <c r="S46" i="7"/>
  <c r="T70" i="7"/>
  <c r="S48" i="7"/>
  <c r="T65" i="7"/>
  <c r="S43" i="7"/>
  <c r="AA64" i="14"/>
  <c r="AA66" i="14" s="1"/>
  <c r="AA68" i="14" s="1"/>
  <c r="Z78" i="14"/>
  <c r="Z84" i="14"/>
  <c r="S15" i="14"/>
  <c r="R16" i="14"/>
  <c r="Y87" i="14"/>
  <c r="AA59" i="14"/>
  <c r="AA61" i="14" s="1"/>
  <c r="AA63" i="14" s="1"/>
  <c r="R73" i="7" l="1"/>
  <c r="R109" i="7"/>
  <c r="T96" i="7"/>
  <c r="S74" i="7"/>
  <c r="T133" i="7"/>
  <c r="S111" i="7"/>
  <c r="T140" i="7"/>
  <c r="S118" i="7"/>
  <c r="T97" i="7"/>
  <c r="S75" i="7"/>
  <c r="T62" i="7"/>
  <c r="S40" i="7"/>
  <c r="S38" i="7" s="1"/>
  <c r="Z87" i="14"/>
  <c r="AA48" i="14"/>
  <c r="AA50" i="14" s="1"/>
  <c r="AA52" i="14" s="1"/>
  <c r="AA55" i="14" s="1"/>
  <c r="Z46" i="13"/>
  <c r="Y40" i="13"/>
  <c r="Y38" i="13" s="1"/>
  <c r="Y50" i="13" s="1"/>
  <c r="AB45" i="13"/>
  <c r="AB39" i="13" s="1"/>
  <c r="AA39" i="13"/>
  <c r="AA46" i="11"/>
  <c r="Z40" i="11"/>
  <c r="AA45" i="11"/>
  <c r="Z39" i="11"/>
  <c r="X32" i="7"/>
  <c r="W10" i="7"/>
  <c r="X28" i="7"/>
  <c r="W6" i="7"/>
  <c r="X31" i="7"/>
  <c r="W9" i="7"/>
  <c r="X33" i="7"/>
  <c r="W11" i="7"/>
  <c r="X35" i="7"/>
  <c r="W13" i="7"/>
  <c r="V3" i="7"/>
  <c r="V179" i="7" s="1"/>
  <c r="X30" i="7"/>
  <c r="W8" i="7"/>
  <c r="X26" i="7"/>
  <c r="W4" i="7"/>
  <c r="X29" i="7"/>
  <c r="W7" i="7"/>
  <c r="X34" i="7"/>
  <c r="W12" i="7"/>
  <c r="X27" i="7"/>
  <c r="W5" i="7"/>
  <c r="V34" i="13"/>
  <c r="V26" i="13"/>
  <c r="V35" i="13"/>
  <c r="V32" i="13"/>
  <c r="V33" i="13"/>
  <c r="V30" i="13"/>
  <c r="V31" i="13"/>
  <c r="V28" i="13"/>
  <c r="V29" i="13"/>
  <c r="W27" i="13"/>
  <c r="AA46" i="12"/>
  <c r="Z40" i="12"/>
  <c r="Y38" i="12"/>
  <c r="Y50" i="12" s="1"/>
  <c r="AA45" i="12"/>
  <c r="Z39" i="12"/>
  <c r="U35" i="12"/>
  <c r="U29" i="12"/>
  <c r="T4" i="12"/>
  <c r="U26" i="12"/>
  <c r="U32" i="12"/>
  <c r="U28" i="12"/>
  <c r="U30" i="12"/>
  <c r="U33" i="12"/>
  <c r="V27" i="12"/>
  <c r="U34" i="12"/>
  <c r="U31" i="12"/>
  <c r="X38" i="10"/>
  <c r="X53" i="10" s="1"/>
  <c r="AA50" i="9"/>
  <c r="Z40" i="9"/>
  <c r="AA49" i="9"/>
  <c r="Z39" i="9"/>
  <c r="AA51" i="9"/>
  <c r="Z41" i="9"/>
  <c r="Y56" i="9"/>
  <c r="Y41" i="10"/>
  <c r="Z49" i="10"/>
  <c r="Y40" i="10"/>
  <c r="Z48" i="10"/>
  <c r="Z47" i="10"/>
  <c r="Y39" i="10"/>
  <c r="V35" i="10"/>
  <c r="V28" i="10"/>
  <c r="V34" i="10"/>
  <c r="V31" i="10"/>
  <c r="V26" i="10"/>
  <c r="W27" i="10"/>
  <c r="V29" i="10"/>
  <c r="V32" i="10"/>
  <c r="V30" i="10"/>
  <c r="V33" i="10"/>
  <c r="U33" i="9"/>
  <c r="U32" i="9"/>
  <c r="U27" i="9"/>
  <c r="U30" i="9"/>
  <c r="U29" i="9"/>
  <c r="U34" i="9"/>
  <c r="U35" i="9"/>
  <c r="U28" i="9"/>
  <c r="U26" i="9"/>
  <c r="U31" i="9"/>
  <c r="U171" i="7"/>
  <c r="T149" i="7"/>
  <c r="U169" i="7"/>
  <c r="T147" i="7"/>
  <c r="S144" i="7"/>
  <c r="U173" i="7"/>
  <c r="T151" i="7"/>
  <c r="U167" i="7"/>
  <c r="T145" i="7"/>
  <c r="V168" i="7"/>
  <c r="U146" i="7"/>
  <c r="U172" i="7"/>
  <c r="T150" i="7"/>
  <c r="U176" i="7"/>
  <c r="T154" i="7"/>
  <c r="U174" i="7"/>
  <c r="T152" i="7"/>
  <c r="U175" i="7"/>
  <c r="T153" i="7"/>
  <c r="U170" i="7"/>
  <c r="T148" i="7"/>
  <c r="U139" i="7"/>
  <c r="T117" i="7"/>
  <c r="U134" i="7"/>
  <c r="T112" i="7"/>
  <c r="U141" i="7"/>
  <c r="T119" i="7"/>
  <c r="U132" i="7"/>
  <c r="T110" i="7"/>
  <c r="U138" i="7"/>
  <c r="T116" i="7"/>
  <c r="U135" i="7"/>
  <c r="T113" i="7"/>
  <c r="U136" i="7"/>
  <c r="T114" i="7"/>
  <c r="U137" i="7"/>
  <c r="T115" i="7"/>
  <c r="U82" i="7"/>
  <c r="U78" i="7"/>
  <c r="U77" i="7"/>
  <c r="U81" i="7"/>
  <c r="U76" i="7"/>
  <c r="U80" i="7"/>
  <c r="U83" i="7"/>
  <c r="U79" i="7"/>
  <c r="U64" i="7"/>
  <c r="T42" i="7"/>
  <c r="U61" i="7"/>
  <c r="T39" i="7"/>
  <c r="U65" i="7"/>
  <c r="T43" i="7"/>
  <c r="U69" i="7"/>
  <c r="T47" i="7"/>
  <c r="U67" i="7"/>
  <c r="T45" i="7"/>
  <c r="U68" i="7"/>
  <c r="T46" i="7"/>
  <c r="U63" i="7"/>
  <c r="T41" i="7"/>
  <c r="U70" i="7"/>
  <c r="T48" i="7"/>
  <c r="U66" i="7"/>
  <c r="T44" i="7"/>
  <c r="T15" i="14"/>
  <c r="S16" i="14"/>
  <c r="AA78" i="14"/>
  <c r="AA84" i="14"/>
  <c r="R24" i="14"/>
  <c r="R22" i="14"/>
  <c r="R21" i="14"/>
  <c r="R23" i="14"/>
  <c r="S73" i="7" l="1"/>
  <c r="R180" i="7"/>
  <c r="S109" i="7"/>
  <c r="U96" i="7"/>
  <c r="T74" i="7"/>
  <c r="T40" i="7"/>
  <c r="T38" i="7" s="1"/>
  <c r="U62" i="7"/>
  <c r="U97" i="7"/>
  <c r="T75" i="7"/>
  <c r="U140" i="7"/>
  <c r="T118" i="7"/>
  <c r="T111" i="7"/>
  <c r="U133" i="7"/>
  <c r="Z38" i="12"/>
  <c r="Z50" i="12" s="1"/>
  <c r="AA87" i="14"/>
  <c r="S180" i="7"/>
  <c r="Z38" i="11"/>
  <c r="Z50" i="11" s="1"/>
  <c r="AB46" i="11"/>
  <c r="AB40" i="11" s="1"/>
  <c r="AA40" i="11"/>
  <c r="AB45" i="11"/>
  <c r="AB39" i="11" s="1"/>
  <c r="AA39" i="11"/>
  <c r="AA46" i="13"/>
  <c r="Z40" i="13"/>
  <c r="Z38" i="13" s="1"/>
  <c r="Z50" i="13" s="1"/>
  <c r="Y29" i="7"/>
  <c r="X7" i="7"/>
  <c r="W3" i="7"/>
  <c r="W179" i="7" s="1"/>
  <c r="Y33" i="7"/>
  <c r="X11" i="7"/>
  <c r="Y26" i="7"/>
  <c r="X4" i="7"/>
  <c r="Y31" i="7"/>
  <c r="X9" i="7"/>
  <c r="Y27" i="7"/>
  <c r="X5" i="7"/>
  <c r="Y30" i="7"/>
  <c r="X8" i="7"/>
  <c r="Y28" i="7"/>
  <c r="X6" i="7"/>
  <c r="Y34" i="7"/>
  <c r="X12" i="7"/>
  <c r="Y35" i="7"/>
  <c r="X13" i="7"/>
  <c r="Y32" i="7"/>
  <c r="X10" i="7"/>
  <c r="W28" i="13"/>
  <c r="W32" i="13"/>
  <c r="X27" i="13"/>
  <c r="W31" i="13"/>
  <c r="W35" i="13"/>
  <c r="W30" i="13"/>
  <c r="W26" i="13"/>
  <c r="W29" i="13"/>
  <c r="W33" i="13"/>
  <c r="W34" i="13"/>
  <c r="AB45" i="12"/>
  <c r="AB39" i="12" s="1"/>
  <c r="AA39" i="12"/>
  <c r="AB46" i="12"/>
  <c r="AB40" i="12" s="1"/>
  <c r="AA40" i="12"/>
  <c r="W27" i="12"/>
  <c r="V33" i="12"/>
  <c r="V31" i="12"/>
  <c r="V30" i="12"/>
  <c r="V29" i="12"/>
  <c r="U4" i="12"/>
  <c r="V26" i="12"/>
  <c r="W26" i="12" s="1"/>
  <c r="W4" i="12" s="1"/>
  <c r="V34" i="12"/>
  <c r="V28" i="12"/>
  <c r="V32" i="12"/>
  <c r="V35" i="12"/>
  <c r="Y38" i="10"/>
  <c r="Y53" i="10" s="1"/>
  <c r="AB50" i="9"/>
  <c r="AB40" i="9" s="1"/>
  <c r="AA40" i="9"/>
  <c r="AB51" i="9"/>
  <c r="AB41" i="9" s="1"/>
  <c r="AA41" i="9"/>
  <c r="Z56" i="9"/>
  <c r="AB49" i="9"/>
  <c r="AB39" i="9" s="1"/>
  <c r="AA39" i="9"/>
  <c r="T144" i="7"/>
  <c r="AA49" i="10"/>
  <c r="Z41" i="10"/>
  <c r="Z40" i="10"/>
  <c r="AA48" i="10"/>
  <c r="AA47" i="10"/>
  <c r="Z39" i="10"/>
  <c r="W32" i="10"/>
  <c r="W31" i="10"/>
  <c r="W29" i="10"/>
  <c r="W34" i="10"/>
  <c r="W33" i="10"/>
  <c r="W28" i="10"/>
  <c r="W30" i="10"/>
  <c r="X27" i="10"/>
  <c r="W26" i="10"/>
  <c r="W35" i="10"/>
  <c r="V29" i="9"/>
  <c r="V33" i="9"/>
  <c r="V30" i="9"/>
  <c r="V27" i="9"/>
  <c r="V34" i="9"/>
  <c r="V32" i="9"/>
  <c r="V28" i="9"/>
  <c r="V35" i="9"/>
  <c r="V31" i="9"/>
  <c r="V26" i="9"/>
  <c r="V174" i="7"/>
  <c r="U152" i="7"/>
  <c r="V167" i="7"/>
  <c r="U145" i="7"/>
  <c r="V176" i="7"/>
  <c r="U154" i="7"/>
  <c r="V170" i="7"/>
  <c r="U148" i="7"/>
  <c r="V172" i="7"/>
  <c r="U150" i="7"/>
  <c r="V173" i="7"/>
  <c r="U151" i="7"/>
  <c r="V169" i="7"/>
  <c r="U147" i="7"/>
  <c r="V175" i="7"/>
  <c r="U153" i="7"/>
  <c r="W168" i="7"/>
  <c r="V146" i="7"/>
  <c r="V171" i="7"/>
  <c r="U149" i="7"/>
  <c r="V132" i="7"/>
  <c r="U110" i="7"/>
  <c r="V135" i="7"/>
  <c r="U113" i="7"/>
  <c r="V141" i="7"/>
  <c r="U119" i="7"/>
  <c r="V134" i="7"/>
  <c r="U112" i="7"/>
  <c r="V137" i="7"/>
  <c r="U115" i="7"/>
  <c r="V138" i="7"/>
  <c r="U116" i="7"/>
  <c r="V136" i="7"/>
  <c r="U114" i="7"/>
  <c r="V139" i="7"/>
  <c r="U117" i="7"/>
  <c r="V76" i="7"/>
  <c r="V79" i="7"/>
  <c r="V81" i="7"/>
  <c r="V82" i="7"/>
  <c r="V83" i="7"/>
  <c r="V80" i="7"/>
  <c r="V78" i="7"/>
  <c r="V77" i="7"/>
  <c r="V70" i="7"/>
  <c r="U48" i="7"/>
  <c r="V69" i="7"/>
  <c r="U47" i="7"/>
  <c r="V68" i="7"/>
  <c r="U46" i="7"/>
  <c r="V63" i="7"/>
  <c r="U41" i="7"/>
  <c r="V61" i="7"/>
  <c r="U39" i="7"/>
  <c r="V66" i="7"/>
  <c r="U44" i="7"/>
  <c r="V67" i="7"/>
  <c r="U45" i="7"/>
  <c r="V65" i="7"/>
  <c r="U43" i="7"/>
  <c r="V64" i="7"/>
  <c r="U42" i="7"/>
  <c r="D6" i="14"/>
  <c r="S23" i="14"/>
  <c r="S24" i="14"/>
  <c r="S21" i="14"/>
  <c r="S22" i="14"/>
  <c r="U15" i="14"/>
  <c r="T16" i="14"/>
  <c r="R25" i="14"/>
  <c r="T73" i="7" l="1"/>
  <c r="V96" i="7"/>
  <c r="U74" i="7"/>
  <c r="T109" i="7"/>
  <c r="T180" i="7" s="1"/>
  <c r="V133" i="7"/>
  <c r="U111" i="7"/>
  <c r="V140" i="7"/>
  <c r="U118" i="7"/>
  <c r="V97" i="7"/>
  <c r="U75" i="7"/>
  <c r="V62" i="7"/>
  <c r="U40" i="7"/>
  <c r="U38" i="7" s="1"/>
  <c r="AB46" i="13"/>
  <c r="AB40" i="13" s="1"/>
  <c r="AB38" i="13" s="1"/>
  <c r="AB50" i="13" s="1"/>
  <c r="AA40" i="13"/>
  <c r="AA38" i="13" s="1"/>
  <c r="AA50" i="13" s="1"/>
  <c r="AB56" i="9"/>
  <c r="AA38" i="11"/>
  <c r="AA50" i="11" s="1"/>
  <c r="AB38" i="11"/>
  <c r="AB50" i="11" s="1"/>
  <c r="Z26" i="7"/>
  <c r="Y4" i="7"/>
  <c r="Z34" i="7"/>
  <c r="Y12" i="7"/>
  <c r="Z31" i="7"/>
  <c r="Y9" i="7"/>
  <c r="X3" i="7"/>
  <c r="X179" i="7" s="1"/>
  <c r="Z32" i="7"/>
  <c r="Y10" i="7"/>
  <c r="Z30" i="7"/>
  <c r="Y8" i="7"/>
  <c r="Z33" i="7"/>
  <c r="Y11" i="7"/>
  <c r="Z28" i="7"/>
  <c r="Y6" i="7"/>
  <c r="Z35" i="7"/>
  <c r="Y13" i="7"/>
  <c r="Z27" i="7"/>
  <c r="Y5" i="7"/>
  <c r="Z29" i="7"/>
  <c r="Y7" i="7"/>
  <c r="X29" i="13"/>
  <c r="X31" i="13"/>
  <c r="X26" i="13"/>
  <c r="Y27" i="13"/>
  <c r="X34" i="13"/>
  <c r="X30" i="13"/>
  <c r="X32" i="13"/>
  <c r="X33" i="13"/>
  <c r="X35" i="13"/>
  <c r="X28" i="13"/>
  <c r="AB38" i="12"/>
  <c r="AB50" i="12" s="1"/>
  <c r="AA38" i="12"/>
  <c r="AA50" i="12" s="1"/>
  <c r="W34" i="12"/>
  <c r="W31" i="12"/>
  <c r="V4" i="12"/>
  <c r="W33" i="12"/>
  <c r="W28" i="12"/>
  <c r="W35" i="12"/>
  <c r="W32" i="12"/>
  <c r="W29" i="12"/>
  <c r="W30" i="12"/>
  <c r="X27" i="12"/>
  <c r="Z38" i="10"/>
  <c r="Z53" i="10" s="1"/>
  <c r="AA56" i="9"/>
  <c r="AB49" i="10"/>
  <c r="AB41" i="10" s="1"/>
  <c r="AA41" i="10"/>
  <c r="AA40" i="10"/>
  <c r="AB48" i="10"/>
  <c r="AB40" i="10" s="1"/>
  <c r="AA39" i="10"/>
  <c r="AB47" i="10"/>
  <c r="AB39" i="10" s="1"/>
  <c r="X34" i="10"/>
  <c r="X35" i="10"/>
  <c r="X30" i="10"/>
  <c r="X28" i="10"/>
  <c r="X31" i="10"/>
  <c r="Y27" i="10"/>
  <c r="X29" i="10"/>
  <c r="X26" i="10"/>
  <c r="X33" i="10"/>
  <c r="X32" i="10"/>
  <c r="W29" i="9"/>
  <c r="W35" i="9"/>
  <c r="W27" i="9"/>
  <c r="W28" i="9"/>
  <c r="W33" i="9"/>
  <c r="W30" i="9"/>
  <c r="W26" i="9"/>
  <c r="W32" i="9"/>
  <c r="W31" i="9"/>
  <c r="W34" i="9"/>
  <c r="W175" i="7"/>
  <c r="V153" i="7"/>
  <c r="W170" i="7"/>
  <c r="V148" i="7"/>
  <c r="U144" i="7"/>
  <c r="W176" i="7"/>
  <c r="V154" i="7"/>
  <c r="W171" i="7"/>
  <c r="V149" i="7"/>
  <c r="W173" i="7"/>
  <c r="V151" i="7"/>
  <c r="W167" i="7"/>
  <c r="V145" i="7"/>
  <c r="W169" i="7"/>
  <c r="V147" i="7"/>
  <c r="X168" i="7"/>
  <c r="W146" i="7"/>
  <c r="W172" i="7"/>
  <c r="V150" i="7"/>
  <c r="W174" i="7"/>
  <c r="V152" i="7"/>
  <c r="W138" i="7"/>
  <c r="V116" i="7"/>
  <c r="W139" i="7"/>
  <c r="V117" i="7"/>
  <c r="W137" i="7"/>
  <c r="V115" i="7"/>
  <c r="W134" i="7"/>
  <c r="V112" i="7"/>
  <c r="W135" i="7"/>
  <c r="V113" i="7"/>
  <c r="U109" i="7"/>
  <c r="W141" i="7"/>
  <c r="V119" i="7"/>
  <c r="W136" i="7"/>
  <c r="V114" i="7"/>
  <c r="W132" i="7"/>
  <c r="V110" i="7"/>
  <c r="W83" i="7"/>
  <c r="W76" i="7"/>
  <c r="W82" i="7"/>
  <c r="W80" i="7"/>
  <c r="W81" i="7"/>
  <c r="W79" i="7"/>
  <c r="W78" i="7"/>
  <c r="W77" i="7"/>
  <c r="W65" i="7"/>
  <c r="V43" i="7"/>
  <c r="W63" i="7"/>
  <c r="V41" i="7"/>
  <c r="W61" i="7"/>
  <c r="V39" i="7"/>
  <c r="W67" i="7"/>
  <c r="V45" i="7"/>
  <c r="W68" i="7"/>
  <c r="V46" i="7"/>
  <c r="W64" i="7"/>
  <c r="V42" i="7"/>
  <c r="W66" i="7"/>
  <c r="V44" i="7"/>
  <c r="W69" i="7"/>
  <c r="V47" i="7"/>
  <c r="W70" i="7"/>
  <c r="V48" i="7"/>
  <c r="T23" i="14"/>
  <c r="T24" i="14"/>
  <c r="T21" i="14"/>
  <c r="T22" i="14"/>
  <c r="V15" i="14"/>
  <c r="U16" i="14"/>
  <c r="S25" i="14"/>
  <c r="U73" i="7" l="1"/>
  <c r="U180" i="7" s="1"/>
  <c r="W96" i="7"/>
  <c r="V74" i="7"/>
  <c r="W97" i="7"/>
  <c r="V75" i="7"/>
  <c r="V73" i="7" s="1"/>
  <c r="W62" i="7"/>
  <c r="V40" i="7"/>
  <c r="V38" i="7" s="1"/>
  <c r="W140" i="7"/>
  <c r="V118" i="7"/>
  <c r="V111" i="7"/>
  <c r="W133" i="7"/>
  <c r="AB38" i="10"/>
  <c r="AB53" i="10" s="1"/>
  <c r="AA35" i="7"/>
  <c r="Z13" i="7"/>
  <c r="AA32" i="7"/>
  <c r="Z10" i="7"/>
  <c r="AA28" i="7"/>
  <c r="Z6" i="7"/>
  <c r="AA31" i="7"/>
  <c r="Z9" i="7"/>
  <c r="AA29" i="7"/>
  <c r="Z7" i="7"/>
  <c r="AA33" i="7"/>
  <c r="Z11" i="7"/>
  <c r="AA34" i="7"/>
  <c r="Z12" i="7"/>
  <c r="AA27" i="7"/>
  <c r="Z5" i="7"/>
  <c r="AA30" i="7"/>
  <c r="Z8" i="7"/>
  <c r="Y3" i="7"/>
  <c r="Y179" i="7" s="1"/>
  <c r="AA26" i="7"/>
  <c r="Z4" i="7"/>
  <c r="Y29" i="13"/>
  <c r="Y26" i="13"/>
  <c r="Y28" i="13"/>
  <c r="Y30" i="13"/>
  <c r="Z27" i="13"/>
  <c r="Y32" i="13"/>
  <c r="Y31" i="13"/>
  <c r="Y33" i="13"/>
  <c r="Y35" i="13"/>
  <c r="Y34" i="13"/>
  <c r="X29" i="12"/>
  <c r="X33" i="12"/>
  <c r="X32" i="12"/>
  <c r="X26" i="12"/>
  <c r="Y27" i="12"/>
  <c r="X35" i="12"/>
  <c r="X31" i="12"/>
  <c r="X30" i="12"/>
  <c r="X28" i="12"/>
  <c r="X34" i="12"/>
  <c r="AA38" i="10"/>
  <c r="AA53" i="10" s="1"/>
  <c r="Y34" i="10"/>
  <c r="Y26" i="10"/>
  <c r="Y28" i="10"/>
  <c r="Y29" i="10"/>
  <c r="Y35" i="10"/>
  <c r="Y30" i="10"/>
  <c r="Y32" i="10"/>
  <c r="Z27" i="10"/>
  <c r="Y33" i="10"/>
  <c r="Y31" i="10"/>
  <c r="X32" i="9"/>
  <c r="X27" i="9"/>
  <c r="X34" i="9"/>
  <c r="X30" i="9"/>
  <c r="X35" i="9"/>
  <c r="X28" i="9"/>
  <c r="X26" i="9"/>
  <c r="X31" i="9"/>
  <c r="X33" i="9"/>
  <c r="X29" i="9"/>
  <c r="X171" i="7"/>
  <c r="W149" i="7"/>
  <c r="V144" i="7"/>
  <c r="X174" i="7"/>
  <c r="W152" i="7"/>
  <c r="X167" i="7"/>
  <c r="W145" i="7"/>
  <c r="X170" i="7"/>
  <c r="W148" i="7"/>
  <c r="X169" i="7"/>
  <c r="W147" i="7"/>
  <c r="Y168" i="7"/>
  <c r="X146" i="7"/>
  <c r="X176" i="7"/>
  <c r="W154" i="7"/>
  <c r="X172" i="7"/>
  <c r="W150" i="7"/>
  <c r="X173" i="7"/>
  <c r="W151" i="7"/>
  <c r="X175" i="7"/>
  <c r="W153" i="7"/>
  <c r="X141" i="7"/>
  <c r="W119" i="7"/>
  <c r="X139" i="7"/>
  <c r="W117" i="7"/>
  <c r="X136" i="7"/>
  <c r="W114" i="7"/>
  <c r="X137" i="7"/>
  <c r="W115" i="7"/>
  <c r="X132" i="7"/>
  <c r="W110" i="7"/>
  <c r="X135" i="7"/>
  <c r="W113" i="7"/>
  <c r="X134" i="7"/>
  <c r="W112" i="7"/>
  <c r="X138" i="7"/>
  <c r="W116" i="7"/>
  <c r="X79" i="7"/>
  <c r="X77" i="7"/>
  <c r="X83" i="7"/>
  <c r="X76" i="7"/>
  <c r="X81" i="7"/>
  <c r="X80" i="7"/>
  <c r="X78" i="7"/>
  <c r="X82" i="7"/>
  <c r="X67" i="7"/>
  <c r="W45" i="7"/>
  <c r="X69" i="7"/>
  <c r="W47" i="7"/>
  <c r="X66" i="7"/>
  <c r="W44" i="7"/>
  <c r="X61" i="7"/>
  <c r="W39" i="7"/>
  <c r="X70" i="7"/>
  <c r="W48" i="7"/>
  <c r="X64" i="7"/>
  <c r="W42" i="7"/>
  <c r="X63" i="7"/>
  <c r="W41" i="7"/>
  <c r="X68" i="7"/>
  <c r="W46" i="7"/>
  <c r="X65" i="7"/>
  <c r="W43" i="7"/>
  <c r="T25" i="14"/>
  <c r="U24" i="14"/>
  <c r="U23" i="14"/>
  <c r="U21" i="14"/>
  <c r="U22" i="14"/>
  <c r="W15" i="14"/>
  <c r="V16" i="14"/>
  <c r="V109" i="7" l="1"/>
  <c r="V180" i="7" s="1"/>
  <c r="X96" i="7"/>
  <c r="W74" i="7"/>
  <c r="X140" i="7"/>
  <c r="W118" i="7"/>
  <c r="X62" i="7"/>
  <c r="W40" i="7"/>
  <c r="W38" i="7" s="1"/>
  <c r="X133" i="7"/>
  <c r="W111" i="7"/>
  <c r="X97" i="7"/>
  <c r="W75" i="7"/>
  <c r="AB27" i="7"/>
  <c r="AB5" i="7" s="1"/>
  <c r="AA5" i="7"/>
  <c r="AB31" i="7"/>
  <c r="AB9" i="7" s="1"/>
  <c r="AA9" i="7"/>
  <c r="Z3" i="7"/>
  <c r="Z179" i="7" s="1"/>
  <c r="AB34" i="7"/>
  <c r="AB12" i="7" s="1"/>
  <c r="AA12" i="7"/>
  <c r="AB28" i="7"/>
  <c r="AB6" i="7" s="1"/>
  <c r="AA6" i="7"/>
  <c r="AB26" i="7"/>
  <c r="AB4" i="7" s="1"/>
  <c r="AA4" i="7"/>
  <c r="AB33" i="7"/>
  <c r="AB11" i="7" s="1"/>
  <c r="AA11" i="7"/>
  <c r="AB32" i="7"/>
  <c r="AB10" i="7" s="1"/>
  <c r="AA10" i="7"/>
  <c r="AB30" i="7"/>
  <c r="AB8" i="7" s="1"/>
  <c r="AA8" i="7"/>
  <c r="AB29" i="7"/>
  <c r="AB7" i="7" s="1"/>
  <c r="AA7" i="7"/>
  <c r="AB35" i="7"/>
  <c r="AB13" i="7" s="1"/>
  <c r="AA13" i="7"/>
  <c r="Z31" i="13"/>
  <c r="Z28" i="13"/>
  <c r="Z30" i="13"/>
  <c r="Z34" i="13"/>
  <c r="Z32" i="13"/>
  <c r="Z33" i="13"/>
  <c r="Z26" i="13"/>
  <c r="Z35" i="13"/>
  <c r="AA27" i="13"/>
  <c r="Z29" i="13"/>
  <c r="Y26" i="12"/>
  <c r="X4" i="12"/>
  <c r="Y32" i="12"/>
  <c r="Y31" i="12"/>
  <c r="Y34" i="12"/>
  <c r="Y35" i="12"/>
  <c r="Y33" i="12"/>
  <c r="Y28" i="12"/>
  <c r="Y30" i="12"/>
  <c r="Z27" i="12"/>
  <c r="Y29" i="12"/>
  <c r="Z32" i="10"/>
  <c r="Z28" i="10"/>
  <c r="AA27" i="10"/>
  <c r="Z29" i="10"/>
  <c r="Z31" i="10"/>
  <c r="Z30" i="10"/>
  <c r="Z26" i="10"/>
  <c r="Z33" i="10"/>
  <c r="Z35" i="10"/>
  <c r="Z34" i="10"/>
  <c r="Y26" i="9"/>
  <c r="Y31" i="9"/>
  <c r="Y30" i="9"/>
  <c r="Y27" i="9"/>
  <c r="Y29" i="9"/>
  <c r="Y33" i="9"/>
  <c r="Y35" i="9"/>
  <c r="Y32" i="9"/>
  <c r="Y34" i="9"/>
  <c r="Y28" i="9"/>
  <c r="W144" i="7"/>
  <c r="Z168" i="7"/>
  <c r="Y146" i="7"/>
  <c r="Y170" i="7"/>
  <c r="X148" i="7"/>
  <c r="Y176" i="7"/>
  <c r="X154" i="7"/>
  <c r="Y174" i="7"/>
  <c r="X152" i="7"/>
  <c r="Y172" i="7"/>
  <c r="X150" i="7"/>
  <c r="Y167" i="7"/>
  <c r="X145" i="7"/>
  <c r="Y175" i="7"/>
  <c r="X153" i="7"/>
  <c r="Y173" i="7"/>
  <c r="X151" i="7"/>
  <c r="Y169" i="7"/>
  <c r="X147" i="7"/>
  <c r="Y171" i="7"/>
  <c r="X149" i="7"/>
  <c r="Y136" i="7"/>
  <c r="X114" i="7"/>
  <c r="Y139" i="7"/>
  <c r="X117" i="7"/>
  <c r="Y134" i="7"/>
  <c r="X112" i="7"/>
  <c r="Y137" i="7"/>
  <c r="X115" i="7"/>
  <c r="Y135" i="7"/>
  <c r="X113" i="7"/>
  <c r="Y138" i="7"/>
  <c r="X116" i="7"/>
  <c r="Y132" i="7"/>
  <c r="X110" i="7"/>
  <c r="Y141" i="7"/>
  <c r="X119" i="7"/>
  <c r="Y76" i="7"/>
  <c r="Y80" i="7"/>
  <c r="Y83" i="7"/>
  <c r="Y82" i="7"/>
  <c r="Y79" i="7"/>
  <c r="Y78" i="7"/>
  <c r="Y81" i="7"/>
  <c r="Y77" i="7"/>
  <c r="Y61" i="7"/>
  <c r="X39" i="7"/>
  <c r="Y64" i="7"/>
  <c r="X42" i="7"/>
  <c r="Y63" i="7"/>
  <c r="X41" i="7"/>
  <c r="Y66" i="7"/>
  <c r="X44" i="7"/>
  <c r="Y65" i="7"/>
  <c r="X43" i="7"/>
  <c r="Y69" i="7"/>
  <c r="X47" i="7"/>
  <c r="Y68" i="7"/>
  <c r="X46" i="7"/>
  <c r="Y70" i="7"/>
  <c r="X48" i="7"/>
  <c r="Y67" i="7"/>
  <c r="X45" i="7"/>
  <c r="X15" i="14"/>
  <c r="W16" i="14"/>
  <c r="U25" i="14"/>
  <c r="V24" i="14"/>
  <c r="V23" i="14"/>
  <c r="V21" i="14"/>
  <c r="V22" i="14"/>
  <c r="W109" i="7" l="1"/>
  <c r="W73" i="7"/>
  <c r="Y96" i="7"/>
  <c r="X74" i="7"/>
  <c r="Y97" i="7"/>
  <c r="X75" i="7"/>
  <c r="Y133" i="7"/>
  <c r="X111" i="7"/>
  <c r="Y62" i="7"/>
  <c r="X40" i="7"/>
  <c r="X38" i="7" s="1"/>
  <c r="X118" i="7"/>
  <c r="Y140" i="7"/>
  <c r="AA3" i="7"/>
  <c r="AA179" i="7" s="1"/>
  <c r="AB3" i="7"/>
  <c r="AB179" i="7" s="1"/>
  <c r="AA34" i="13"/>
  <c r="AA35" i="13"/>
  <c r="AA30" i="13"/>
  <c r="AA33" i="13"/>
  <c r="AA26" i="13"/>
  <c r="AA28" i="13"/>
  <c r="AB27" i="13"/>
  <c r="AA29" i="13"/>
  <c r="AA32" i="13"/>
  <c r="AA31" i="13"/>
  <c r="Z31" i="12"/>
  <c r="Z30" i="12"/>
  <c r="Z28" i="12"/>
  <c r="Z33" i="12"/>
  <c r="Z29" i="12"/>
  <c r="Z32" i="12"/>
  <c r="Z34" i="12"/>
  <c r="AA27" i="12"/>
  <c r="Z35" i="12"/>
  <c r="Z26" i="12"/>
  <c r="Y4" i="12"/>
  <c r="AA33" i="10"/>
  <c r="AA29" i="10"/>
  <c r="AA26" i="10"/>
  <c r="AB27" i="10"/>
  <c r="AA34" i="10"/>
  <c r="AA30" i="10"/>
  <c r="AA28" i="10"/>
  <c r="AA35" i="10"/>
  <c r="AA31" i="10"/>
  <c r="AA32" i="10"/>
  <c r="Z32" i="9"/>
  <c r="Z27" i="9"/>
  <c r="Z26" i="9"/>
  <c r="Z35" i="9"/>
  <c r="Z28" i="9"/>
  <c r="Z33" i="9"/>
  <c r="Z31" i="9"/>
  <c r="Z30" i="9"/>
  <c r="Z34" i="9"/>
  <c r="Z29" i="9"/>
  <c r="Z173" i="7"/>
  <c r="Y151" i="7"/>
  <c r="Z174" i="7"/>
  <c r="Y152" i="7"/>
  <c r="Z175" i="7"/>
  <c r="Y153" i="7"/>
  <c r="Z176" i="7"/>
  <c r="Y154" i="7"/>
  <c r="Z171" i="7"/>
  <c r="Y149" i="7"/>
  <c r="Z170" i="7"/>
  <c r="Y148" i="7"/>
  <c r="X144" i="7"/>
  <c r="Z169" i="7"/>
  <c r="Y147" i="7"/>
  <c r="Z172" i="7"/>
  <c r="Y150" i="7"/>
  <c r="AA168" i="7"/>
  <c r="Z146" i="7"/>
  <c r="Z167" i="7"/>
  <c r="Y145" i="7"/>
  <c r="Z138" i="7"/>
  <c r="Y116" i="7"/>
  <c r="Z135" i="7"/>
  <c r="Y113" i="7"/>
  <c r="Z134" i="7"/>
  <c r="Y112" i="7"/>
  <c r="Z141" i="7"/>
  <c r="Y119" i="7"/>
  <c r="Z139" i="7"/>
  <c r="Y117" i="7"/>
  <c r="Z132" i="7"/>
  <c r="Y110" i="7"/>
  <c r="Z136" i="7"/>
  <c r="Y114" i="7"/>
  <c r="Z137" i="7"/>
  <c r="Y115" i="7"/>
  <c r="Z81" i="7"/>
  <c r="Z76" i="7"/>
  <c r="Z82" i="7"/>
  <c r="Z78" i="7"/>
  <c r="Z83" i="7"/>
  <c r="Z77" i="7"/>
  <c r="Z79" i="7"/>
  <c r="Z80" i="7"/>
  <c r="Z66" i="7"/>
  <c r="Y44" i="7"/>
  <c r="Z67" i="7"/>
  <c r="Y45" i="7"/>
  <c r="Z69" i="7"/>
  <c r="Y47" i="7"/>
  <c r="Z64" i="7"/>
  <c r="Y42" i="7"/>
  <c r="Z68" i="7"/>
  <c r="Y46" i="7"/>
  <c r="Z63" i="7"/>
  <c r="Y41" i="7"/>
  <c r="Z70" i="7"/>
  <c r="Y48" i="7"/>
  <c r="Z65" i="7"/>
  <c r="Y43" i="7"/>
  <c r="Z61" i="7"/>
  <c r="Y39" i="7"/>
  <c r="V25" i="14"/>
  <c r="W24" i="14"/>
  <c r="W23" i="14"/>
  <c r="W21" i="14"/>
  <c r="W22" i="14"/>
  <c r="Y15" i="14"/>
  <c r="X16" i="14"/>
  <c r="X73" i="7" l="1"/>
  <c r="W180" i="7"/>
  <c r="X109" i="7"/>
  <c r="X180" i="7" s="1"/>
  <c r="Z96" i="7"/>
  <c r="Y74" i="7"/>
  <c r="Z140" i="7"/>
  <c r="Y118" i="7"/>
  <c r="Z62" i="7"/>
  <c r="Y40" i="7"/>
  <c r="Y38" i="7" s="1"/>
  <c r="Z133" i="7"/>
  <c r="Y111" i="7"/>
  <c r="Z97" i="7"/>
  <c r="Y75" i="7"/>
  <c r="AB29" i="13"/>
  <c r="AB31" i="13"/>
  <c r="AB28" i="13"/>
  <c r="AB35" i="13"/>
  <c r="AB30" i="13"/>
  <c r="AB33" i="13"/>
  <c r="AB32" i="13"/>
  <c r="AB26" i="13"/>
  <c r="AB34" i="13"/>
  <c r="AB27" i="12"/>
  <c r="AA34" i="12"/>
  <c r="AA33" i="12"/>
  <c r="AA28" i="12"/>
  <c r="Z4" i="12"/>
  <c r="AA26" i="12"/>
  <c r="AA32" i="12"/>
  <c r="AA30" i="12"/>
  <c r="AA35" i="12"/>
  <c r="AA29" i="12"/>
  <c r="AA31" i="12"/>
  <c r="AB35" i="10"/>
  <c r="AB28" i="10"/>
  <c r="AB32" i="10"/>
  <c r="AB30" i="10"/>
  <c r="AB29" i="10"/>
  <c r="AB26" i="10"/>
  <c r="AB31" i="10"/>
  <c r="AB34" i="10"/>
  <c r="AB33" i="10"/>
  <c r="AA28" i="9"/>
  <c r="AA30" i="9"/>
  <c r="AA35" i="9"/>
  <c r="AA34" i="9"/>
  <c r="AA31" i="9"/>
  <c r="AA26" i="9"/>
  <c r="AA32" i="9"/>
  <c r="AA29" i="9"/>
  <c r="AA27" i="9"/>
  <c r="AA33" i="9"/>
  <c r="AA176" i="7"/>
  <c r="Z154" i="7"/>
  <c r="AA172" i="7"/>
  <c r="Z150" i="7"/>
  <c r="Y144" i="7"/>
  <c r="AA175" i="7"/>
  <c r="Z153" i="7"/>
  <c r="AA167" i="7"/>
  <c r="Z145" i="7"/>
  <c r="AA170" i="7"/>
  <c r="Z148" i="7"/>
  <c r="AA174" i="7"/>
  <c r="Z152" i="7"/>
  <c r="AA169" i="7"/>
  <c r="Z147" i="7"/>
  <c r="AB168" i="7"/>
  <c r="AB146" i="7" s="1"/>
  <c r="AA146" i="7"/>
  <c r="AA171" i="7"/>
  <c r="Z149" i="7"/>
  <c r="AA173" i="7"/>
  <c r="Z151" i="7"/>
  <c r="AA139" i="7"/>
  <c r="Z117" i="7"/>
  <c r="AA134" i="7"/>
  <c r="Z112" i="7"/>
  <c r="AA132" i="7"/>
  <c r="Z110" i="7"/>
  <c r="AA137" i="7"/>
  <c r="Z115" i="7"/>
  <c r="AA135" i="7"/>
  <c r="Z113" i="7"/>
  <c r="AA136" i="7"/>
  <c r="Z114" i="7"/>
  <c r="AA141" i="7"/>
  <c r="Z119" i="7"/>
  <c r="AA138" i="7"/>
  <c r="Z116" i="7"/>
  <c r="AB80" i="7"/>
  <c r="AA80" i="7"/>
  <c r="AA79" i="7"/>
  <c r="AB79" i="7"/>
  <c r="AA78" i="7"/>
  <c r="AB78" i="7"/>
  <c r="AB82" i="7"/>
  <c r="AA82" i="7"/>
  <c r="AA77" i="7"/>
  <c r="AB77" i="7"/>
  <c r="AA81" i="7"/>
  <c r="AB81" i="7"/>
  <c r="AA83" i="7"/>
  <c r="AB83" i="7"/>
  <c r="AB76" i="7"/>
  <c r="AA76" i="7"/>
  <c r="AA70" i="7"/>
  <c r="Z48" i="7"/>
  <c r="AA64" i="7"/>
  <c r="Z42" i="7"/>
  <c r="AA69" i="7"/>
  <c r="Z47" i="7"/>
  <c r="AA61" i="7"/>
  <c r="Z39" i="7"/>
  <c r="AA63" i="7"/>
  <c r="Z41" i="7"/>
  <c r="AA67" i="7"/>
  <c r="Z45" i="7"/>
  <c r="AA65" i="7"/>
  <c r="Z43" i="7"/>
  <c r="AA68" i="7"/>
  <c r="Z46" i="7"/>
  <c r="AA66" i="7"/>
  <c r="Z44" i="7"/>
  <c r="Z15" i="14"/>
  <c r="Y16" i="14"/>
  <c r="W25" i="14"/>
  <c r="X24" i="14"/>
  <c r="X23" i="14"/>
  <c r="X22" i="14"/>
  <c r="X21" i="14"/>
  <c r="Y73" i="7" l="1"/>
  <c r="Y109" i="7"/>
  <c r="AA96" i="7"/>
  <c r="Z74" i="7"/>
  <c r="AA97" i="7"/>
  <c r="Z75" i="7"/>
  <c r="Z73" i="7" s="1"/>
  <c r="AA133" i="7"/>
  <c r="Z111" i="7"/>
  <c r="Z40" i="7"/>
  <c r="AA62" i="7"/>
  <c r="Z118" i="7"/>
  <c r="AA140" i="7"/>
  <c r="Y180" i="7"/>
  <c r="AB31" i="12"/>
  <c r="AB32" i="12"/>
  <c r="AB33" i="12"/>
  <c r="AB30" i="12"/>
  <c r="AB35" i="12"/>
  <c r="AB29" i="12"/>
  <c r="AA4" i="12"/>
  <c r="AB26" i="12"/>
  <c r="AB34" i="12"/>
  <c r="AB28" i="12"/>
  <c r="AB29" i="9"/>
  <c r="AB34" i="9"/>
  <c r="AB35" i="9"/>
  <c r="AB33" i="9"/>
  <c r="AB26" i="9"/>
  <c r="AB30" i="9"/>
  <c r="AB32" i="9"/>
  <c r="AB27" i="9"/>
  <c r="AB31" i="9"/>
  <c r="AB28" i="9"/>
  <c r="AB167" i="7"/>
  <c r="AB145" i="7" s="1"/>
  <c r="AA145" i="7"/>
  <c r="AB173" i="7"/>
  <c r="AB151" i="7" s="1"/>
  <c r="AA151" i="7"/>
  <c r="AB175" i="7"/>
  <c r="AB153" i="7" s="1"/>
  <c r="AA153" i="7"/>
  <c r="AB174" i="7"/>
  <c r="AB152" i="7" s="1"/>
  <c r="AA152" i="7"/>
  <c r="AB172" i="7"/>
  <c r="AB150" i="7" s="1"/>
  <c r="AA150" i="7"/>
  <c r="AB170" i="7"/>
  <c r="AB148" i="7" s="1"/>
  <c r="AA148" i="7"/>
  <c r="AB169" i="7"/>
  <c r="AB147" i="7" s="1"/>
  <c r="AA147" i="7"/>
  <c r="AB171" i="7"/>
  <c r="AB149" i="7" s="1"/>
  <c r="AA149" i="7"/>
  <c r="Z144" i="7"/>
  <c r="AB176" i="7"/>
  <c r="AB154" i="7" s="1"/>
  <c r="AA154" i="7"/>
  <c r="AB134" i="7"/>
  <c r="AB112" i="7" s="1"/>
  <c r="AA112" i="7"/>
  <c r="AB139" i="7"/>
  <c r="AB117" i="7" s="1"/>
  <c r="AA117" i="7"/>
  <c r="AB135" i="7"/>
  <c r="AB113" i="7" s="1"/>
  <c r="AA113" i="7"/>
  <c r="AB141" i="7"/>
  <c r="AB119" i="7" s="1"/>
  <c r="AA119" i="7"/>
  <c r="AB132" i="7"/>
  <c r="AB110" i="7" s="1"/>
  <c r="AA110" i="7"/>
  <c r="AB138" i="7"/>
  <c r="AB116" i="7" s="1"/>
  <c r="AA116" i="7"/>
  <c r="AB137" i="7"/>
  <c r="AB115" i="7" s="1"/>
  <c r="AA115" i="7"/>
  <c r="AB136" i="7"/>
  <c r="AB114" i="7" s="1"/>
  <c r="AA114" i="7"/>
  <c r="AB67" i="7"/>
  <c r="AB45" i="7" s="1"/>
  <c r="AA45" i="7"/>
  <c r="AB69" i="7"/>
  <c r="AB47" i="7" s="1"/>
  <c r="AA47" i="7"/>
  <c r="AB66" i="7"/>
  <c r="AB44" i="7" s="1"/>
  <c r="AA44" i="7"/>
  <c r="AB63" i="7"/>
  <c r="AB41" i="7" s="1"/>
  <c r="AA41" i="7"/>
  <c r="AB64" i="7"/>
  <c r="AB42" i="7" s="1"/>
  <c r="AA42" i="7"/>
  <c r="AB65" i="7"/>
  <c r="AB43" i="7" s="1"/>
  <c r="AA43" i="7"/>
  <c r="Z38" i="7"/>
  <c r="AB68" i="7"/>
  <c r="AB46" i="7" s="1"/>
  <c r="AA46" i="7"/>
  <c r="AB61" i="7"/>
  <c r="AB39" i="7" s="1"/>
  <c r="AA39" i="7"/>
  <c r="AB70" i="7"/>
  <c r="AB48" i="7" s="1"/>
  <c r="AA48" i="7"/>
  <c r="AA15" i="14"/>
  <c r="AA16" i="14" s="1"/>
  <c r="Z16" i="14"/>
  <c r="X25" i="14"/>
  <c r="Y24" i="14"/>
  <c r="Y23" i="14"/>
  <c r="Y21" i="14"/>
  <c r="Y22" i="14"/>
  <c r="AB96" i="7" l="1"/>
  <c r="AB74" i="7" s="1"/>
  <c r="AA74" i="7"/>
  <c r="Z109" i="7"/>
  <c r="Z180" i="7" s="1"/>
  <c r="AB62" i="7"/>
  <c r="AB40" i="7" s="1"/>
  <c r="AB38" i="7" s="1"/>
  <c r="AA40" i="7"/>
  <c r="AA38" i="7" s="1"/>
  <c r="AB133" i="7"/>
  <c r="AB111" i="7" s="1"/>
  <c r="AA111" i="7"/>
  <c r="AB97" i="7"/>
  <c r="AB75" i="7" s="1"/>
  <c r="AB73" i="7" s="1"/>
  <c r="AA75" i="7"/>
  <c r="AB140" i="7"/>
  <c r="AB118" i="7" s="1"/>
  <c r="AA118" i="7"/>
  <c r="Y25" i="14"/>
  <c r="AB4" i="12"/>
  <c r="AA144" i="7"/>
  <c r="AB144" i="7"/>
  <c r="Z24" i="14"/>
  <c r="Z23" i="14"/>
  <c r="Z21" i="14"/>
  <c r="Z22" i="14"/>
  <c r="AA24" i="14"/>
  <c r="AA23" i="14"/>
  <c r="AA22" i="14"/>
  <c r="AA21" i="14"/>
  <c r="AB109" i="7" l="1"/>
  <c r="AB180" i="7" s="1"/>
  <c r="AA73" i="7"/>
  <c r="AA109" i="7"/>
  <c r="Z25" i="14"/>
  <c r="AA25" i="14"/>
  <c r="AA180" i="7" l="1"/>
  <c r="D2" i="14"/>
  <c r="P27" i="6" l="1"/>
  <c r="Q25" i="6" s="1"/>
  <c r="P28" i="6" l="1"/>
  <c r="R3" i="15"/>
  <c r="P29" i="6"/>
  <c r="Q26" i="6"/>
  <c r="R39" i="15" l="1"/>
  <c r="P15" i="11" s="1"/>
  <c r="R57" i="15"/>
  <c r="P16" i="12" s="1"/>
  <c r="P5" i="12" s="1"/>
  <c r="R13" i="15"/>
  <c r="P24" i="9" s="1"/>
  <c r="P13" i="9" s="1"/>
  <c r="R56" i="15"/>
  <c r="R80" i="15"/>
  <c r="P21" i="13" s="1"/>
  <c r="P10" i="13" s="1"/>
  <c r="R65" i="15"/>
  <c r="P24" i="12" s="1"/>
  <c r="P13" i="12" s="1"/>
  <c r="R60" i="15"/>
  <c r="P19" i="12" s="1"/>
  <c r="P8" i="12" s="1"/>
  <c r="R61" i="15"/>
  <c r="P20" i="12" s="1"/>
  <c r="P9" i="12" s="1"/>
  <c r="R45" i="15"/>
  <c r="P21" i="11" s="1"/>
  <c r="R4" i="15"/>
  <c r="P15" i="9" s="1"/>
  <c r="P4" i="9" s="1"/>
  <c r="R83" i="15"/>
  <c r="P24" i="13" s="1"/>
  <c r="P13" i="13" s="1"/>
  <c r="R40" i="15"/>
  <c r="P16" i="11" s="1"/>
  <c r="R8" i="15"/>
  <c r="P19" i="9" s="1"/>
  <c r="P8" i="9" s="1"/>
  <c r="R10" i="15"/>
  <c r="P21" i="9" s="1"/>
  <c r="P10" i="9" s="1"/>
  <c r="R9" i="15"/>
  <c r="P20" i="9" s="1"/>
  <c r="P9" i="9" s="1"/>
  <c r="R78" i="15"/>
  <c r="P19" i="13" s="1"/>
  <c r="P8" i="13" s="1"/>
  <c r="R58" i="15"/>
  <c r="P17" i="12" s="1"/>
  <c r="P6" i="12" s="1"/>
  <c r="R59" i="15"/>
  <c r="P18" i="12" s="1"/>
  <c r="P7" i="12" s="1"/>
  <c r="R48" i="15"/>
  <c r="P24" i="11" s="1"/>
  <c r="R47" i="15"/>
  <c r="P23" i="11" s="1"/>
  <c r="R7" i="15"/>
  <c r="P18" i="9" s="1"/>
  <c r="P7" i="9" s="1"/>
  <c r="R6" i="15"/>
  <c r="P17" i="9" s="1"/>
  <c r="P6" i="9" s="1"/>
  <c r="R5" i="15"/>
  <c r="P16" i="9" s="1"/>
  <c r="P5" i="9" s="1"/>
  <c r="R43" i="15"/>
  <c r="P19" i="11" s="1"/>
  <c r="R79" i="15"/>
  <c r="P20" i="13" s="1"/>
  <c r="P9" i="13" s="1"/>
  <c r="R81" i="15"/>
  <c r="P22" i="13" s="1"/>
  <c r="P11" i="13" s="1"/>
  <c r="R82" i="15"/>
  <c r="P23" i="13" s="1"/>
  <c r="P12" i="13" s="1"/>
  <c r="R75" i="15"/>
  <c r="P16" i="13" s="1"/>
  <c r="P5" i="13" s="1"/>
  <c r="R63" i="15"/>
  <c r="P22" i="12" s="1"/>
  <c r="P11" i="12" s="1"/>
  <c r="R64" i="15"/>
  <c r="P23" i="12" s="1"/>
  <c r="P12" i="12" s="1"/>
  <c r="R62" i="15"/>
  <c r="P21" i="12" s="1"/>
  <c r="P10" i="12" s="1"/>
  <c r="R42" i="15"/>
  <c r="P18" i="11" s="1"/>
  <c r="R11" i="15"/>
  <c r="P22" i="9" s="1"/>
  <c r="P11" i="9" s="1"/>
  <c r="R12" i="15"/>
  <c r="P23" i="9" s="1"/>
  <c r="P12" i="9" s="1"/>
  <c r="R74" i="15"/>
  <c r="P15" i="13" s="1"/>
  <c r="P4" i="13" s="1"/>
  <c r="R76" i="15"/>
  <c r="P17" i="13" s="1"/>
  <c r="P6" i="13" s="1"/>
  <c r="R77" i="15"/>
  <c r="P18" i="13" s="1"/>
  <c r="P7" i="13" s="1"/>
  <c r="R46" i="15"/>
  <c r="P22" i="11" s="1"/>
  <c r="R44" i="15"/>
  <c r="P20" i="11" s="1"/>
  <c r="R41" i="15"/>
  <c r="P17" i="11" s="1"/>
  <c r="Q27" i="6"/>
  <c r="R25" i="6" s="1"/>
  <c r="P3" i="13" l="1"/>
  <c r="P49" i="13" s="1"/>
  <c r="P3" i="9"/>
  <c r="P55" i="9" s="1"/>
  <c r="P3" i="12"/>
  <c r="P49" i="12" s="1"/>
  <c r="Q28" i="6"/>
  <c r="R26" i="6"/>
  <c r="R27" i="6" s="1"/>
  <c r="S25" i="6" s="1"/>
  <c r="Q29" i="6" l="1"/>
  <c r="S3" i="15"/>
  <c r="R28" i="6"/>
  <c r="S26" i="6"/>
  <c r="R29" i="6" l="1"/>
  <c r="T3" i="15"/>
  <c r="S82" i="15"/>
  <c r="Q23" i="13" s="1"/>
  <c r="Q12" i="13" s="1"/>
  <c r="S83" i="15"/>
  <c r="Q24" i="13" s="1"/>
  <c r="Q13" i="13" s="1"/>
  <c r="S44" i="15"/>
  <c r="Q20" i="11" s="1"/>
  <c r="S5" i="15"/>
  <c r="Q16" i="9" s="1"/>
  <c r="Q5" i="9" s="1"/>
  <c r="S75" i="15"/>
  <c r="Q16" i="13" s="1"/>
  <c r="Q5" i="13" s="1"/>
  <c r="S56" i="15"/>
  <c r="S61" i="15"/>
  <c r="Q20" i="12" s="1"/>
  <c r="Q9" i="12" s="1"/>
  <c r="S43" i="15"/>
  <c r="Q19" i="11" s="1"/>
  <c r="S42" i="15"/>
  <c r="Q18" i="11" s="1"/>
  <c r="S6" i="15"/>
  <c r="Q17" i="9" s="1"/>
  <c r="Q6" i="9" s="1"/>
  <c r="S80" i="15"/>
  <c r="Q21" i="13" s="1"/>
  <c r="Q10" i="13" s="1"/>
  <c r="S62" i="15"/>
  <c r="Q21" i="12" s="1"/>
  <c r="Q10" i="12" s="1"/>
  <c r="S11" i="15"/>
  <c r="Q22" i="9" s="1"/>
  <c r="Q11" i="9" s="1"/>
  <c r="S8" i="15"/>
  <c r="Q19" i="9" s="1"/>
  <c r="Q8" i="9" s="1"/>
  <c r="S79" i="15"/>
  <c r="Q20" i="13" s="1"/>
  <c r="Q9" i="13" s="1"/>
  <c r="S57" i="15"/>
  <c r="Q16" i="12" s="1"/>
  <c r="Q5" i="12" s="1"/>
  <c r="S48" i="15"/>
  <c r="Q24" i="11" s="1"/>
  <c r="S81" i="15"/>
  <c r="Q22" i="13" s="1"/>
  <c r="Q11" i="13" s="1"/>
  <c r="S58" i="15"/>
  <c r="Q17" i="12" s="1"/>
  <c r="Q6" i="12" s="1"/>
  <c r="S63" i="15"/>
  <c r="Q22" i="12" s="1"/>
  <c r="Q11" i="12" s="1"/>
  <c r="S45" i="15"/>
  <c r="Q21" i="11" s="1"/>
  <c r="S40" i="15"/>
  <c r="Q16" i="11" s="1"/>
  <c r="S7" i="15"/>
  <c r="Q18" i="9" s="1"/>
  <c r="Q7" i="9" s="1"/>
  <c r="S10" i="15"/>
  <c r="Q21" i="9" s="1"/>
  <c r="Q10" i="9" s="1"/>
  <c r="S60" i="15"/>
  <c r="Q19" i="12" s="1"/>
  <c r="Q8" i="12" s="1"/>
  <c r="S47" i="15"/>
  <c r="Q23" i="11" s="1"/>
  <c r="S78" i="15"/>
  <c r="Q19" i="13" s="1"/>
  <c r="Q8" i="13" s="1"/>
  <c r="S77" i="15"/>
  <c r="Q18" i="13" s="1"/>
  <c r="Q7" i="13" s="1"/>
  <c r="S64" i="15"/>
  <c r="Q23" i="12" s="1"/>
  <c r="Q12" i="12" s="1"/>
  <c r="S46" i="15"/>
  <c r="Q22" i="11" s="1"/>
  <c r="S13" i="15"/>
  <c r="Q24" i="9" s="1"/>
  <c r="Q13" i="9" s="1"/>
  <c r="S74" i="15"/>
  <c r="Q15" i="13" s="1"/>
  <c r="Q4" i="13" s="1"/>
  <c r="S59" i="15"/>
  <c r="Q18" i="12" s="1"/>
  <c r="Q7" i="12" s="1"/>
  <c r="S41" i="15"/>
  <c r="Q17" i="11" s="1"/>
  <c r="S12" i="15"/>
  <c r="Q23" i="9" s="1"/>
  <c r="Q12" i="9" s="1"/>
  <c r="S4" i="15"/>
  <c r="Q15" i="9" s="1"/>
  <c r="Q4" i="9" s="1"/>
  <c r="S76" i="15"/>
  <c r="Q17" i="13" s="1"/>
  <c r="Q6" i="13" s="1"/>
  <c r="S65" i="15"/>
  <c r="Q24" i="12" s="1"/>
  <c r="Q13" i="12" s="1"/>
  <c r="S39" i="15"/>
  <c r="Q15" i="11" s="1"/>
  <c r="S9" i="15"/>
  <c r="Q20" i="9" s="1"/>
  <c r="Q9" i="9" s="1"/>
  <c r="S27" i="6"/>
  <c r="T25" i="6" s="1"/>
  <c r="Q3" i="9" l="1"/>
  <c r="Q55" i="9" s="1"/>
  <c r="Q3" i="13"/>
  <c r="Q49" i="13" s="1"/>
  <c r="Q3" i="12"/>
  <c r="Q49" i="12" s="1"/>
  <c r="T80" i="15"/>
  <c r="R21" i="13" s="1"/>
  <c r="R10" i="13" s="1"/>
  <c r="T64" i="15"/>
  <c r="R23" i="12" s="1"/>
  <c r="R12" i="12" s="1"/>
  <c r="T63" i="15"/>
  <c r="R22" i="12" s="1"/>
  <c r="R11" i="12" s="1"/>
  <c r="T45" i="15"/>
  <c r="R21" i="11" s="1"/>
  <c r="T39" i="15"/>
  <c r="R15" i="11" s="1"/>
  <c r="T79" i="15"/>
  <c r="R20" i="13" s="1"/>
  <c r="R9" i="13" s="1"/>
  <c r="T44" i="15"/>
  <c r="R20" i="11" s="1"/>
  <c r="T13" i="15"/>
  <c r="R24" i="9" s="1"/>
  <c r="R13" i="9" s="1"/>
  <c r="T12" i="15"/>
  <c r="R23" i="9" s="1"/>
  <c r="R12" i="9" s="1"/>
  <c r="T76" i="15"/>
  <c r="R17" i="13" s="1"/>
  <c r="R6" i="13" s="1"/>
  <c r="T60" i="15"/>
  <c r="R19" i="12" s="1"/>
  <c r="R8" i="12" s="1"/>
  <c r="T59" i="15"/>
  <c r="R18" i="12" s="1"/>
  <c r="R7" i="12" s="1"/>
  <c r="T41" i="15"/>
  <c r="R17" i="11" s="1"/>
  <c r="T11" i="15"/>
  <c r="R22" i="9" s="1"/>
  <c r="R11" i="9" s="1"/>
  <c r="T82" i="15"/>
  <c r="R23" i="13" s="1"/>
  <c r="R12" i="13" s="1"/>
  <c r="T75" i="15"/>
  <c r="R16" i="13" s="1"/>
  <c r="R5" i="13" s="1"/>
  <c r="T65" i="15"/>
  <c r="R24" i="12" s="1"/>
  <c r="R13" i="12" s="1"/>
  <c r="T40" i="15"/>
  <c r="R16" i="11" s="1"/>
  <c r="T47" i="15"/>
  <c r="R23" i="11" s="1"/>
  <c r="T5" i="15"/>
  <c r="R16" i="9" s="1"/>
  <c r="R5" i="9" s="1"/>
  <c r="T8" i="15"/>
  <c r="R19" i="9" s="1"/>
  <c r="R8" i="9" s="1"/>
  <c r="T10" i="15"/>
  <c r="R21" i="9" s="1"/>
  <c r="R10" i="9" s="1"/>
  <c r="T81" i="15"/>
  <c r="R22" i="13" s="1"/>
  <c r="R11" i="13" s="1"/>
  <c r="T56" i="15"/>
  <c r="T46" i="15"/>
  <c r="R22" i="11" s="1"/>
  <c r="T83" i="15"/>
  <c r="R24" i="13" s="1"/>
  <c r="R13" i="13" s="1"/>
  <c r="T58" i="15"/>
  <c r="R17" i="12" s="1"/>
  <c r="R6" i="12" s="1"/>
  <c r="T57" i="15"/>
  <c r="R16" i="12" s="1"/>
  <c r="R5" i="12" s="1"/>
  <c r="T48" i="15"/>
  <c r="R24" i="11" s="1"/>
  <c r="T78" i="15"/>
  <c r="R19" i="13" s="1"/>
  <c r="R8" i="13" s="1"/>
  <c r="T62" i="15"/>
  <c r="R21" i="12" s="1"/>
  <c r="R10" i="12" s="1"/>
  <c r="T61" i="15"/>
  <c r="R20" i="12" s="1"/>
  <c r="R9" i="12" s="1"/>
  <c r="T43" i="15"/>
  <c r="R19" i="11" s="1"/>
  <c r="T4" i="15"/>
  <c r="R15" i="9" s="1"/>
  <c r="R4" i="9" s="1"/>
  <c r="T7" i="15"/>
  <c r="R18" i="9" s="1"/>
  <c r="R7" i="9" s="1"/>
  <c r="T77" i="15"/>
  <c r="R18" i="13" s="1"/>
  <c r="R7" i="13" s="1"/>
  <c r="T42" i="15"/>
  <c r="R18" i="11" s="1"/>
  <c r="T9" i="15"/>
  <c r="R20" i="9" s="1"/>
  <c r="R9" i="9" s="1"/>
  <c r="T74" i="15"/>
  <c r="R15" i="13" s="1"/>
  <c r="R4" i="13" s="1"/>
  <c r="T6" i="15"/>
  <c r="R17" i="9" s="1"/>
  <c r="R6" i="9" s="1"/>
  <c r="S28" i="6"/>
  <c r="T26" i="6"/>
  <c r="R3" i="12" l="1"/>
  <c r="R49" i="12" s="1"/>
  <c r="R3" i="13"/>
  <c r="R49" i="13" s="1"/>
  <c r="R3" i="9"/>
  <c r="R55" i="9" s="1"/>
  <c r="S29" i="6"/>
  <c r="U3" i="15"/>
  <c r="T27" i="6"/>
  <c r="U25" i="6" s="1"/>
  <c r="U80" i="15" l="1"/>
  <c r="S21" i="13" s="1"/>
  <c r="S10" i="13" s="1"/>
  <c r="U81" i="15"/>
  <c r="S22" i="13" s="1"/>
  <c r="S11" i="13" s="1"/>
  <c r="U64" i="15"/>
  <c r="S23" i="12" s="1"/>
  <c r="S12" i="12" s="1"/>
  <c r="U12" i="15"/>
  <c r="S23" i="9" s="1"/>
  <c r="S12" i="9" s="1"/>
  <c r="U11" i="15"/>
  <c r="S22" i="9" s="1"/>
  <c r="S11" i="9" s="1"/>
  <c r="U59" i="15"/>
  <c r="S18" i="12" s="1"/>
  <c r="S7" i="12" s="1"/>
  <c r="U40" i="15"/>
  <c r="S16" i="11" s="1"/>
  <c r="U41" i="15"/>
  <c r="S17" i="11" s="1"/>
  <c r="U76" i="15"/>
  <c r="S17" i="13" s="1"/>
  <c r="S6" i="13" s="1"/>
  <c r="U77" i="15"/>
  <c r="S18" i="13" s="1"/>
  <c r="S7" i="13" s="1"/>
  <c r="U60" i="15"/>
  <c r="S19" i="12" s="1"/>
  <c r="S8" i="12" s="1"/>
  <c r="U57" i="15"/>
  <c r="S16" i="12" s="1"/>
  <c r="S5" i="12" s="1"/>
  <c r="U46" i="15"/>
  <c r="S22" i="11" s="1"/>
  <c r="U47" i="15"/>
  <c r="S23" i="11" s="1"/>
  <c r="U8" i="15"/>
  <c r="S19" i="9" s="1"/>
  <c r="S8" i="9" s="1"/>
  <c r="U7" i="15"/>
  <c r="S18" i="9" s="1"/>
  <c r="S7" i="9" s="1"/>
  <c r="U45" i="15"/>
  <c r="S21" i="11" s="1"/>
  <c r="U82" i="15"/>
  <c r="S23" i="13" s="1"/>
  <c r="S12" i="13" s="1"/>
  <c r="U83" i="15"/>
  <c r="S24" i="13" s="1"/>
  <c r="S13" i="13" s="1"/>
  <c r="U63" i="15"/>
  <c r="S22" i="12" s="1"/>
  <c r="S11" i="12" s="1"/>
  <c r="U13" i="15"/>
  <c r="S24" i="9" s="1"/>
  <c r="S13" i="9" s="1"/>
  <c r="U58" i="15"/>
  <c r="S17" i="12" s="1"/>
  <c r="S6" i="12" s="1"/>
  <c r="U5" i="15"/>
  <c r="S16" i="9" s="1"/>
  <c r="S5" i="9" s="1"/>
  <c r="U56" i="15"/>
  <c r="U65" i="15"/>
  <c r="S24" i="12" s="1"/>
  <c r="S13" i="12" s="1"/>
  <c r="U61" i="15"/>
  <c r="S20" i="12" s="1"/>
  <c r="S9" i="12" s="1"/>
  <c r="U48" i="15"/>
  <c r="S24" i="11" s="1"/>
  <c r="U42" i="15"/>
  <c r="S18" i="11" s="1"/>
  <c r="U43" i="15"/>
  <c r="S19" i="11" s="1"/>
  <c r="U4" i="15"/>
  <c r="S15" i="9" s="1"/>
  <c r="S4" i="9" s="1"/>
  <c r="U75" i="15"/>
  <c r="S16" i="13" s="1"/>
  <c r="S5" i="13" s="1"/>
  <c r="U6" i="15"/>
  <c r="S17" i="9" s="1"/>
  <c r="S6" i="9" s="1"/>
  <c r="U78" i="15"/>
  <c r="S19" i="13" s="1"/>
  <c r="S8" i="13" s="1"/>
  <c r="U79" i="15"/>
  <c r="S20" i="13" s="1"/>
  <c r="S9" i="13" s="1"/>
  <c r="U62" i="15"/>
  <c r="S21" i="12" s="1"/>
  <c r="S10" i="12" s="1"/>
  <c r="U10" i="15"/>
  <c r="S21" i="9" s="1"/>
  <c r="S10" i="9" s="1"/>
  <c r="U9" i="15"/>
  <c r="S20" i="9" s="1"/>
  <c r="S9" i="9" s="1"/>
  <c r="U44" i="15"/>
  <c r="S20" i="11" s="1"/>
  <c r="U74" i="15"/>
  <c r="S15" i="13" s="1"/>
  <c r="S4" i="13" s="1"/>
  <c r="U39" i="15"/>
  <c r="S15" i="11" s="1"/>
  <c r="T28" i="6"/>
  <c r="U26" i="6"/>
  <c r="S3" i="13" l="1"/>
  <c r="S49" i="13" s="1"/>
  <c r="S3" i="9"/>
  <c r="S55" i="9" s="1"/>
  <c r="S3" i="12"/>
  <c r="S49" i="12" s="1"/>
  <c r="T29" i="6"/>
  <c r="V3" i="15"/>
  <c r="U27" i="6"/>
  <c r="V25" i="6" s="1"/>
  <c r="V82" i="15" l="1"/>
  <c r="T23" i="13" s="1"/>
  <c r="T12" i="13" s="1"/>
  <c r="V59" i="15"/>
  <c r="T18" i="12" s="1"/>
  <c r="T7" i="12" s="1"/>
  <c r="V42" i="15"/>
  <c r="T18" i="11" s="1"/>
  <c r="V43" i="15"/>
  <c r="T19" i="11" s="1"/>
  <c r="V11" i="15"/>
  <c r="T22" i="9" s="1"/>
  <c r="T11" i="9" s="1"/>
  <c r="V12" i="15"/>
  <c r="T23" i="9" s="1"/>
  <c r="T12" i="9" s="1"/>
  <c r="V79" i="15"/>
  <c r="T20" i="13" s="1"/>
  <c r="T9" i="13" s="1"/>
  <c r="V48" i="15"/>
  <c r="T24" i="11" s="1"/>
  <c r="V41" i="15"/>
  <c r="T17" i="11" s="1"/>
  <c r="V74" i="15"/>
  <c r="T15" i="13" s="1"/>
  <c r="T4" i="13" s="1"/>
  <c r="V75" i="15"/>
  <c r="T16" i="13" s="1"/>
  <c r="T5" i="13" s="1"/>
  <c r="V60" i="15"/>
  <c r="T19" i="12" s="1"/>
  <c r="T8" i="12" s="1"/>
  <c r="V8" i="15"/>
  <c r="T19" i="9" s="1"/>
  <c r="T8" i="9" s="1"/>
  <c r="V7" i="15"/>
  <c r="T18" i="9" s="1"/>
  <c r="T7" i="9" s="1"/>
  <c r="V76" i="15"/>
  <c r="T17" i="13" s="1"/>
  <c r="T6" i="13" s="1"/>
  <c r="V44" i="15"/>
  <c r="T20" i="11" s="1"/>
  <c r="V47" i="15"/>
  <c r="T23" i="11" s="1"/>
  <c r="V13" i="15"/>
  <c r="T24" i="9" s="1"/>
  <c r="T13" i="9" s="1"/>
  <c r="V77" i="15"/>
  <c r="T18" i="13" s="1"/>
  <c r="T7" i="13" s="1"/>
  <c r="V83" i="15"/>
  <c r="T24" i="13" s="1"/>
  <c r="T13" i="13" s="1"/>
  <c r="V56" i="15"/>
  <c r="V62" i="15"/>
  <c r="T21" i="12" s="1"/>
  <c r="T10" i="12" s="1"/>
  <c r="V65" i="15"/>
  <c r="T24" i="12" s="1"/>
  <c r="T13" i="12" s="1"/>
  <c r="V45" i="15"/>
  <c r="T21" i="11" s="1"/>
  <c r="V4" i="15"/>
  <c r="T15" i="9" s="1"/>
  <c r="T4" i="9" s="1"/>
  <c r="V6" i="15"/>
  <c r="T17" i="9" s="1"/>
  <c r="T6" i="9" s="1"/>
  <c r="V78" i="15"/>
  <c r="T19" i="13" s="1"/>
  <c r="T8" i="13" s="1"/>
  <c r="V61" i="15"/>
  <c r="T20" i="12" s="1"/>
  <c r="T9" i="12" s="1"/>
  <c r="V40" i="15"/>
  <c r="T16" i="11" s="1"/>
  <c r="V10" i="15"/>
  <c r="T21" i="9" s="1"/>
  <c r="T10" i="9" s="1"/>
  <c r="V9" i="15"/>
  <c r="T20" i="9" s="1"/>
  <c r="T9" i="9" s="1"/>
  <c r="V64" i="15"/>
  <c r="T23" i="12" s="1"/>
  <c r="T12" i="12" s="1"/>
  <c r="V63" i="15"/>
  <c r="T22" i="12" s="1"/>
  <c r="T11" i="12" s="1"/>
  <c r="V80" i="15"/>
  <c r="T21" i="13" s="1"/>
  <c r="T10" i="13" s="1"/>
  <c r="V57" i="15"/>
  <c r="T16" i="12" s="1"/>
  <c r="T5" i="12" s="1"/>
  <c r="V46" i="15"/>
  <c r="T22" i="11" s="1"/>
  <c r="V39" i="15"/>
  <c r="T15" i="11" s="1"/>
  <c r="V81" i="15"/>
  <c r="T22" i="13" s="1"/>
  <c r="T11" i="13" s="1"/>
  <c r="V58" i="15"/>
  <c r="T17" i="12" s="1"/>
  <c r="T6" i="12" s="1"/>
  <c r="V5" i="15"/>
  <c r="T16" i="9" s="1"/>
  <c r="T5" i="9" s="1"/>
  <c r="U28" i="6"/>
  <c r="V26" i="6"/>
  <c r="T3" i="12" l="1"/>
  <c r="T49" i="12" s="1"/>
  <c r="T3" i="13"/>
  <c r="T49" i="13" s="1"/>
  <c r="U29" i="6"/>
  <c r="W3" i="15"/>
  <c r="T3" i="9"/>
  <c r="T55" i="9" s="1"/>
  <c r="V27" i="6"/>
  <c r="W25" i="6" s="1"/>
  <c r="W77" i="15" l="1"/>
  <c r="U18" i="13" s="1"/>
  <c r="U7" i="13" s="1"/>
  <c r="W60" i="15"/>
  <c r="U19" i="12" s="1"/>
  <c r="U8" i="12" s="1"/>
  <c r="W42" i="15"/>
  <c r="U18" i="11" s="1"/>
  <c r="W4" i="15"/>
  <c r="U15" i="9" s="1"/>
  <c r="U4" i="9" s="1"/>
  <c r="W9" i="15"/>
  <c r="U20" i="9" s="1"/>
  <c r="U9" i="9" s="1"/>
  <c r="W5" i="15"/>
  <c r="U16" i="9" s="1"/>
  <c r="U5" i="9" s="1"/>
  <c r="W74" i="15"/>
  <c r="U15" i="13" s="1"/>
  <c r="U4" i="13" s="1"/>
  <c r="W82" i="15"/>
  <c r="U23" i="13" s="1"/>
  <c r="U12" i="13" s="1"/>
  <c r="W83" i="15"/>
  <c r="U24" i="13" s="1"/>
  <c r="U13" i="13" s="1"/>
  <c r="W61" i="15"/>
  <c r="U20" i="12" s="1"/>
  <c r="U9" i="12" s="1"/>
  <c r="W48" i="15"/>
  <c r="U24" i="11" s="1"/>
  <c r="W45" i="15"/>
  <c r="U21" i="11" s="1"/>
  <c r="W10" i="15"/>
  <c r="U21" i="9" s="1"/>
  <c r="U10" i="9" s="1"/>
  <c r="W76" i="15"/>
  <c r="U17" i="13" s="1"/>
  <c r="U6" i="13" s="1"/>
  <c r="W56" i="15"/>
  <c r="W43" i="15"/>
  <c r="U19" i="11" s="1"/>
  <c r="W47" i="15"/>
  <c r="U23" i="11" s="1"/>
  <c r="W75" i="15"/>
  <c r="U16" i="13" s="1"/>
  <c r="U5" i="13" s="1"/>
  <c r="W81" i="15"/>
  <c r="U22" i="13" s="1"/>
  <c r="U11" i="13" s="1"/>
  <c r="W57" i="15"/>
  <c r="U16" i="12" s="1"/>
  <c r="U5" i="12" s="1"/>
  <c r="W62" i="15"/>
  <c r="U21" i="12" s="1"/>
  <c r="U10" i="12" s="1"/>
  <c r="W44" i="15"/>
  <c r="U20" i="11" s="1"/>
  <c r="W7" i="15"/>
  <c r="U18" i="9" s="1"/>
  <c r="U7" i="9" s="1"/>
  <c r="W6" i="15"/>
  <c r="U17" i="9" s="1"/>
  <c r="U6" i="9" s="1"/>
  <c r="W63" i="15"/>
  <c r="U22" i="12" s="1"/>
  <c r="U11" i="12" s="1"/>
  <c r="W13" i="15"/>
  <c r="U24" i="9" s="1"/>
  <c r="U13" i="9" s="1"/>
  <c r="W12" i="15"/>
  <c r="U23" i="9" s="1"/>
  <c r="U12" i="9" s="1"/>
  <c r="W58" i="15"/>
  <c r="U17" i="12" s="1"/>
  <c r="U6" i="12" s="1"/>
  <c r="W40" i="15"/>
  <c r="U16" i="11" s="1"/>
  <c r="W39" i="15"/>
  <c r="U15" i="11" s="1"/>
  <c r="W11" i="15"/>
  <c r="U22" i="9" s="1"/>
  <c r="U11" i="9" s="1"/>
  <c r="W79" i="15"/>
  <c r="U20" i="13" s="1"/>
  <c r="U9" i="13" s="1"/>
  <c r="W78" i="15"/>
  <c r="U19" i="13" s="1"/>
  <c r="U8" i="13" s="1"/>
  <c r="W59" i="15"/>
  <c r="U18" i="12" s="1"/>
  <c r="U7" i="12" s="1"/>
  <c r="W64" i="15"/>
  <c r="U23" i="12" s="1"/>
  <c r="U12" i="12" s="1"/>
  <c r="W46" i="15"/>
  <c r="U22" i="11" s="1"/>
  <c r="W41" i="15"/>
  <c r="U17" i="11" s="1"/>
  <c r="W8" i="15"/>
  <c r="U19" i="9" s="1"/>
  <c r="U8" i="9" s="1"/>
  <c r="W80" i="15"/>
  <c r="U21" i="13" s="1"/>
  <c r="U10" i="13" s="1"/>
  <c r="W65" i="15"/>
  <c r="U24" i="12" s="1"/>
  <c r="U13" i="12" s="1"/>
  <c r="V28" i="6"/>
  <c r="W26" i="6"/>
  <c r="U3" i="13" l="1"/>
  <c r="U49" i="13" s="1"/>
  <c r="U3" i="12"/>
  <c r="U49" i="12" s="1"/>
  <c r="U3" i="9"/>
  <c r="U55" i="9" s="1"/>
  <c r="V29" i="6"/>
  <c r="X3" i="15"/>
  <c r="W27" i="6"/>
  <c r="X25" i="6" s="1"/>
  <c r="X78" i="15" l="1"/>
  <c r="V19" i="13" s="1"/>
  <c r="V8" i="13" s="1"/>
  <c r="X43" i="15"/>
  <c r="V19" i="11" s="1"/>
  <c r="X8" i="15"/>
  <c r="V19" i="9" s="1"/>
  <c r="V8" i="9" s="1"/>
  <c r="X75" i="15"/>
  <c r="V16" i="13" s="1"/>
  <c r="V5" i="13" s="1"/>
  <c r="X59" i="15"/>
  <c r="V18" i="12" s="1"/>
  <c r="V7" i="12" s="1"/>
  <c r="X58" i="15"/>
  <c r="V17" i="12" s="1"/>
  <c r="V6" i="12" s="1"/>
  <c r="X40" i="15"/>
  <c r="V16" i="11" s="1"/>
  <c r="X9" i="15"/>
  <c r="V20" i="9" s="1"/>
  <c r="V9" i="9" s="1"/>
  <c r="X5" i="15"/>
  <c r="V16" i="9" s="1"/>
  <c r="V5" i="9" s="1"/>
  <c r="X81" i="15"/>
  <c r="V22" i="13" s="1"/>
  <c r="V11" i="13" s="1"/>
  <c r="X74" i="15"/>
  <c r="V15" i="13" s="1"/>
  <c r="V4" i="13" s="1"/>
  <c r="X65" i="15"/>
  <c r="V24" i="12" s="1"/>
  <c r="V13" i="12" s="1"/>
  <c r="X64" i="15"/>
  <c r="V23" i="12" s="1"/>
  <c r="V12" i="12" s="1"/>
  <c r="X39" i="15"/>
  <c r="V15" i="11" s="1"/>
  <c r="X46" i="15"/>
  <c r="V22" i="11" s="1"/>
  <c r="X11" i="15"/>
  <c r="V22" i="9" s="1"/>
  <c r="V11" i="9" s="1"/>
  <c r="X7" i="15"/>
  <c r="V18" i="9" s="1"/>
  <c r="V7" i="9" s="1"/>
  <c r="X79" i="15"/>
  <c r="V20" i="13" s="1"/>
  <c r="V9" i="13" s="1"/>
  <c r="X10" i="15"/>
  <c r="V21" i="9" s="1"/>
  <c r="V10" i="9" s="1"/>
  <c r="X80" i="15"/>
  <c r="V21" i="13" s="1"/>
  <c r="V10" i="13" s="1"/>
  <c r="X45" i="15"/>
  <c r="V21" i="11" s="1"/>
  <c r="X12" i="15"/>
  <c r="V23" i="9" s="1"/>
  <c r="V12" i="9" s="1"/>
  <c r="X77" i="15"/>
  <c r="V18" i="13" s="1"/>
  <c r="V7" i="13" s="1"/>
  <c r="X61" i="15"/>
  <c r="V20" i="12" s="1"/>
  <c r="V9" i="12" s="1"/>
  <c r="X60" i="15"/>
  <c r="V19" i="12" s="1"/>
  <c r="V8" i="12" s="1"/>
  <c r="X42" i="15"/>
  <c r="V18" i="11" s="1"/>
  <c r="X6" i="15"/>
  <c r="V17" i="9" s="1"/>
  <c r="V6" i="9" s="1"/>
  <c r="X83" i="15"/>
  <c r="V24" i="13" s="1"/>
  <c r="V13" i="13" s="1"/>
  <c r="X76" i="15"/>
  <c r="V17" i="13" s="1"/>
  <c r="V6" i="13" s="1"/>
  <c r="X41" i="15"/>
  <c r="V17" i="11" s="1"/>
  <c r="X48" i="15"/>
  <c r="V24" i="11" s="1"/>
  <c r="X4" i="15"/>
  <c r="V15" i="9" s="1"/>
  <c r="V4" i="9" s="1"/>
  <c r="X13" i="15"/>
  <c r="V24" i="9" s="1"/>
  <c r="V13" i="9" s="1"/>
  <c r="X44" i="15"/>
  <c r="V20" i="11" s="1"/>
  <c r="X82" i="15"/>
  <c r="V23" i="13" s="1"/>
  <c r="V12" i="13" s="1"/>
  <c r="X57" i="15"/>
  <c r="V16" i="12" s="1"/>
  <c r="V5" i="12" s="1"/>
  <c r="X56" i="15"/>
  <c r="X47" i="15"/>
  <c r="V23" i="11" s="1"/>
  <c r="X63" i="15"/>
  <c r="V22" i="12" s="1"/>
  <c r="V11" i="12" s="1"/>
  <c r="X62" i="15"/>
  <c r="V21" i="12" s="1"/>
  <c r="V10" i="12" s="1"/>
  <c r="W28" i="6"/>
  <c r="X26" i="6"/>
  <c r="V3" i="12" l="1"/>
  <c r="V49" i="12" s="1"/>
  <c r="V3" i="13"/>
  <c r="V49" i="13" s="1"/>
  <c r="V3" i="9"/>
  <c r="V55" i="9" s="1"/>
  <c r="W29" i="6"/>
  <c r="Y3" i="15"/>
  <c r="X27" i="6"/>
  <c r="Y25" i="6" s="1"/>
  <c r="Y58" i="15" l="1"/>
  <c r="W17" i="12" s="1"/>
  <c r="W6" i="12" s="1"/>
  <c r="Y64" i="15"/>
  <c r="W23" i="12" s="1"/>
  <c r="W12" i="12" s="1"/>
  <c r="Y39" i="15"/>
  <c r="W15" i="11" s="1"/>
  <c r="Y40" i="15"/>
  <c r="W16" i="11" s="1"/>
  <c r="Y75" i="15"/>
  <c r="W16" i="13" s="1"/>
  <c r="W5" i="13" s="1"/>
  <c r="Y76" i="15"/>
  <c r="W17" i="13" s="1"/>
  <c r="W6" i="13" s="1"/>
  <c r="Y59" i="15"/>
  <c r="W18" i="12" s="1"/>
  <c r="W7" i="12" s="1"/>
  <c r="Y45" i="15"/>
  <c r="W21" i="11" s="1"/>
  <c r="Y46" i="15"/>
  <c r="W22" i="11" s="1"/>
  <c r="Y7" i="15"/>
  <c r="W18" i="9" s="1"/>
  <c r="W7" i="9" s="1"/>
  <c r="Y6" i="15"/>
  <c r="W17" i="9" s="1"/>
  <c r="W6" i="9" s="1"/>
  <c r="Y81" i="15"/>
  <c r="W22" i="13" s="1"/>
  <c r="W11" i="13" s="1"/>
  <c r="Y82" i="15"/>
  <c r="W23" i="13" s="1"/>
  <c r="W12" i="13" s="1"/>
  <c r="Y65" i="15"/>
  <c r="W24" i="12" s="1"/>
  <c r="W13" i="12" s="1"/>
  <c r="Y13" i="15"/>
  <c r="W24" i="9" s="1"/>
  <c r="W13" i="9" s="1"/>
  <c r="Y12" i="15"/>
  <c r="W23" i="9" s="1"/>
  <c r="W12" i="9" s="1"/>
  <c r="Y60" i="15"/>
  <c r="W19" i="12" s="1"/>
  <c r="W8" i="12" s="1"/>
  <c r="Y47" i="15"/>
  <c r="W23" i="11" s="1"/>
  <c r="Y41" i="15"/>
  <c r="W17" i="11" s="1"/>
  <c r="Y42" i="15"/>
  <c r="W18" i="11" s="1"/>
  <c r="Y11" i="15"/>
  <c r="W22" i="9" s="1"/>
  <c r="W11" i="9" s="1"/>
  <c r="Y77" i="15"/>
  <c r="W18" i="13" s="1"/>
  <c r="W7" i="13" s="1"/>
  <c r="Y78" i="15"/>
  <c r="W19" i="13" s="1"/>
  <c r="W8" i="13" s="1"/>
  <c r="Y61" i="15"/>
  <c r="W20" i="12" s="1"/>
  <c r="W9" i="12" s="1"/>
  <c r="Y48" i="15"/>
  <c r="W24" i="11" s="1"/>
  <c r="Y9" i="15"/>
  <c r="W20" i="9" s="1"/>
  <c r="W9" i="9" s="1"/>
  <c r="Y8" i="15"/>
  <c r="W19" i="9" s="1"/>
  <c r="W8" i="9" s="1"/>
  <c r="Y79" i="15"/>
  <c r="W20" i="13" s="1"/>
  <c r="W9" i="13" s="1"/>
  <c r="Y63" i="15"/>
  <c r="W22" i="12" s="1"/>
  <c r="W11" i="12" s="1"/>
  <c r="Y10" i="15"/>
  <c r="W21" i="9" s="1"/>
  <c r="W10" i="9" s="1"/>
  <c r="Y83" i="15"/>
  <c r="W24" i="13" s="1"/>
  <c r="W13" i="13" s="1"/>
  <c r="Y74" i="15"/>
  <c r="W15" i="13" s="1"/>
  <c r="W4" i="13" s="1"/>
  <c r="Y57" i="15"/>
  <c r="W16" i="12" s="1"/>
  <c r="W5" i="12" s="1"/>
  <c r="Y56" i="15"/>
  <c r="Y62" i="15"/>
  <c r="W21" i="12" s="1"/>
  <c r="W10" i="12" s="1"/>
  <c r="Y43" i="15"/>
  <c r="W19" i="11" s="1"/>
  <c r="Y44" i="15"/>
  <c r="W20" i="11" s="1"/>
  <c r="Y5" i="15"/>
  <c r="W16" i="9" s="1"/>
  <c r="W5" i="9" s="1"/>
  <c r="Y4" i="15"/>
  <c r="W15" i="9" s="1"/>
  <c r="W4" i="9" s="1"/>
  <c r="Y80" i="15"/>
  <c r="W21" i="13" s="1"/>
  <c r="W10" i="13" s="1"/>
  <c r="X28" i="6"/>
  <c r="Y26" i="6"/>
  <c r="W3" i="9" l="1"/>
  <c r="W55" i="9" s="1"/>
  <c r="W3" i="13"/>
  <c r="W49" i="13" s="1"/>
  <c r="X29" i="6"/>
  <c r="Z3" i="15"/>
  <c r="W3" i="12"/>
  <c r="W49" i="12" s="1"/>
  <c r="Y27" i="6"/>
  <c r="Z25" i="6" s="1"/>
  <c r="Z79" i="15" l="1"/>
  <c r="X20" i="13" s="1"/>
  <c r="X9" i="13" s="1"/>
  <c r="Z82" i="15"/>
  <c r="X23" i="13" s="1"/>
  <c r="X12" i="13" s="1"/>
  <c r="Z83" i="15"/>
  <c r="X24" i="13" s="1"/>
  <c r="X13" i="13" s="1"/>
  <c r="Z64" i="15"/>
  <c r="X23" i="12" s="1"/>
  <c r="X12" i="12" s="1"/>
  <c r="Z47" i="15"/>
  <c r="X23" i="11" s="1"/>
  <c r="Z40" i="15"/>
  <c r="X16" i="11" s="1"/>
  <c r="Z13" i="15"/>
  <c r="X24" i="9" s="1"/>
  <c r="X13" i="9" s="1"/>
  <c r="Z59" i="15"/>
  <c r="X18" i="12" s="1"/>
  <c r="X7" i="12" s="1"/>
  <c r="Z60" i="15"/>
  <c r="X19" i="12" s="1"/>
  <c r="X8" i="12" s="1"/>
  <c r="Z44" i="15"/>
  <c r="X20" i="11" s="1"/>
  <c r="Z7" i="15"/>
  <c r="X18" i="9" s="1"/>
  <c r="X7" i="9" s="1"/>
  <c r="Z6" i="15"/>
  <c r="X17" i="9" s="1"/>
  <c r="X6" i="9" s="1"/>
  <c r="Z10" i="15"/>
  <c r="X21" i="9" s="1"/>
  <c r="X10" i="9" s="1"/>
  <c r="Z80" i="15"/>
  <c r="X21" i="13" s="1"/>
  <c r="X10" i="13" s="1"/>
  <c r="Z61" i="15"/>
  <c r="X20" i="12" s="1"/>
  <c r="X9" i="12" s="1"/>
  <c r="Z56" i="15"/>
  <c r="Z43" i="15"/>
  <c r="X19" i="11" s="1"/>
  <c r="Z42" i="15"/>
  <c r="X18" i="11" s="1"/>
  <c r="Z12" i="15"/>
  <c r="X23" i="9" s="1"/>
  <c r="X12" i="9" s="1"/>
  <c r="Z65" i="15"/>
  <c r="X24" i="12" s="1"/>
  <c r="X13" i="12" s="1"/>
  <c r="Z58" i="15"/>
  <c r="X17" i="12" s="1"/>
  <c r="X6" i="12" s="1"/>
  <c r="Z75" i="15"/>
  <c r="X16" i="13" s="1"/>
  <c r="X5" i="13" s="1"/>
  <c r="Z41" i="15"/>
  <c r="X17" i="11" s="1"/>
  <c r="Z39" i="15"/>
  <c r="X15" i="11" s="1"/>
  <c r="Z48" i="15"/>
  <c r="X24" i="11" s="1"/>
  <c r="Z11" i="15"/>
  <c r="X22" i="9" s="1"/>
  <c r="X11" i="9" s="1"/>
  <c r="Z9" i="15"/>
  <c r="X20" i="9" s="1"/>
  <c r="X9" i="9" s="1"/>
  <c r="Z8" i="15"/>
  <c r="X19" i="9" s="1"/>
  <c r="X8" i="9" s="1"/>
  <c r="Z76" i="15"/>
  <c r="X17" i="13" s="1"/>
  <c r="X6" i="13" s="1"/>
  <c r="Z77" i="15"/>
  <c r="X18" i="13" s="1"/>
  <c r="X7" i="13" s="1"/>
  <c r="Z78" i="15"/>
  <c r="X19" i="13" s="1"/>
  <c r="X8" i="13" s="1"/>
  <c r="Z45" i="15"/>
  <c r="X21" i="11" s="1"/>
  <c r="Z46" i="15"/>
  <c r="X22" i="11" s="1"/>
  <c r="Z74" i="15"/>
  <c r="X15" i="13" s="1"/>
  <c r="X4" i="13" s="1"/>
  <c r="Z57" i="15"/>
  <c r="X16" i="12" s="1"/>
  <c r="X5" i="12" s="1"/>
  <c r="Z63" i="15"/>
  <c r="X22" i="12" s="1"/>
  <c r="X11" i="12" s="1"/>
  <c r="Z62" i="15"/>
  <c r="X21" i="12" s="1"/>
  <c r="X10" i="12" s="1"/>
  <c r="Z5" i="15"/>
  <c r="X16" i="9" s="1"/>
  <c r="X5" i="9" s="1"/>
  <c r="Z4" i="15"/>
  <c r="X15" i="9" s="1"/>
  <c r="X4" i="9" s="1"/>
  <c r="Z81" i="15"/>
  <c r="X22" i="13" s="1"/>
  <c r="X11" i="13" s="1"/>
  <c r="Y28" i="6"/>
  <c r="Z26" i="6"/>
  <c r="X3" i="9" l="1"/>
  <c r="X55" i="9" s="1"/>
  <c r="X3" i="12"/>
  <c r="X49" i="12" s="1"/>
  <c r="X3" i="13"/>
  <c r="X49" i="13" s="1"/>
  <c r="Y29" i="6"/>
  <c r="AA3" i="15"/>
  <c r="Z27" i="6"/>
  <c r="AA25" i="6" s="1"/>
  <c r="AA60" i="15" l="1"/>
  <c r="Y19" i="12" s="1"/>
  <c r="Y8" i="12" s="1"/>
  <c r="AA65" i="15"/>
  <c r="Y24" i="12" s="1"/>
  <c r="Y13" i="12" s="1"/>
  <c r="AA47" i="15"/>
  <c r="Y23" i="11" s="1"/>
  <c r="AA40" i="15"/>
  <c r="Y16" i="11" s="1"/>
  <c r="AA9" i="15"/>
  <c r="Y20" i="9" s="1"/>
  <c r="Y9" i="9" s="1"/>
  <c r="AA42" i="15"/>
  <c r="Y18" i="11" s="1"/>
  <c r="AA4" i="15"/>
  <c r="Y15" i="9" s="1"/>
  <c r="Y4" i="9" s="1"/>
  <c r="AA78" i="15"/>
  <c r="Y19" i="13" s="1"/>
  <c r="Y8" i="13" s="1"/>
  <c r="AA74" i="15"/>
  <c r="Y15" i="13" s="1"/>
  <c r="Y4" i="13" s="1"/>
  <c r="AA77" i="15"/>
  <c r="Y18" i="13" s="1"/>
  <c r="Y7" i="13" s="1"/>
  <c r="AA56" i="15"/>
  <c r="AA61" i="15"/>
  <c r="Y20" i="12" s="1"/>
  <c r="Y9" i="12" s="1"/>
  <c r="AA43" i="15"/>
  <c r="Y19" i="11" s="1"/>
  <c r="AA5" i="15"/>
  <c r="Y16" i="9" s="1"/>
  <c r="Y5" i="9" s="1"/>
  <c r="AA6" i="15"/>
  <c r="Y17" i="9" s="1"/>
  <c r="Y6" i="9" s="1"/>
  <c r="AA11" i="15"/>
  <c r="Y22" i="9" s="1"/>
  <c r="Y11" i="9" s="1"/>
  <c r="AA12" i="15"/>
  <c r="Y23" i="9" s="1"/>
  <c r="Y12" i="9" s="1"/>
  <c r="AA79" i="15"/>
  <c r="Y20" i="13" s="1"/>
  <c r="Y9" i="13" s="1"/>
  <c r="AA62" i="15"/>
  <c r="Y21" i="12" s="1"/>
  <c r="Y10" i="12" s="1"/>
  <c r="AA44" i="15"/>
  <c r="Y20" i="11" s="1"/>
  <c r="AA76" i="15"/>
  <c r="Y17" i="13" s="1"/>
  <c r="Y6" i="13" s="1"/>
  <c r="AA81" i="15"/>
  <c r="Y22" i="13" s="1"/>
  <c r="Y11" i="13" s="1"/>
  <c r="AA82" i="15"/>
  <c r="Y23" i="13" s="1"/>
  <c r="Y12" i="13" s="1"/>
  <c r="AA75" i="15"/>
  <c r="Y16" i="13" s="1"/>
  <c r="Y5" i="13" s="1"/>
  <c r="AA57" i="15"/>
  <c r="Y16" i="12" s="1"/>
  <c r="Y5" i="12" s="1"/>
  <c r="AA39" i="15"/>
  <c r="Y15" i="11" s="1"/>
  <c r="AA46" i="15"/>
  <c r="Y22" i="11" s="1"/>
  <c r="AA80" i="15"/>
  <c r="Y21" i="13" s="1"/>
  <c r="Y10" i="13" s="1"/>
  <c r="AA59" i="15"/>
  <c r="Y18" i="12" s="1"/>
  <c r="Y7" i="12" s="1"/>
  <c r="AA83" i="15"/>
  <c r="Y24" i="13" s="1"/>
  <c r="Y13" i="13" s="1"/>
  <c r="AA58" i="15"/>
  <c r="Y17" i="12" s="1"/>
  <c r="Y6" i="12" s="1"/>
  <c r="AA63" i="15"/>
  <c r="Y22" i="12" s="1"/>
  <c r="Y11" i="12" s="1"/>
  <c r="AA45" i="15"/>
  <c r="Y21" i="11" s="1"/>
  <c r="AA48" i="15"/>
  <c r="Y24" i="11" s="1"/>
  <c r="AA8" i="15"/>
  <c r="Y19" i="9" s="1"/>
  <c r="Y8" i="9" s="1"/>
  <c r="AA7" i="15"/>
  <c r="Y18" i="9" s="1"/>
  <c r="Y7" i="9" s="1"/>
  <c r="AA10" i="15"/>
  <c r="Y21" i="9" s="1"/>
  <c r="Y10" i="9" s="1"/>
  <c r="AA64" i="15"/>
  <c r="Y23" i="12" s="1"/>
  <c r="Y12" i="12" s="1"/>
  <c r="AA13" i="15"/>
  <c r="Y24" i="9" s="1"/>
  <c r="Y13" i="9" s="1"/>
  <c r="AA41" i="15"/>
  <c r="Y17" i="11" s="1"/>
  <c r="Z28" i="6"/>
  <c r="AA26" i="6"/>
  <c r="Y3" i="9" l="1"/>
  <c r="Y55" i="9" s="1"/>
  <c r="Z29" i="6"/>
  <c r="AB3" i="15"/>
  <c r="Y3" i="12"/>
  <c r="Y49" i="12" s="1"/>
  <c r="Y3" i="13"/>
  <c r="Y49" i="13" s="1"/>
  <c r="AA27" i="6"/>
  <c r="AB25" i="6" s="1"/>
  <c r="AB74" i="15" l="1"/>
  <c r="Z15" i="13" s="1"/>
  <c r="Z4" i="13" s="1"/>
  <c r="AB83" i="15"/>
  <c r="Z24" i="13" s="1"/>
  <c r="Z13" i="13" s="1"/>
  <c r="AB58" i="15"/>
  <c r="Z17" i="12" s="1"/>
  <c r="Z6" i="12" s="1"/>
  <c r="AB57" i="15"/>
  <c r="Z16" i="12" s="1"/>
  <c r="Z5" i="12" s="1"/>
  <c r="AB48" i="15"/>
  <c r="Z24" i="11" s="1"/>
  <c r="AB39" i="15"/>
  <c r="Z15" i="11" s="1"/>
  <c r="AB6" i="15"/>
  <c r="Z17" i="9" s="1"/>
  <c r="Z6" i="9" s="1"/>
  <c r="AB11" i="15"/>
  <c r="Z22" i="9" s="1"/>
  <c r="Z11" i="9" s="1"/>
  <c r="AB77" i="15"/>
  <c r="Z18" i="13" s="1"/>
  <c r="Z7" i="13" s="1"/>
  <c r="AB80" i="15"/>
  <c r="Z21" i="13" s="1"/>
  <c r="Z10" i="13" s="1"/>
  <c r="AB64" i="15"/>
  <c r="Z23" i="12" s="1"/>
  <c r="Z12" i="12" s="1"/>
  <c r="AB63" i="15"/>
  <c r="Z22" i="12" s="1"/>
  <c r="Z11" i="12" s="1"/>
  <c r="AB45" i="15"/>
  <c r="Z21" i="11" s="1"/>
  <c r="AB9" i="15"/>
  <c r="Z20" i="9" s="1"/>
  <c r="Z9" i="9" s="1"/>
  <c r="AB79" i="15"/>
  <c r="Z20" i="13" s="1"/>
  <c r="Z9" i="13" s="1"/>
  <c r="AB44" i="15"/>
  <c r="Z20" i="11" s="1"/>
  <c r="AB4" i="15"/>
  <c r="Z15" i="9" s="1"/>
  <c r="Z4" i="9" s="1"/>
  <c r="AB42" i="15"/>
  <c r="Z18" i="11" s="1"/>
  <c r="AB76" i="15"/>
  <c r="Z17" i="13" s="1"/>
  <c r="Z6" i="13" s="1"/>
  <c r="AB60" i="15"/>
  <c r="Z19" i="12" s="1"/>
  <c r="Z8" i="12" s="1"/>
  <c r="AB59" i="15"/>
  <c r="Z18" i="12" s="1"/>
  <c r="Z7" i="12" s="1"/>
  <c r="AB41" i="15"/>
  <c r="Z17" i="11" s="1"/>
  <c r="AB82" i="15"/>
  <c r="Z23" i="13" s="1"/>
  <c r="Z12" i="13" s="1"/>
  <c r="AB75" i="15"/>
  <c r="Z16" i="13" s="1"/>
  <c r="Z5" i="13" s="1"/>
  <c r="AB65" i="15"/>
  <c r="Z24" i="12" s="1"/>
  <c r="Z13" i="12" s="1"/>
  <c r="AB40" i="15"/>
  <c r="Z16" i="11" s="1"/>
  <c r="AB47" i="15"/>
  <c r="Z23" i="11" s="1"/>
  <c r="AB13" i="15"/>
  <c r="Z24" i="9" s="1"/>
  <c r="Z13" i="9" s="1"/>
  <c r="AB10" i="15"/>
  <c r="Z21" i="9" s="1"/>
  <c r="Z10" i="9" s="1"/>
  <c r="AB12" i="15"/>
  <c r="Z23" i="9" s="1"/>
  <c r="Z12" i="9" s="1"/>
  <c r="AB81" i="15"/>
  <c r="Z22" i="13" s="1"/>
  <c r="Z11" i="13" s="1"/>
  <c r="AB56" i="15"/>
  <c r="AB46" i="15"/>
  <c r="Z22" i="11" s="1"/>
  <c r="AB7" i="15"/>
  <c r="Z18" i="9" s="1"/>
  <c r="Z7" i="9" s="1"/>
  <c r="AB78" i="15"/>
  <c r="Z19" i="13" s="1"/>
  <c r="Z8" i="13" s="1"/>
  <c r="AB62" i="15"/>
  <c r="Z21" i="12" s="1"/>
  <c r="Z10" i="12" s="1"/>
  <c r="AB61" i="15"/>
  <c r="Z20" i="12" s="1"/>
  <c r="Z9" i="12" s="1"/>
  <c r="AB43" i="15"/>
  <c r="Z19" i="11" s="1"/>
  <c r="AB5" i="15"/>
  <c r="Z16" i="9" s="1"/>
  <c r="Z5" i="9" s="1"/>
  <c r="AB8" i="15"/>
  <c r="Z19" i="9" s="1"/>
  <c r="Z8" i="9" s="1"/>
  <c r="AA28" i="6"/>
  <c r="AB26" i="6"/>
  <c r="Z3" i="12" l="1"/>
  <c r="Z49" i="12" s="1"/>
  <c r="AA29" i="6"/>
  <c r="AC3" i="15"/>
  <c r="Z3" i="9"/>
  <c r="Z55" i="9" s="1"/>
  <c r="Z3" i="13"/>
  <c r="Z49" i="13" s="1"/>
  <c r="AB27" i="6"/>
  <c r="AB28" i="6" s="1"/>
  <c r="AC74" i="15" l="1"/>
  <c r="AA15" i="13" s="1"/>
  <c r="AA4" i="13" s="1"/>
  <c r="AC75" i="15"/>
  <c r="AA16" i="13" s="1"/>
  <c r="AA5" i="13" s="1"/>
  <c r="AC58" i="15"/>
  <c r="AA17" i="12" s="1"/>
  <c r="AA6" i="12" s="1"/>
  <c r="AC44" i="15"/>
  <c r="AA20" i="11" s="1"/>
  <c r="AC45" i="15"/>
  <c r="AA21" i="11" s="1"/>
  <c r="AC6" i="15"/>
  <c r="AA17" i="9" s="1"/>
  <c r="AA6" i="9" s="1"/>
  <c r="AC5" i="15"/>
  <c r="AA16" i="9" s="1"/>
  <c r="AA5" i="9" s="1"/>
  <c r="AC57" i="15"/>
  <c r="AA16" i="12" s="1"/>
  <c r="AA5" i="12" s="1"/>
  <c r="AC80" i="15"/>
  <c r="AA21" i="13" s="1"/>
  <c r="AA10" i="13" s="1"/>
  <c r="AC81" i="15"/>
  <c r="AA22" i="13" s="1"/>
  <c r="AA11" i="13" s="1"/>
  <c r="AC64" i="15"/>
  <c r="AA23" i="12" s="1"/>
  <c r="AA12" i="12" s="1"/>
  <c r="AC65" i="15"/>
  <c r="AA24" i="12" s="1"/>
  <c r="AA13" i="12" s="1"/>
  <c r="AC12" i="15"/>
  <c r="AA23" i="9" s="1"/>
  <c r="AA12" i="9" s="1"/>
  <c r="AC11" i="15"/>
  <c r="AA22" i="9" s="1"/>
  <c r="AA11" i="9" s="1"/>
  <c r="AC59" i="15"/>
  <c r="AA18" i="12" s="1"/>
  <c r="AA7" i="12" s="1"/>
  <c r="AC46" i="15"/>
  <c r="AA22" i="11" s="1"/>
  <c r="AC40" i="15"/>
  <c r="AA16" i="11" s="1"/>
  <c r="AC41" i="15"/>
  <c r="AA17" i="11" s="1"/>
  <c r="AC7" i="15"/>
  <c r="AA18" i="9" s="1"/>
  <c r="AA7" i="9" s="1"/>
  <c r="AC76" i="15"/>
  <c r="AA17" i="13" s="1"/>
  <c r="AA6" i="13" s="1"/>
  <c r="AC77" i="15"/>
  <c r="AA18" i="13" s="1"/>
  <c r="AA7" i="13" s="1"/>
  <c r="AC60" i="15"/>
  <c r="AA19" i="12" s="1"/>
  <c r="AA8" i="12" s="1"/>
  <c r="AC47" i="15"/>
  <c r="AA23" i="11" s="1"/>
  <c r="AC8" i="15"/>
  <c r="AA19" i="9" s="1"/>
  <c r="AA8" i="9" s="1"/>
  <c r="AC63" i="15"/>
  <c r="AA22" i="12" s="1"/>
  <c r="AA11" i="12" s="1"/>
  <c r="AC82" i="15"/>
  <c r="AA23" i="13" s="1"/>
  <c r="AA12" i="13" s="1"/>
  <c r="AC83" i="15"/>
  <c r="AA24" i="13" s="1"/>
  <c r="AA13" i="13" s="1"/>
  <c r="AC13" i="15"/>
  <c r="AA24" i="9" s="1"/>
  <c r="AA13" i="9" s="1"/>
  <c r="AC56" i="15"/>
  <c r="AC61" i="15"/>
  <c r="AA20" i="12" s="1"/>
  <c r="AA9" i="12" s="1"/>
  <c r="AC48" i="15"/>
  <c r="AA24" i="11" s="1"/>
  <c r="AC42" i="15"/>
  <c r="AA18" i="11" s="1"/>
  <c r="AC43" i="15"/>
  <c r="AA19" i="11" s="1"/>
  <c r="AC4" i="15"/>
  <c r="AA15" i="9" s="1"/>
  <c r="AA4" i="9" s="1"/>
  <c r="AC78" i="15"/>
  <c r="AA19" i="13" s="1"/>
  <c r="AA8" i="13" s="1"/>
  <c r="AC79" i="15"/>
  <c r="AA20" i="13" s="1"/>
  <c r="AA9" i="13" s="1"/>
  <c r="AC62" i="15"/>
  <c r="AA21" i="12" s="1"/>
  <c r="AA10" i="12" s="1"/>
  <c r="AC10" i="15"/>
  <c r="AA21" i="9" s="1"/>
  <c r="AA10" i="9" s="1"/>
  <c r="AC9" i="15"/>
  <c r="AA20" i="9" s="1"/>
  <c r="AA9" i="9" s="1"/>
  <c r="AC39" i="15"/>
  <c r="AA15" i="11" s="1"/>
  <c r="AB29" i="6"/>
  <c r="AD3" i="15"/>
  <c r="P38" i="7"/>
  <c r="P180" i="7" s="1"/>
  <c r="AA3" i="12" l="1"/>
  <c r="AA49" i="12" s="1"/>
  <c r="AA3" i="9"/>
  <c r="AA55" i="9" s="1"/>
  <c r="AD77" i="15"/>
  <c r="AB18" i="13" s="1"/>
  <c r="AB7" i="13" s="1"/>
  <c r="AD78" i="15"/>
  <c r="AB19" i="13" s="1"/>
  <c r="AB8" i="13" s="1"/>
  <c r="AD58" i="15"/>
  <c r="AB17" i="12" s="1"/>
  <c r="AB6" i="12" s="1"/>
  <c r="AD64" i="15"/>
  <c r="AB23" i="12" s="1"/>
  <c r="AB12" i="12" s="1"/>
  <c r="AD6" i="15"/>
  <c r="AB17" i="9" s="1"/>
  <c r="AB6" i="9" s="1"/>
  <c r="AD12" i="15"/>
  <c r="AB23" i="9" s="1"/>
  <c r="AB12" i="9" s="1"/>
  <c r="AD5" i="15"/>
  <c r="AB16" i="9" s="1"/>
  <c r="AB5" i="9" s="1"/>
  <c r="AD83" i="15"/>
  <c r="AB24" i="13" s="1"/>
  <c r="AB13" i="13" s="1"/>
  <c r="AD80" i="15"/>
  <c r="AB21" i="13" s="1"/>
  <c r="AB10" i="13" s="1"/>
  <c r="AD65" i="15"/>
  <c r="AB24" i="12" s="1"/>
  <c r="AB13" i="12" s="1"/>
  <c r="AD42" i="15"/>
  <c r="AB18" i="11" s="1"/>
  <c r="AB7" i="11" s="1"/>
  <c r="AD11" i="15"/>
  <c r="AB22" i="9" s="1"/>
  <c r="AB11" i="9" s="1"/>
  <c r="AD57" i="15"/>
  <c r="AB16" i="12" s="1"/>
  <c r="AB5" i="12" s="1"/>
  <c r="AD46" i="15"/>
  <c r="AB22" i="11" s="1"/>
  <c r="AB11" i="11" s="1"/>
  <c r="AD41" i="15"/>
  <c r="AB17" i="11" s="1"/>
  <c r="AD82" i="15"/>
  <c r="AB23" i="13" s="1"/>
  <c r="AB12" i="13" s="1"/>
  <c r="AD61" i="15"/>
  <c r="AB20" i="12" s="1"/>
  <c r="AB9" i="12" s="1"/>
  <c r="AD48" i="15"/>
  <c r="AB24" i="11" s="1"/>
  <c r="AB13" i="11" s="1"/>
  <c r="AD45" i="15"/>
  <c r="AB21" i="11" s="1"/>
  <c r="AB10" i="11" s="1"/>
  <c r="AD8" i="15"/>
  <c r="AB19" i="9" s="1"/>
  <c r="AB8" i="9" s="1"/>
  <c r="AD7" i="15"/>
  <c r="AB18" i="9" s="1"/>
  <c r="AB7" i="9" s="1"/>
  <c r="AD75" i="15"/>
  <c r="AB16" i="13" s="1"/>
  <c r="AB5" i="13" s="1"/>
  <c r="AD81" i="15"/>
  <c r="AB22" i="13" s="1"/>
  <c r="AB11" i="13" s="1"/>
  <c r="AD60" i="15"/>
  <c r="AB19" i="12" s="1"/>
  <c r="AB8" i="12" s="1"/>
  <c r="AD63" i="15"/>
  <c r="AB22" i="12" s="1"/>
  <c r="AB11" i="12" s="1"/>
  <c r="AD43" i="15"/>
  <c r="AB19" i="11" s="1"/>
  <c r="AB8" i="11" s="1"/>
  <c r="AD39" i="15"/>
  <c r="AB15" i="11" s="1"/>
  <c r="AB4" i="11" s="1"/>
  <c r="AD76" i="15"/>
  <c r="AB17" i="13" s="1"/>
  <c r="AB6" i="13" s="1"/>
  <c r="AD59" i="15"/>
  <c r="AB18" i="12" s="1"/>
  <c r="AB7" i="12" s="1"/>
  <c r="AD44" i="15"/>
  <c r="AB20" i="11" s="1"/>
  <c r="AB9" i="11" s="1"/>
  <c r="AD13" i="15"/>
  <c r="AB24" i="9" s="1"/>
  <c r="AB13" i="9" s="1"/>
  <c r="AD56" i="15"/>
  <c r="AD62" i="15"/>
  <c r="AB21" i="12" s="1"/>
  <c r="AB10" i="12" s="1"/>
  <c r="AD4" i="15"/>
  <c r="AB15" i="9" s="1"/>
  <c r="AB4" i="9" s="1"/>
  <c r="AD9" i="15"/>
  <c r="AB20" i="9" s="1"/>
  <c r="AB9" i="9" s="1"/>
  <c r="AD79" i="15"/>
  <c r="AB20" i="13" s="1"/>
  <c r="AB9" i="13" s="1"/>
  <c r="AD74" i="15"/>
  <c r="AB15" i="13" s="1"/>
  <c r="AB4" i="13" s="1"/>
  <c r="AD40" i="15"/>
  <c r="AB16" i="11" s="1"/>
  <c r="AB5" i="11" s="1"/>
  <c r="AD47" i="15"/>
  <c r="AB23" i="11" s="1"/>
  <c r="AB12" i="11" s="1"/>
  <c r="AD10" i="15"/>
  <c r="AB21" i="9" s="1"/>
  <c r="AB10" i="9" s="1"/>
  <c r="AA3" i="13"/>
  <c r="AA49" i="13" s="1"/>
  <c r="F43" i="17"/>
  <c r="E40" i="17"/>
  <c r="K44" i="17"/>
  <c r="H40" i="17"/>
  <c r="F41" i="17"/>
  <c r="G43" i="17"/>
  <c r="D43" i="17"/>
  <c r="H41" i="17"/>
  <c r="C40" i="17"/>
  <c r="L39" i="17"/>
  <c r="D39" i="17"/>
  <c r="E44" i="17"/>
  <c r="H44" i="17"/>
  <c r="D42" i="17"/>
  <c r="C43" i="17"/>
  <c r="I44" i="17"/>
  <c r="J40" i="17"/>
  <c r="H43" i="17"/>
  <c r="D44" i="17"/>
  <c r="C42" i="17"/>
  <c r="I42" i="17"/>
  <c r="E42" i="17"/>
  <c r="I39" i="17"/>
  <c r="H42" i="17"/>
  <c r="J44" i="17"/>
  <c r="J41" i="17"/>
  <c r="L41" i="17"/>
  <c r="K42" i="17"/>
  <c r="D41" i="17"/>
  <c r="L43" i="17"/>
  <c r="C39" i="17"/>
  <c r="C6" i="17"/>
  <c r="E6" i="17" s="1"/>
  <c r="D40" i="17"/>
  <c r="F44" i="17"/>
  <c r="K40" i="17"/>
  <c r="C44" i="17"/>
  <c r="E39" i="17"/>
  <c r="F42" i="17"/>
  <c r="G40" i="17"/>
  <c r="H39" i="17"/>
  <c r="C41" i="17"/>
  <c r="E43" i="17"/>
  <c r="F40" i="17"/>
  <c r="I40" i="17"/>
  <c r="G42" i="17"/>
  <c r="J42" i="17"/>
  <c r="L44" i="17"/>
  <c r="G44" i="17"/>
  <c r="J39" i="17"/>
  <c r="K43" i="17"/>
  <c r="G39" i="17"/>
  <c r="G41" i="17"/>
  <c r="L42" i="17"/>
  <c r="J43" i="17"/>
  <c r="K41" i="17"/>
  <c r="I41" i="17"/>
  <c r="I43" i="17"/>
  <c r="K39" i="17"/>
  <c r="E41" i="17"/>
  <c r="F39" i="17"/>
  <c r="L40" i="17"/>
  <c r="R10" i="11"/>
  <c r="U8" i="11"/>
  <c r="T7" i="11"/>
  <c r="T8" i="11"/>
  <c r="AA9" i="11"/>
  <c r="Z13" i="11"/>
  <c r="X11" i="11"/>
  <c r="V13" i="11"/>
  <c r="T12" i="11"/>
  <c r="S11" i="11"/>
  <c r="Q6" i="11"/>
  <c r="U7" i="11"/>
  <c r="Z11" i="11"/>
  <c r="W12" i="11"/>
  <c r="U6" i="11"/>
  <c r="R6" i="11"/>
  <c r="P9" i="11"/>
  <c r="Y9" i="11"/>
  <c r="S6" i="11"/>
  <c r="U10" i="11"/>
  <c r="P13" i="11"/>
  <c r="Y13" i="11"/>
  <c r="W10" i="11"/>
  <c r="T11" i="11"/>
  <c r="S5" i="11"/>
  <c r="P8" i="11"/>
  <c r="Y11" i="11"/>
  <c r="Q7" i="11"/>
  <c r="AA10" i="11"/>
  <c r="Q9" i="11"/>
  <c r="AA11" i="11"/>
  <c r="Z5" i="11"/>
  <c r="W7" i="11"/>
  <c r="V6" i="11"/>
  <c r="T9" i="11"/>
  <c r="R9" i="11"/>
  <c r="P6" i="11"/>
  <c r="V9" i="11"/>
  <c r="Q13" i="11"/>
  <c r="S12" i="11"/>
  <c r="U12" i="11"/>
  <c r="P12" i="11"/>
  <c r="Z8" i="11"/>
  <c r="S13" i="11"/>
  <c r="Y7" i="11"/>
  <c r="W11" i="11"/>
  <c r="U13" i="11"/>
  <c r="R12" i="11"/>
  <c r="U4" i="11"/>
  <c r="Z9" i="11"/>
  <c r="X9" i="11"/>
  <c r="W6" i="11"/>
  <c r="S8" i="11"/>
  <c r="Q8" i="11"/>
  <c r="X5" i="11"/>
  <c r="Y12" i="11"/>
  <c r="AA12" i="11"/>
  <c r="Z12" i="11"/>
  <c r="Y6" i="11"/>
  <c r="W9" i="11"/>
  <c r="U9" i="11"/>
  <c r="T5" i="11"/>
  <c r="R11" i="11"/>
  <c r="P7" i="11"/>
  <c r="T6" i="11"/>
  <c r="AA7" i="11"/>
  <c r="R5" i="11"/>
  <c r="Z10" i="11"/>
  <c r="AA5" i="11"/>
  <c r="T10" i="11"/>
  <c r="Q11" i="11"/>
  <c r="Q5" i="11"/>
  <c r="X12" i="11"/>
  <c r="Q12" i="11"/>
  <c r="V12" i="11"/>
  <c r="V8" i="11"/>
  <c r="AB6" i="11"/>
  <c r="X13" i="11"/>
  <c r="V10" i="11"/>
  <c r="S7" i="11"/>
  <c r="U11" i="11"/>
  <c r="T4" i="11"/>
  <c r="W8" i="11"/>
  <c r="AA6" i="11"/>
  <c r="Z6" i="11"/>
  <c r="Y5" i="11"/>
  <c r="W13" i="11"/>
  <c r="V5" i="11"/>
  <c r="S9" i="11"/>
  <c r="Q10" i="11"/>
  <c r="P5" i="11"/>
  <c r="Y10" i="11"/>
  <c r="V11" i="11"/>
  <c r="S10" i="11"/>
  <c r="U5" i="11"/>
  <c r="X6" i="11"/>
  <c r="W4" i="11"/>
  <c r="R8" i="11"/>
  <c r="AA13" i="11"/>
  <c r="Y8" i="11"/>
  <c r="X10" i="11"/>
  <c r="W5" i="11"/>
  <c r="T13" i="11"/>
  <c r="R13" i="11"/>
  <c r="P10" i="11"/>
  <c r="V4" i="11"/>
  <c r="Y4" i="11"/>
  <c r="X8" i="11"/>
  <c r="AA8" i="11"/>
  <c r="Z7" i="11"/>
  <c r="X7" i="11"/>
  <c r="V7" i="11"/>
  <c r="R7" i="11"/>
  <c r="P11" i="11"/>
  <c r="Q4" i="11"/>
  <c r="Z4" i="11"/>
  <c r="AA4" i="11"/>
  <c r="R4" i="11"/>
  <c r="X4" i="11"/>
  <c r="S4" i="11"/>
  <c r="P4" i="11"/>
  <c r="AB3" i="13" l="1"/>
  <c r="AB49" i="13" s="1"/>
  <c r="AB3" i="12"/>
  <c r="AB49" i="12" s="1"/>
  <c r="AB3" i="9"/>
  <c r="AB55" i="9" s="1"/>
  <c r="Q3" i="11"/>
  <c r="Q49" i="11" s="1"/>
  <c r="Y3" i="11"/>
  <c r="Y49" i="11" s="1"/>
  <c r="X3" i="11"/>
  <c r="X49" i="11" s="1"/>
  <c r="Z3" i="11"/>
  <c r="Z49" i="11" s="1"/>
  <c r="S3" i="11"/>
  <c r="S49" i="11" s="1"/>
  <c r="T3" i="11"/>
  <c r="T49" i="11" s="1"/>
  <c r="W3" i="11"/>
  <c r="W49" i="11" s="1"/>
  <c r="U3" i="11"/>
  <c r="U49" i="11" s="1"/>
  <c r="AB3" i="11"/>
  <c r="AB49" i="11" s="1"/>
  <c r="AA3" i="11"/>
  <c r="AA49" i="11" s="1"/>
  <c r="V3" i="11"/>
  <c r="V49" i="11" s="1"/>
  <c r="R3" i="11"/>
  <c r="R49" i="11" s="1"/>
  <c r="P3" i="11"/>
  <c r="P49" i="11" s="1"/>
  <c r="AD30" i="15" l="1"/>
  <c r="AB23" i="10" s="1"/>
  <c r="AB12" i="10" s="1"/>
  <c r="AD29" i="15"/>
  <c r="AB22" i="10" s="1"/>
  <c r="AB11" i="10" s="1"/>
  <c r="AD31" i="15"/>
  <c r="AB24" i="10" s="1"/>
  <c r="AB13" i="10" s="1"/>
  <c r="AC22" i="15"/>
  <c r="AA15" i="10" s="1"/>
  <c r="AA4" i="10" s="1"/>
  <c r="AD25" i="15"/>
  <c r="AB18" i="10" s="1"/>
  <c r="AB7" i="10" s="1"/>
  <c r="AD27" i="15"/>
  <c r="AB20" i="10" s="1"/>
  <c r="AB9" i="10" s="1"/>
  <c r="AD24" i="15"/>
  <c r="AB17" i="10" s="1"/>
  <c r="AB6" i="10" s="1"/>
  <c r="AD22" i="15"/>
  <c r="AB15" i="10" s="1"/>
  <c r="AB4" i="10" s="1"/>
  <c r="AD26" i="15"/>
  <c r="AB19" i="10" s="1"/>
  <c r="AB8" i="10" s="1"/>
  <c r="AD28" i="15"/>
  <c r="AB21" i="10" s="1"/>
  <c r="AB10" i="10" s="1"/>
  <c r="AB22" i="15"/>
  <c r="Z15" i="10" s="1"/>
  <c r="Z4" i="10" s="1"/>
  <c r="AC31" i="15"/>
  <c r="AA24" i="10" s="1"/>
  <c r="AA13" i="10" s="1"/>
  <c r="AC27" i="15"/>
  <c r="AA20" i="10" s="1"/>
  <c r="AA9" i="10" s="1"/>
  <c r="AC25" i="15"/>
  <c r="AA18" i="10" s="1"/>
  <c r="AA7" i="10" s="1"/>
  <c r="AC28" i="15"/>
  <c r="AA21" i="10" s="1"/>
  <c r="AA10" i="10" s="1"/>
  <c r="AC24" i="15"/>
  <c r="AA17" i="10" s="1"/>
  <c r="AA6" i="10" s="1"/>
  <c r="AC29" i="15"/>
  <c r="AA22" i="10" s="1"/>
  <c r="AA11" i="10" s="1"/>
  <c r="AC30" i="15"/>
  <c r="AA23" i="10" s="1"/>
  <c r="AA12" i="10" s="1"/>
  <c r="AC26" i="15"/>
  <c r="AA19" i="10" s="1"/>
  <c r="AA8" i="10" s="1"/>
  <c r="AD23" i="15"/>
  <c r="AB16" i="10" s="1"/>
  <c r="AB5" i="10" s="1"/>
  <c r="AB25" i="15"/>
  <c r="Z18" i="10" s="1"/>
  <c r="Z7" i="10" s="1"/>
  <c r="AB30" i="15"/>
  <c r="Z23" i="10" s="1"/>
  <c r="Z12" i="10" s="1"/>
  <c r="AB26" i="15"/>
  <c r="Z19" i="10" s="1"/>
  <c r="Z8" i="10" s="1"/>
  <c r="AB27" i="15"/>
  <c r="Z20" i="10" s="1"/>
  <c r="Z9" i="10" s="1"/>
  <c r="AB31" i="15"/>
  <c r="Z24" i="10" s="1"/>
  <c r="Z13" i="10" s="1"/>
  <c r="AC23" i="15"/>
  <c r="AA16" i="10" s="1"/>
  <c r="AA5" i="10" s="1"/>
  <c r="AB29" i="15"/>
  <c r="Z22" i="10" s="1"/>
  <c r="Z11" i="10" s="1"/>
  <c r="AA22" i="15"/>
  <c r="Y15" i="10" s="1"/>
  <c r="Y4" i="10" s="1"/>
  <c r="AB24" i="15"/>
  <c r="Z17" i="10" s="1"/>
  <c r="Z6" i="10" s="1"/>
  <c r="AB28" i="15"/>
  <c r="Z21" i="10" s="1"/>
  <c r="Z10" i="10" s="1"/>
  <c r="AA29" i="15"/>
  <c r="Y22" i="10" s="1"/>
  <c r="Y11" i="10" s="1"/>
  <c r="AA26" i="15"/>
  <c r="Y19" i="10" s="1"/>
  <c r="Y8" i="10" s="1"/>
  <c r="AA25" i="15"/>
  <c r="Y18" i="10" s="1"/>
  <c r="Y7" i="10" s="1"/>
  <c r="Z22" i="15"/>
  <c r="X15" i="10" s="1"/>
  <c r="X4" i="10" s="1"/>
  <c r="AB23" i="15"/>
  <c r="Z16" i="10" s="1"/>
  <c r="Z5" i="10" s="1"/>
  <c r="AA24" i="15"/>
  <c r="Y17" i="10" s="1"/>
  <c r="Y6" i="10" s="1"/>
  <c r="AA31" i="15"/>
  <c r="Y24" i="10" s="1"/>
  <c r="Y13" i="10" s="1"/>
  <c r="AA27" i="15"/>
  <c r="Y20" i="10" s="1"/>
  <c r="Y9" i="10" s="1"/>
  <c r="AA30" i="15"/>
  <c r="Y23" i="10" s="1"/>
  <c r="Y12" i="10" s="1"/>
  <c r="AA28" i="15"/>
  <c r="Y21" i="10" s="1"/>
  <c r="Y10" i="10" s="1"/>
  <c r="Y22" i="15"/>
  <c r="W15" i="10" s="1"/>
  <c r="W4" i="10" s="1"/>
  <c r="AA23" i="15"/>
  <c r="Y16" i="10" s="1"/>
  <c r="Y5" i="10" s="1"/>
  <c r="Z26" i="15"/>
  <c r="X19" i="10" s="1"/>
  <c r="X8" i="10" s="1"/>
  <c r="Z25" i="15"/>
  <c r="X18" i="10" s="1"/>
  <c r="X7" i="10" s="1"/>
  <c r="Z24" i="15"/>
  <c r="X17" i="10" s="1"/>
  <c r="X6" i="10" s="1"/>
  <c r="Z29" i="15"/>
  <c r="X22" i="10" s="1"/>
  <c r="X11" i="10" s="1"/>
  <c r="Z30" i="15"/>
  <c r="X23" i="10" s="1"/>
  <c r="X12" i="10" s="1"/>
  <c r="Z28" i="15"/>
  <c r="X21" i="10" s="1"/>
  <c r="X10" i="10" s="1"/>
  <c r="Z27" i="15"/>
  <c r="X20" i="10" s="1"/>
  <c r="X9" i="10" s="1"/>
  <c r="Z31" i="15"/>
  <c r="X24" i="10" s="1"/>
  <c r="X13" i="10" s="1"/>
  <c r="Y25" i="15"/>
  <c r="W18" i="10" s="1"/>
  <c r="W7" i="10" s="1"/>
  <c r="Z23" i="15"/>
  <c r="X16" i="10" s="1"/>
  <c r="X5" i="10" s="1"/>
  <c r="Y27" i="15"/>
  <c r="W20" i="10" s="1"/>
  <c r="W9" i="10" s="1"/>
  <c r="X22" i="15"/>
  <c r="V15" i="10" s="1"/>
  <c r="V4" i="10" s="1"/>
  <c r="Y30" i="15"/>
  <c r="W23" i="10" s="1"/>
  <c r="W12" i="10" s="1"/>
  <c r="Y26" i="15"/>
  <c r="W19" i="10" s="1"/>
  <c r="W8" i="10" s="1"/>
  <c r="Y28" i="15"/>
  <c r="W21" i="10" s="1"/>
  <c r="W10" i="10" s="1"/>
  <c r="Y31" i="15"/>
  <c r="W24" i="10" s="1"/>
  <c r="W13" i="10" s="1"/>
  <c r="Y29" i="15"/>
  <c r="W22" i="10" s="1"/>
  <c r="W11" i="10" s="1"/>
  <c r="Y24" i="15"/>
  <c r="W17" i="10" s="1"/>
  <c r="W6" i="10" s="1"/>
  <c r="X25" i="15"/>
  <c r="V18" i="10" s="1"/>
  <c r="V7" i="10" s="1"/>
  <c r="X31" i="15"/>
  <c r="V24" i="10" s="1"/>
  <c r="V13" i="10" s="1"/>
  <c r="X24" i="15"/>
  <c r="V17" i="10" s="1"/>
  <c r="V6" i="10" s="1"/>
  <c r="X28" i="15"/>
  <c r="V21" i="10" s="1"/>
  <c r="V10" i="10" s="1"/>
  <c r="X27" i="15"/>
  <c r="V20" i="10" s="1"/>
  <c r="V9" i="10" s="1"/>
  <c r="Y23" i="15"/>
  <c r="W16" i="10" s="1"/>
  <c r="W5" i="10" s="1"/>
  <c r="X26" i="15"/>
  <c r="V19" i="10" s="1"/>
  <c r="V8" i="10" s="1"/>
  <c r="X29" i="15"/>
  <c r="V22" i="10" s="1"/>
  <c r="V11" i="10" s="1"/>
  <c r="W22" i="15"/>
  <c r="U15" i="10" s="1"/>
  <c r="U4" i="10" s="1"/>
  <c r="X30" i="15"/>
  <c r="V23" i="10" s="1"/>
  <c r="V12" i="10" s="1"/>
  <c r="W30" i="15"/>
  <c r="U23" i="10" s="1"/>
  <c r="U12" i="10" s="1"/>
  <c r="W25" i="15"/>
  <c r="U18" i="10" s="1"/>
  <c r="U7" i="10" s="1"/>
  <c r="W29" i="15"/>
  <c r="U22" i="10" s="1"/>
  <c r="U11" i="10" s="1"/>
  <c r="W28" i="15"/>
  <c r="U21" i="10" s="1"/>
  <c r="U10" i="10" s="1"/>
  <c r="X23" i="15"/>
  <c r="V16" i="10" s="1"/>
  <c r="V5" i="10" s="1"/>
  <c r="W27" i="15"/>
  <c r="U20" i="10" s="1"/>
  <c r="U9" i="10" s="1"/>
  <c r="W24" i="15"/>
  <c r="U17" i="10" s="1"/>
  <c r="U6" i="10" s="1"/>
  <c r="W26" i="15"/>
  <c r="U19" i="10" s="1"/>
  <c r="U8" i="10" s="1"/>
  <c r="W31" i="15"/>
  <c r="U24" i="10" s="1"/>
  <c r="U13" i="10" s="1"/>
  <c r="V22" i="15"/>
  <c r="T15" i="10" s="1"/>
  <c r="T4" i="10" s="1"/>
  <c r="V27" i="15"/>
  <c r="T20" i="10" s="1"/>
  <c r="T9" i="10" s="1"/>
  <c r="V30" i="15"/>
  <c r="T23" i="10" s="1"/>
  <c r="T12" i="10" s="1"/>
  <c r="V25" i="15"/>
  <c r="T18" i="10" s="1"/>
  <c r="T7" i="10" s="1"/>
  <c r="V29" i="15"/>
  <c r="T22" i="10" s="1"/>
  <c r="T11" i="10" s="1"/>
  <c r="W23" i="15"/>
  <c r="U16" i="10" s="1"/>
  <c r="U5" i="10" s="1"/>
  <c r="V28" i="15"/>
  <c r="T21" i="10" s="1"/>
  <c r="T10" i="10" s="1"/>
  <c r="U22" i="15"/>
  <c r="S15" i="10" s="1"/>
  <c r="S4" i="10" s="1"/>
  <c r="V26" i="15"/>
  <c r="T19" i="10" s="1"/>
  <c r="T8" i="10" s="1"/>
  <c r="V31" i="15"/>
  <c r="T24" i="10" s="1"/>
  <c r="T13" i="10" s="1"/>
  <c r="V24" i="15"/>
  <c r="T17" i="10" s="1"/>
  <c r="T6" i="10" s="1"/>
  <c r="U30" i="15"/>
  <c r="S23" i="10" s="1"/>
  <c r="S12" i="10" s="1"/>
  <c r="V23" i="15"/>
  <c r="T16" i="10" s="1"/>
  <c r="T5" i="10" s="1"/>
  <c r="U31" i="15"/>
  <c r="S24" i="10" s="1"/>
  <c r="S13" i="10" s="1"/>
  <c r="U29" i="15"/>
  <c r="S22" i="10" s="1"/>
  <c r="S11" i="10" s="1"/>
  <c r="U28" i="15"/>
  <c r="S21" i="10" s="1"/>
  <c r="S10" i="10" s="1"/>
  <c r="U27" i="15"/>
  <c r="S20" i="10" s="1"/>
  <c r="S9" i="10" s="1"/>
  <c r="U26" i="15"/>
  <c r="S19" i="10" s="1"/>
  <c r="S8" i="10" s="1"/>
  <c r="T22" i="15"/>
  <c r="R15" i="10" s="1"/>
  <c r="R4" i="10" s="1"/>
  <c r="U25" i="15"/>
  <c r="S18" i="10" s="1"/>
  <c r="S7" i="10" s="1"/>
  <c r="U24" i="15"/>
  <c r="S17" i="10" s="1"/>
  <c r="S6" i="10" s="1"/>
  <c r="T29" i="15"/>
  <c r="R22" i="10" s="1"/>
  <c r="R11" i="10" s="1"/>
  <c r="T24" i="15"/>
  <c r="R17" i="10" s="1"/>
  <c r="R6" i="10" s="1"/>
  <c r="T27" i="15"/>
  <c r="R20" i="10" s="1"/>
  <c r="R9" i="10" s="1"/>
  <c r="S22" i="15"/>
  <c r="Q15" i="10" s="1"/>
  <c r="Q4" i="10" s="1"/>
  <c r="T26" i="15"/>
  <c r="R19" i="10" s="1"/>
  <c r="R8" i="10" s="1"/>
  <c r="T31" i="15"/>
  <c r="R24" i="10" s="1"/>
  <c r="R13" i="10" s="1"/>
  <c r="U23" i="15"/>
  <c r="S16" i="10" s="1"/>
  <c r="S5" i="10" s="1"/>
  <c r="T28" i="15"/>
  <c r="R21" i="10" s="1"/>
  <c r="R10" i="10" s="1"/>
  <c r="T25" i="15"/>
  <c r="R18" i="10" s="1"/>
  <c r="R7" i="10" s="1"/>
  <c r="T30" i="15"/>
  <c r="R23" i="10" s="1"/>
  <c r="R12" i="10" s="1"/>
  <c r="S30" i="15"/>
  <c r="Q23" i="10" s="1"/>
  <c r="Q12" i="10" s="1"/>
  <c r="S27" i="15"/>
  <c r="Q20" i="10" s="1"/>
  <c r="Q9" i="10" s="1"/>
  <c r="S29" i="15"/>
  <c r="Q22" i="10" s="1"/>
  <c r="Q11" i="10" s="1"/>
  <c r="S25" i="15"/>
  <c r="Q18" i="10" s="1"/>
  <c r="Q7" i="10" s="1"/>
  <c r="S26" i="15"/>
  <c r="Q19" i="10" s="1"/>
  <c r="Q8" i="10" s="1"/>
  <c r="S31" i="15"/>
  <c r="Q24" i="10" s="1"/>
  <c r="Q13" i="10" s="1"/>
  <c r="T23" i="15"/>
  <c r="R16" i="10" s="1"/>
  <c r="R5" i="10" s="1"/>
  <c r="S28" i="15"/>
  <c r="Q21" i="10" s="1"/>
  <c r="Q10" i="10" s="1"/>
  <c r="S24" i="15"/>
  <c r="Q17" i="10" s="1"/>
  <c r="Q6" i="10" s="1"/>
  <c r="R30" i="15"/>
  <c r="P23" i="10" s="1"/>
  <c r="P12" i="10" s="1"/>
  <c r="R27" i="15"/>
  <c r="P20" i="10" s="1"/>
  <c r="P9" i="10" s="1"/>
  <c r="S23" i="15"/>
  <c r="Q16" i="10" s="1"/>
  <c r="Q5" i="10" s="1"/>
  <c r="R28" i="15"/>
  <c r="P21" i="10" s="1"/>
  <c r="P10" i="10" s="1"/>
  <c r="R26" i="15"/>
  <c r="P19" i="10" s="1"/>
  <c r="P8" i="10" s="1"/>
  <c r="R31" i="15"/>
  <c r="P24" i="10" s="1"/>
  <c r="P13" i="10" s="1"/>
  <c r="R29" i="15"/>
  <c r="P22" i="10" s="1"/>
  <c r="P11" i="10" s="1"/>
  <c r="R24" i="15"/>
  <c r="P17" i="10" s="1"/>
  <c r="P6" i="10" s="1"/>
  <c r="R25" i="15"/>
  <c r="P18" i="10" s="1"/>
  <c r="P7" i="10" s="1"/>
  <c r="R22" i="15"/>
  <c r="P15" i="10" s="1"/>
  <c r="P4" i="10" s="1"/>
  <c r="R23" i="15"/>
  <c r="P16" i="10" s="1"/>
  <c r="P5" i="10" s="1"/>
  <c r="X3" i="10" l="1"/>
  <c r="X52" i="10" s="1"/>
  <c r="W105" i="14" s="1"/>
  <c r="W106" i="14" s="1"/>
  <c r="S3" i="10"/>
  <c r="S52" i="10" s="1"/>
  <c r="R105" i="14" s="1"/>
  <c r="R106" i="14" s="1"/>
  <c r="V3" i="10"/>
  <c r="V52" i="10" s="1"/>
  <c r="U105" i="14" s="1"/>
  <c r="U106" i="14" s="1"/>
  <c r="Y3" i="10"/>
  <c r="Y52" i="10" s="1"/>
  <c r="X105" i="14" s="1"/>
  <c r="X106" i="14" s="1"/>
  <c r="Z3" i="10"/>
  <c r="Z52" i="10" s="1"/>
  <c r="Y105" i="14" s="1"/>
  <c r="Y106" i="14" s="1"/>
  <c r="R3" i="10"/>
  <c r="R52" i="10" s="1"/>
  <c r="Q105" i="14" s="1"/>
  <c r="Q106" i="14" s="1"/>
  <c r="T3" i="10"/>
  <c r="T52" i="10" s="1"/>
  <c r="S105" i="14" s="1"/>
  <c r="S106" i="14" s="1"/>
  <c r="U3" i="10"/>
  <c r="U52" i="10" s="1"/>
  <c r="T105" i="14" s="1"/>
  <c r="T106" i="14" s="1"/>
  <c r="W3" i="10"/>
  <c r="W52" i="10" s="1"/>
  <c r="V105" i="14" s="1"/>
  <c r="V106" i="14" s="1"/>
  <c r="Q3" i="10"/>
  <c r="Q52" i="10" s="1"/>
  <c r="P105" i="14" s="1"/>
  <c r="P106" i="14" s="1"/>
  <c r="P3" i="10"/>
  <c r="P52" i="10" s="1"/>
  <c r="O105" i="14" s="1"/>
  <c r="O106" i="14" s="1"/>
  <c r="AB3" i="10"/>
  <c r="AB52" i="10" s="1"/>
  <c r="AA105" i="14" s="1"/>
  <c r="AA106" i="14" s="1"/>
  <c r="AA3" i="10"/>
  <c r="AA52" i="10" s="1"/>
  <c r="Z105" i="14" s="1"/>
  <c r="Z106" i="14" s="1"/>
  <c r="AA108" i="14" l="1"/>
  <c r="AA107" i="14"/>
  <c r="AA109" i="14"/>
  <c r="Z108" i="14"/>
  <c r="Z116" i="14" s="1"/>
  <c r="Z107" i="14"/>
  <c r="Z115" i="14" s="1"/>
  <c r="Z109" i="14"/>
  <c r="Z117" i="14" s="1"/>
  <c r="T107" i="14"/>
  <c r="T115" i="14" s="1"/>
  <c r="T109" i="14"/>
  <c r="T117" i="14" s="1"/>
  <c r="T108" i="14"/>
  <c r="T116" i="14" s="1"/>
  <c r="S107" i="14"/>
  <c r="S115" i="14" s="1"/>
  <c r="S108" i="14"/>
  <c r="S116" i="14" s="1"/>
  <c r="S109" i="14"/>
  <c r="S117" i="14" s="1"/>
  <c r="Q107" i="14"/>
  <c r="Q115" i="14" s="1"/>
  <c r="AA127" i="14" s="1"/>
  <c r="Q108" i="14"/>
  <c r="Q116" i="14" s="1"/>
  <c r="AA128" i="14" s="1"/>
  <c r="Q109" i="14"/>
  <c r="Q117" i="14" s="1"/>
  <c r="AA129" i="14" s="1"/>
  <c r="Y109" i="14"/>
  <c r="Y117" i="14" s="1"/>
  <c r="Y107" i="14"/>
  <c r="Y115" i="14" s="1"/>
  <c r="Y108" i="14"/>
  <c r="Y116" i="14" s="1"/>
  <c r="AA117" i="14"/>
  <c r="AC129" i="14" s="1"/>
  <c r="AA115" i="14"/>
  <c r="AC127" i="14" s="1"/>
  <c r="AA116" i="14"/>
  <c r="AC128" i="14" s="1"/>
  <c r="X108" i="14"/>
  <c r="X116" i="14" s="1"/>
  <c r="X107" i="14"/>
  <c r="X115" i="14" s="1"/>
  <c r="X109" i="14"/>
  <c r="X117" i="14" s="1"/>
  <c r="O107" i="14"/>
  <c r="O115" i="14" s="1"/>
  <c r="O108" i="14"/>
  <c r="O116" i="14" s="1"/>
  <c r="O109" i="14"/>
  <c r="O117" i="14" s="1"/>
  <c r="U109" i="14"/>
  <c r="U117" i="14" s="1"/>
  <c r="U108" i="14"/>
  <c r="U116" i="14" s="1"/>
  <c r="U107" i="14"/>
  <c r="U115" i="14" s="1"/>
  <c r="P109" i="14"/>
  <c r="P117" i="14" s="1"/>
  <c r="P108" i="14"/>
  <c r="P116" i="14" s="1"/>
  <c r="P107" i="14"/>
  <c r="P115" i="14" s="1"/>
  <c r="R108" i="14"/>
  <c r="R116" i="14" s="1"/>
  <c r="R107" i="14"/>
  <c r="R115" i="14" s="1"/>
  <c r="R109" i="14"/>
  <c r="R117" i="14" s="1"/>
  <c r="V107" i="14"/>
  <c r="V115" i="14" s="1"/>
  <c r="AB127" i="14" s="1"/>
  <c r="V109" i="14"/>
  <c r="V117" i="14" s="1"/>
  <c r="AB129" i="14" s="1"/>
  <c r="V108" i="14"/>
  <c r="V116" i="14" s="1"/>
  <c r="AB128" i="14" s="1"/>
  <c r="W108" i="14"/>
  <c r="W116" i="14" s="1"/>
  <c r="W107" i="14"/>
  <c r="W115" i="14" s="1"/>
  <c r="W109" i="14"/>
  <c r="W117" i="1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Luis Victor</author>
  </authors>
  <commentList>
    <comment ref="B26" authorId="0" shapeId="0" xr:uid="{10268AD0-3D2E-4A1D-909F-22A5FFF656F5}">
      <text>
        <r>
          <rPr>
            <b/>
            <sz val="9"/>
            <color indexed="81"/>
            <rFont val="Tahoma"/>
            <family val="2"/>
          </rPr>
          <t>del INGEI, hoja "FL-Biomass1 of 4":</t>
        </r>
        <r>
          <rPr>
            <sz val="9"/>
            <color indexed="81"/>
            <rFont val="Tahoma"/>
            <family val="2"/>
          </rPr>
          <t xml:space="preserve">
*Superficie de Bosque Nativo que no se encuentra bajo un sitema de protección legal. Las pérdidas y ganancias de carbono son cero (supuesto)</t>
        </r>
      </text>
    </comment>
  </commentList>
</comments>
</file>

<file path=xl/sharedStrings.xml><?xml version="1.0" encoding="utf-8"?>
<sst xmlns="http://schemas.openxmlformats.org/spreadsheetml/2006/main" count="1324" uniqueCount="238">
  <si>
    <t>Uso del suelo inicial</t>
  </si>
  <si>
    <t>Uso del suelo en el año del inventario</t>
  </si>
  <si>
    <t>B. Seco Andino</t>
  </si>
  <si>
    <t>Tierras de cultivo</t>
  </si>
  <si>
    <t>B. Seco Pluvioestacional</t>
  </si>
  <si>
    <t>B. Siempre verde andino Montano</t>
  </si>
  <si>
    <t>B. Siempre verde andino Pie montano</t>
  </si>
  <si>
    <t>B. Siempre verde andino de Ceja Andina</t>
  </si>
  <si>
    <t>B. Siempre verde de tierras bajas de la Amazonía</t>
  </si>
  <si>
    <t>B. Siempre verde de tierras bajas del Chocó</t>
  </si>
  <si>
    <t>Manglar</t>
  </si>
  <si>
    <t>Moretal</t>
  </si>
  <si>
    <t xml:space="preserve">Plantación forestal </t>
  </si>
  <si>
    <t>Asentamientos</t>
  </si>
  <si>
    <t>Otras tierras</t>
  </si>
  <si>
    <t>Pastizales</t>
  </si>
  <si>
    <t>Humedales</t>
  </si>
  <si>
    <t>Categoría de uso del suelo</t>
  </si>
  <si>
    <t>Uso inicial de la tierra</t>
  </si>
  <si>
    <t>Uso de la tierra durante el año de reporte</t>
  </si>
  <si>
    <t>Tierras Forestales</t>
  </si>
  <si>
    <t>Tierra de Cultivo</t>
  </si>
  <si>
    <t xml:space="preserve">Otras Tierras </t>
  </si>
  <si>
    <t>Sub-Total para Tierras Forestales</t>
  </si>
  <si>
    <t>Tierras de Cultivo</t>
  </si>
  <si>
    <t>Sub-Total para Tierras de Cultivo</t>
  </si>
  <si>
    <t>Sub-Total para Pastizales</t>
  </si>
  <si>
    <t>Sub-Total para Humedales</t>
  </si>
  <si>
    <t>Sub-Total para Asentamientos</t>
  </si>
  <si>
    <t>Otras Tierras</t>
  </si>
  <si>
    <t>Sub-Total para Otras tierras</t>
  </si>
  <si>
    <t>Total</t>
  </si>
  <si>
    <t>Tierras forestales</t>
  </si>
  <si>
    <t>Emisiones (miles de ton CO2e)</t>
  </si>
  <si>
    <t>Cobertura (miles de hectareas)</t>
  </si>
  <si>
    <t>EAR (miles ton CO2e/miles de ha)</t>
  </si>
  <si>
    <t>TF a OTI</t>
  </si>
  <si>
    <t>Tierras convertidas en forestales</t>
  </si>
  <si>
    <t>Categoría</t>
  </si>
  <si>
    <t>Convertidas en tierras de cultivo</t>
  </si>
  <si>
    <t>Convertidas en pastizales</t>
  </si>
  <si>
    <t>Convertidas en humedales</t>
  </si>
  <si>
    <t>Convertidas en asentamientos</t>
  </si>
  <si>
    <t>Convertidas a otras tierras</t>
  </si>
  <si>
    <t>Error</t>
  </si>
  <si>
    <r>
      <t>Cambio anual en las reservas de carbono, kt CO</t>
    </r>
    <r>
      <rPr>
        <vertAlign val="subscript"/>
        <sz val="10"/>
        <color theme="0"/>
        <rFont val="Calibri"/>
        <family val="2"/>
      </rPr>
      <t>2</t>
    </r>
  </si>
  <si>
    <r>
      <t>Cambio anual en las reservas de carbono, t CO</t>
    </r>
    <r>
      <rPr>
        <vertAlign val="subscript"/>
        <sz val="10"/>
        <color theme="0"/>
        <rFont val="Calibri"/>
        <family val="2"/>
      </rPr>
      <t xml:space="preserve">2 </t>
    </r>
  </si>
  <si>
    <t>Total bosque protegido</t>
  </si>
  <si>
    <t>Área de bosque total</t>
  </si>
  <si>
    <t>Pérdida de área</t>
  </si>
  <si>
    <t>Tasa de deforestación total [%]</t>
  </si>
  <si>
    <t>Iniciativas</t>
  </si>
  <si>
    <t>Tipo</t>
  </si>
  <si>
    <r>
      <t>POTENCIAL DE MITIGACIÓN (GgCO</t>
    </r>
    <r>
      <rPr>
        <b/>
        <vertAlign val="subscript"/>
        <sz val="11"/>
        <color theme="1"/>
        <rFont val="Aptos Narrow"/>
        <family val="2"/>
        <scheme val="minor"/>
      </rPr>
      <t>2-eq</t>
    </r>
    <r>
      <rPr>
        <b/>
        <sz val="11"/>
        <color theme="1"/>
        <rFont val="Aptos Narrow"/>
        <family val="2"/>
        <scheme val="minor"/>
      </rPr>
      <t>)
2026-2035</t>
    </r>
  </si>
  <si>
    <r>
      <t>POTENCIAL DE MITIGACIÓN CHECKED (GgCO</t>
    </r>
    <r>
      <rPr>
        <b/>
        <vertAlign val="subscript"/>
        <sz val="11"/>
        <color theme="1"/>
        <rFont val="Aptos Narrow"/>
        <family val="2"/>
        <scheme val="minor"/>
      </rPr>
      <t>2-eq</t>
    </r>
    <r>
      <rPr>
        <b/>
        <sz val="11"/>
        <color theme="1"/>
        <rFont val="Aptos Narrow"/>
        <family val="2"/>
        <scheme val="minor"/>
      </rPr>
      <t>)
2026-2035</t>
    </r>
  </si>
  <si>
    <t>Ver pestaña: 3. Taita_Imbabura</t>
  </si>
  <si>
    <t>Incondicional</t>
  </si>
  <si>
    <t>Ver pestaña_ 6. WWF_Proyecto_Selva</t>
  </si>
  <si>
    <t>Ver pestaña: 1.PNRP</t>
  </si>
  <si>
    <t>condicional</t>
  </si>
  <si>
    <t>Ver pestaña: 2.DMCO</t>
  </si>
  <si>
    <t>Ver pestaña: 4.Bosques_protectores</t>
  </si>
  <si>
    <t>Ver pestaña: 5.Socio_Bosque</t>
  </si>
  <si>
    <t>Superficie ejemplo</t>
  </si>
  <si>
    <t>Deforestacion neta</t>
  </si>
  <si>
    <t>Valor anualizado de deforestación evitada</t>
  </si>
  <si>
    <t>Valor acumulado de deforestación evitada</t>
  </si>
  <si>
    <t>Razón anual/acumulado</t>
  </si>
  <si>
    <t>Potencial de mitigación por deforestación evitada (Gg CO2, acumulado) - 1</t>
  </si>
  <si>
    <t>Potencial de mitigación por abosrción de carbono (Gg CO2, acumulado) - 1</t>
  </si>
  <si>
    <t>Potencial de mitigación por deforestación evitada (Gg CO2, acumulado) - 2</t>
  </si>
  <si>
    <t>Potencial de mitigación por abosrción de carbono (Gg CO2, acumulado) - 2</t>
  </si>
  <si>
    <t>Potencial de mitigación por deforestación evitada (Gg CO2) - 1 - AMPLIACIÓN 2025-2026</t>
  </si>
  <si>
    <t>Potencial de mitigación por abosrción de carbono (Gg CO2) - 1 - AMPLIACIÓN 2025-2026</t>
  </si>
  <si>
    <t>Potencial de mitigación por deforestación evitada (Gg CO2) - 2 - AMPLIACIÓN 2026-2035</t>
  </si>
  <si>
    <t>Potencial de mitigación por abosrción de carbono (Gg CO2) - 2 - AMPLIACIÓN 2026-2035</t>
  </si>
  <si>
    <t>Potencial de mitigación total (Gg CO2)</t>
  </si>
  <si>
    <t>sum(</t>
  </si>
  <si>
    <t>Potencial de mitigación por deforestación evitada (Gg CO2, acumulado)</t>
  </si>
  <si>
    <t>Potencial de mitigación por deforestación evitada (Gg CO2)</t>
  </si>
  <si>
    <t>Potencial de mitigación por absorción de carbono (Gg CO2eq)</t>
  </si>
  <si>
    <t>Potencial de mitigación (Gg CO2, acumulado)</t>
  </si>
  <si>
    <t>Superficie ejemplo - BVP COMUNAS BAJO NAPO (ha)</t>
  </si>
  <si>
    <t>Deforestacion neta  (ha)</t>
  </si>
  <si>
    <t>Valor anualizado de deforestación evitada  (ha)</t>
  </si>
  <si>
    <t>Valor acumulado de deforestación evitada  (ha)</t>
  </si>
  <si>
    <t>Potencial de mitigación por deforestación evitada (Gg CO2, acumulado) - BVP COMUNAS BAJO NAPO</t>
  </si>
  <si>
    <t>Potencial de mitigación por abosrción de carbono (Gg CO2, acumulado) - BVP COMUNAS BAJO NAPO</t>
  </si>
  <si>
    <t>Potencial de mitigación por deforestación evitada (Gg CO2) - 1 - BVP COMUNAS BAJO NAPO</t>
  </si>
  <si>
    <t>Potencial de mitigación por abosrción de carbono (Gg CO2) - 1 - BVP COMUNAS BAJO NAPO</t>
  </si>
  <si>
    <t>Superficie ejemplo - BVP BOSQUES PARA SIEMPRE</t>
  </si>
  <si>
    <t>Deforestacion neta  (ha) - ALTA</t>
  </si>
  <si>
    <t>Valor anualizado de deforestación evitada  (ha) - ALTA</t>
  </si>
  <si>
    <t>Valor acumulado de deforestación evitada  (ha) - ALTA</t>
  </si>
  <si>
    <t>Razón anual/acumulado - ALTA</t>
  </si>
  <si>
    <t>Deforestacion neta  (ha) - MEDIA</t>
  </si>
  <si>
    <t>Valor anualizado de deforestación evitada  (ha) - MEDIA</t>
  </si>
  <si>
    <t>Valor acumulado de deforestación evitada  (ha) - MEDIA</t>
  </si>
  <si>
    <t>Razón anual/acumulado - MEDIA</t>
  </si>
  <si>
    <t>Deforestacion neta  (ha) - BAJA</t>
  </si>
  <si>
    <t>Valor anualizado de deforestación evitada  (ha) - BAJA</t>
  </si>
  <si>
    <t>Valor acumulado de deforestación evitada  (ha) - BAJA</t>
  </si>
  <si>
    <t>Razón anual/acumulado - BAJA</t>
  </si>
  <si>
    <t>Potencial de mitigación por deforestación evitada (Gg CO2, acumulado) - BVP BOSQUES PARA SIEMPRE / PROBABILIDAD ALTA</t>
  </si>
  <si>
    <t>Potencial de mitigación por deforestación evitada (Gg CO2, acumulado) - BVP BOSQUES PARA SIEMPRE / PROBABILIDAD MEDIA</t>
  </si>
  <si>
    <t>Potencial de mitigación por deforestación evitada (Gg CO2, acumulado) - BVP BOSQUES PARA SIEMPRE / PROBABILIDAD BAJA</t>
  </si>
  <si>
    <t>Potencial de mitigación por abosrción de carbono (Gg CO2, acumulado) - BVP BOSQUES PARA SIEMPRE</t>
  </si>
  <si>
    <t>Potencial de mitigación por deforestación evitada (Gg CO2) - 1 - BVP BOSQUES PARA SIEMPRE</t>
  </si>
  <si>
    <t>Potencial de mitigación por abosrción de carbono (Gg CO2) - 1 - BVP BOSQUES PARA SIEMPRE</t>
  </si>
  <si>
    <t>Potencial de mitigación por deforestación evitada (Gg CO2, acumulado) - BVP GALLO URCO / PROBABILIDAD ALTA</t>
  </si>
  <si>
    <t>Potencial de mitigación por deforestación evitada (Gg CO2, acumulado) - BVP GALLO URCO / PROBABILIDAD MEDIA</t>
  </si>
  <si>
    <t>Potencial de mitigación por deforestación evitada (Gg CO2, acumulado) - BVP GALLO URCO/ PROBABILIDAD BAJA</t>
  </si>
  <si>
    <t>Potencial de mitigación por abosrción de carbono (Gg CO2, acumulado) - BVP GALLO URCO SIEMPRE</t>
  </si>
  <si>
    <t>Potencial de mitigación por deforestación evitada (Gg CO2) - 2 - BBVP GALLO URCO SIEMPRE</t>
  </si>
  <si>
    <t>Potencial de mitigación por abosrción de carbono (Gg CO2) - 2 - BVP GALLO URCO SIEMPRE</t>
  </si>
  <si>
    <t>ESCENARIOS PROPUESTOS:</t>
  </si>
  <si>
    <t>EMISIONES USCUSS [Gg CO2eq]</t>
  </si>
  <si>
    <t>Nivel de referencia 2000-2008 (Gg CO2)</t>
  </si>
  <si>
    <t>Escenario Tendencial (Gg CO2) - 4TA COMUNICACIÓN</t>
  </si>
  <si>
    <t>Escenario Tendencial (Gg CO2) - 5TA COMUNICACIÓN</t>
  </si>
  <si>
    <t>Escenario Tendencial (Gg CO2)</t>
  </si>
  <si>
    <t>Escenario Incondicional (Gg CO2)</t>
  </si>
  <si>
    <t>Escenario Condicional (Gg CO2)</t>
  </si>
  <si>
    <t>Escenario Incondicional + Condicional (Gg CO2)</t>
  </si>
  <si>
    <t>DIFERENCIA RELATIVA A TENDENCIAL</t>
  </si>
  <si>
    <t>Escenario Incondicional %</t>
  </si>
  <si>
    <t>Escenario Condicional %</t>
  </si>
  <si>
    <t>Escenario Incondicional + Condicional %</t>
  </si>
  <si>
    <t>Tasa de deforestación del bosque protegido [%]</t>
  </si>
  <si>
    <t>Tasa de deforestación del bosque sin proteger [%]</t>
  </si>
  <si>
    <t>Ecuador</t>
  </si>
  <si>
    <t>DATOS PARA CALCULAR PROYECCIONES</t>
  </si>
  <si>
    <t>Cobertura bosque (Ha)</t>
  </si>
  <si>
    <t>Referencia</t>
  </si>
  <si>
    <t>Datos 2010-2022
5ta Comunicación</t>
  </si>
  <si>
    <t>Datos para proyecciones</t>
  </si>
  <si>
    <t xml:space="preserve">% por tipo de bosque </t>
  </si>
  <si>
    <t>Uso del suelo inicial (Ha)</t>
  </si>
  <si>
    <t>% de cambio según tipo de cambio</t>
  </si>
  <si>
    <t>Medida</t>
  </si>
  <si>
    <t>Medida 3: Taita Imbaura</t>
  </si>
  <si>
    <t>Efecto: Absorción de carbono</t>
  </si>
  <si>
    <t>Coberturas (miles de hectáreas)</t>
  </si>
  <si>
    <t>Bosque Siempre Verde Andino de Ceja Andina</t>
  </si>
  <si>
    <t>Bosque Siempre Verde Andino Montano</t>
  </si>
  <si>
    <t>Factores de emisión (miles de TonCO2 eq / miles de hectáreas)</t>
  </si>
  <si>
    <t>Emisiones (miles de Ton CO2eq)</t>
  </si>
  <si>
    <t>Efecto: Deforestación evitada</t>
  </si>
  <si>
    <t>Taita Imbaura</t>
  </si>
  <si>
    <t>WWF Proyecto Selva</t>
  </si>
  <si>
    <t>Medida 6: WWF Proyecto Selva</t>
  </si>
  <si>
    <t>Bosque Siempre Verde de Tierras Bajas de la Amazonía</t>
  </si>
  <si>
    <t>PRNP</t>
  </si>
  <si>
    <t>DMCO</t>
  </si>
  <si>
    <t>Bosques protectores</t>
  </si>
  <si>
    <t>Socio bosque</t>
  </si>
  <si>
    <t>Medida 1. PRNP</t>
  </si>
  <si>
    <t>Medida 2. DMCO</t>
  </si>
  <si>
    <t xml:space="preserve">Bosque Siempre Verde Andino Pie 
Montano </t>
  </si>
  <si>
    <t xml:space="preserve">Bosque Siempre Verde de Tierras 
Bajas del Chocó </t>
  </si>
  <si>
    <t>Moretales</t>
  </si>
  <si>
    <t xml:space="preserve">Bosque Siempre Verde Andino Montano </t>
  </si>
  <si>
    <t>Medida 4. Bosques protectores</t>
  </si>
  <si>
    <t>Medida 5. Socio Bosque</t>
  </si>
  <si>
    <t>Por tipo de bosque (hectáreas)</t>
  </si>
  <si>
    <t>Tierras forestales que permancecen como tales</t>
  </si>
  <si>
    <t>Emisiones (Gg CO2eq)</t>
  </si>
  <si>
    <t>Tierras de cultivo convertidas a tierras forestales</t>
  </si>
  <si>
    <t>Pastizales convertidos a tierras forestales</t>
  </si>
  <si>
    <t>Otras tieras convertidas a tierras forestales</t>
  </si>
  <si>
    <t>Humedales convertidos a tierras forestales</t>
  </si>
  <si>
    <t>Tierras forestales convertidas a tierras de cultivo</t>
  </si>
  <si>
    <t>Otros tipos de emisiones de tieras convertidas a  tierras de cultivo</t>
  </si>
  <si>
    <t>Pastizales convertidos a tierras de cultivo</t>
  </si>
  <si>
    <t>Humedales convertidos a tierras de cultivo</t>
  </si>
  <si>
    <t>Asentamientos convertidos a tierras de cultivo</t>
  </si>
  <si>
    <t>Otras tierras convertidas a tierras de cultivo</t>
  </si>
  <si>
    <t>Tierras forestales convertidas a pastizales</t>
  </si>
  <si>
    <t>Otros tipos de emisiones de tieras convertidas a  Pastizales</t>
  </si>
  <si>
    <t>Pastizales convertidos a Pastizales</t>
  </si>
  <si>
    <t>Humedales convertidos a Pastizales</t>
  </si>
  <si>
    <t>Otras tierras convertidas a Pastizales</t>
  </si>
  <si>
    <t>Tierras forestales convertidas en humedales</t>
  </si>
  <si>
    <t>Otros usos de tierra convertidos en humedales</t>
  </si>
  <si>
    <t>Tierras de cultivo convertidas en humedales</t>
  </si>
  <si>
    <t>Pastizales convertidos en humedales</t>
  </si>
  <si>
    <t>Tierras forestales convertidas en asentamientos</t>
  </si>
  <si>
    <t>Tierras de cultivo convertidas en asentamientos</t>
  </si>
  <si>
    <t>Pastizales convertidas en asentamientos</t>
  </si>
  <si>
    <t>Otros usos de tierra convertidos en asentamientos</t>
  </si>
  <si>
    <t>Otros usos de tierra convertidos en otras tierras</t>
  </si>
  <si>
    <t>Tierras de cultivo convertidas en Otras tierras</t>
  </si>
  <si>
    <t>Pastizales convertidas en Otras tierras</t>
  </si>
  <si>
    <t>DATOS 5TA COMUNICACIÓN</t>
  </si>
  <si>
    <t>DATOS MODELO OSEMOSYS</t>
  </si>
  <si>
    <t>Otras tierras a tierras forestales (hectáreas)</t>
  </si>
  <si>
    <t>Humedales a tierras forestales (hectáreas)</t>
  </si>
  <si>
    <t>Tieras de culvito a tierras forestales (hectáreas)</t>
  </si>
  <si>
    <t>Pastizales a tierras forestales (hectáreas)</t>
  </si>
  <si>
    <t>3. Taita_Imbabura</t>
  </si>
  <si>
    <t>6.WWF_Proyecto_Selva</t>
  </si>
  <si>
    <t xml:space="preserve"> 1.PNRP</t>
  </si>
  <si>
    <t>4.Bosques_protectores</t>
  </si>
  <si>
    <t xml:space="preserve"> 5.Socio_Bosque</t>
  </si>
  <si>
    <t>Información iniciativas</t>
  </si>
  <si>
    <t>Total bosque sin proteger</t>
  </si>
  <si>
    <t>PLANMICC</t>
  </si>
  <si>
    <t>Potencial de mitigación total (miles de Ton CO2eq)</t>
  </si>
  <si>
    <t>Emisiones acumuladas por deforestación evitada (miles de Ton CO2eq)</t>
  </si>
  <si>
    <t>Emisiones acumuladas por absorción de carbono (miles de Ton CO2eq)</t>
  </si>
  <si>
    <t xml:space="preserve">Tasa de deforestación </t>
  </si>
  <si>
    <t>Tasa de deforestación Bosque Siempre Verde Andino de Ceja Andina</t>
  </si>
  <si>
    <t>Tasa de deforestación Siempre Verde Andino Montano</t>
  </si>
  <si>
    <t>Deforestación evitada en 10 años 173 ha según información de iniciativas</t>
  </si>
  <si>
    <t>Deforestación evitada en 10 años 80 ha según información de iniciativas</t>
  </si>
  <si>
    <t>Deforestación evitada en 10 años 102 ha según información de iniciativas</t>
  </si>
  <si>
    <t>Información de iniciativas</t>
  </si>
  <si>
    <t>Efecto: Absorción de carbono por restauración forestal</t>
  </si>
  <si>
    <t>Tasa de deforestación Bosque Siempre Verde de Tierras Bajas de la Amazonía</t>
  </si>
  <si>
    <t>Tasa de deforestación Moretales</t>
  </si>
  <si>
    <t>Tasa de deforestación Bosque Siempre Verde Andino Pie Montano</t>
  </si>
  <si>
    <t>Tasa de deforestación Bosque Siempre Verde de Tierras Bajas del Chocó</t>
  </si>
  <si>
    <t>Tasa de deforestación Bosque Siempre Verde Andino Montano</t>
  </si>
  <si>
    <t>Tasa de deforestación</t>
  </si>
  <si>
    <t>Área deforestada (miles de hectáreas)</t>
  </si>
  <si>
    <t>Tasas de deforestación</t>
  </si>
  <si>
    <t>Coberturas (hectáreas)</t>
  </si>
  <si>
    <r>
      <t>POTENCIAL DE MITIGACIÓN MEDIDAS (GgCO</t>
    </r>
    <r>
      <rPr>
        <b/>
        <vertAlign val="subscript"/>
        <sz val="11"/>
        <color theme="1"/>
        <rFont val="Aptos Narrow"/>
        <family val="2"/>
        <scheme val="minor"/>
      </rPr>
      <t>2-eq</t>
    </r>
    <r>
      <rPr>
        <b/>
        <sz val="11"/>
        <color theme="1"/>
        <rFont val="Aptos Narrow"/>
        <family val="2"/>
        <scheme val="minor"/>
      </rPr>
      <t>)
2026-2036</t>
    </r>
  </si>
  <si>
    <r>
      <rPr>
        <b/>
        <sz val="11"/>
        <color theme="1"/>
        <rFont val="Aptos Narrow"/>
        <family val="2"/>
        <scheme val="minor"/>
      </rPr>
      <t>Nota importante</t>
    </r>
    <r>
      <rPr>
        <sz val="11"/>
        <color theme="1"/>
        <rFont val="Aptos Narrow"/>
        <family val="2"/>
        <scheme val="minor"/>
      </rPr>
      <t xml:space="preserve"> 
Se calcula una tasa de deforestación en base al promedio ponderado de deforestación alta, media y baja aplicado a los tipos de bosque según método de cálculo de la información de iniciativas</t>
    </r>
  </si>
  <si>
    <r>
      <rPr>
        <b/>
        <sz val="11"/>
        <color theme="1"/>
        <rFont val="Aptos Narrow"/>
        <family val="2"/>
        <scheme val="minor"/>
      </rPr>
      <t xml:space="preserve">Nota importante </t>
    </r>
    <r>
      <rPr>
        <sz val="11"/>
        <color theme="1"/>
        <rFont val="Aptos Narrow"/>
        <family val="2"/>
        <scheme val="minor"/>
      </rPr>
      <t xml:space="preserve">
El área deforestada es constante ya que en este caso no se aplica la fórmula de deforestación acumulada que sí se aplica en otras medidas siguiendo el método de cálculo de la información de iniciativas</t>
    </r>
  </si>
  <si>
    <t>Brindado en iniciativas</t>
  </si>
  <si>
    <t>CATEGORIAS</t>
  </si>
  <si>
    <t>OPCION</t>
  </si>
  <si>
    <t>CONSTANTE</t>
  </si>
  <si>
    <t>PROMEDIO</t>
  </si>
  <si>
    <t>FUTURE YEARS</t>
  </si>
  <si>
    <t>INGEI</t>
  </si>
  <si>
    <t>Efecto: Absorción de carbono por restauración de manglares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</si>
</sst>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_-* #,##0.00_-;\-* #,##0.00_-;_-* &quot;-&quot;??_-;_-@_-"/>
    <numFmt numFmtId="165" formatCode="0.000"/>
    <numFmt numFmtId="166" formatCode="0.0%"/>
    <numFmt numFmtId="167" formatCode="#,##0.0"/>
    <numFmt numFmtId="168" formatCode="#,##0.000"/>
    <numFmt numFmtId="169" formatCode="0.000%"/>
    <numFmt numFmtId="170" formatCode="0.0000%"/>
    <numFmt numFmtId="171" formatCode="0.0000"/>
    <numFmt numFmtId="172" formatCode="0.000000"/>
    <numFmt numFmtId="173" formatCode="0.0000000"/>
    <numFmt numFmtId="174" formatCode="0.0"/>
    <numFmt numFmtId="175" formatCode="0.00000000"/>
    <numFmt numFmtId="176" formatCode="#,##0.0000"/>
    <numFmt numFmtId="177" formatCode="#,##0.00000"/>
    <numFmt numFmtId="178" formatCode="0.00000%"/>
    <numFmt numFmtId="179" formatCode="#,##0.000000"/>
    <numFmt numFmtId="180" formatCode="#,##0.00000000"/>
    <numFmt numFmtId="181" formatCode="#,##0.000000000"/>
    <numFmt numFmtId="182" formatCode="#,##0.0000000000"/>
    <numFmt numFmtId="183" formatCode="0.000000000"/>
  </numFmts>
  <fonts count="49" x14ac:knownFonts="1">
    <font>
      <sz val="11"/>
      <color theme="1"/>
      <name val="Aptos Narrow"/>
      <family val="2"/>
      <scheme val="minor"/>
    </font>
    <font>
      <sz val="11"/>
      <color theme="1"/>
      <name val="Aptos Narrow"/>
      <family val="2"/>
      <scheme val="minor"/>
    </font>
    <font>
      <b/>
      <sz val="11"/>
      <color theme="1"/>
      <name val="Aptos Narrow"/>
      <family val="2"/>
      <scheme val="minor"/>
    </font>
    <font>
      <b/>
      <sz val="8"/>
      <color theme="0"/>
      <name val="Calibri"/>
      <family val="2"/>
    </font>
    <font>
      <sz val="10"/>
      <name val="Arial"/>
      <family val="2"/>
    </font>
    <font>
      <sz val="8"/>
      <name val="Calibri"/>
      <family val="2"/>
    </font>
    <font>
      <sz val="10"/>
      <name val="Calibri"/>
      <family val="2"/>
    </font>
    <font>
      <sz val="10"/>
      <color theme="0"/>
      <name val="Calibri"/>
      <family val="2"/>
    </font>
    <font>
      <vertAlign val="subscript"/>
      <sz val="10"/>
      <color theme="0"/>
      <name val="Calibri"/>
      <family val="2"/>
    </font>
    <font>
      <b/>
      <sz val="10"/>
      <name val="Calibri"/>
      <family val="2"/>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sz val="11"/>
      <color theme="0"/>
      <name val="Aptos Narrow"/>
      <family val="2"/>
      <scheme val="minor"/>
    </font>
    <font>
      <sz val="11"/>
      <color theme="1"/>
      <name val="Arial"/>
      <family val="2"/>
    </font>
    <font>
      <u/>
      <sz val="11"/>
      <color theme="10"/>
      <name val="Arial"/>
      <family val="2"/>
    </font>
    <font>
      <sz val="10"/>
      <color rgb="FF000000"/>
      <name val="Aptos Narrow"/>
      <family val="2"/>
      <scheme val="minor"/>
    </font>
    <font>
      <u/>
      <sz val="10"/>
      <color theme="10"/>
      <name val="Arial"/>
      <family val="2"/>
    </font>
    <font>
      <sz val="10"/>
      <color theme="1"/>
      <name val="Calibri"/>
      <family val="2"/>
    </font>
    <font>
      <sz val="8"/>
      <name val="Calibri"/>
      <family val="2"/>
    </font>
    <font>
      <b/>
      <u/>
      <sz val="11"/>
      <color theme="1"/>
      <name val="Aptos Narrow"/>
      <family val="2"/>
      <scheme val="minor"/>
    </font>
    <font>
      <u/>
      <sz val="11"/>
      <color theme="1"/>
      <name val="Aptos Narrow"/>
      <family val="2"/>
      <scheme val="minor"/>
    </font>
    <font>
      <b/>
      <vertAlign val="subscript"/>
      <sz val="11"/>
      <color theme="1"/>
      <name val="Aptos Narrow"/>
      <family val="2"/>
      <scheme val="minor"/>
    </font>
    <font>
      <b/>
      <i/>
      <u/>
      <sz val="11"/>
      <color theme="1"/>
      <name val="Aptos Narrow"/>
      <family val="2"/>
      <scheme val="minor"/>
    </font>
    <font>
      <sz val="11"/>
      <name val="Aptos Narrow"/>
      <family val="2"/>
    </font>
    <font>
      <sz val="11"/>
      <color theme="1"/>
      <name val="Aptos Narrow"/>
      <family val="2"/>
    </font>
    <font>
      <b/>
      <sz val="11"/>
      <color theme="1"/>
      <name val="Aptos Narrow"/>
      <family val="2"/>
    </font>
    <font>
      <b/>
      <sz val="11"/>
      <name val="Aptos Narrow"/>
      <family val="2"/>
    </font>
    <font>
      <sz val="11"/>
      <name val="Aptos Narrow"/>
      <family val="2"/>
      <scheme val="minor"/>
    </font>
    <font>
      <b/>
      <sz val="11"/>
      <name val="Aptos Narrow"/>
      <family val="2"/>
      <scheme val="minor"/>
    </font>
    <font>
      <sz val="11"/>
      <color rgb="FF000000"/>
      <name val="Calibri"/>
      <family val="2"/>
    </font>
    <font>
      <b/>
      <sz val="11"/>
      <color rgb="FFFF0000"/>
      <name val="Aptos Narrow"/>
      <family val="2"/>
      <scheme val="minor"/>
    </font>
    <font>
      <b/>
      <sz val="11"/>
      <color rgb="FFFF0000"/>
      <name val="Calibri"/>
      <family val="2"/>
    </font>
    <font>
      <b/>
      <sz val="11"/>
      <name val="Calibri"/>
      <family val="2"/>
    </font>
    <font>
      <sz val="8"/>
      <name val="Aptos Narrow"/>
      <family val="2"/>
      <scheme val="minor"/>
    </font>
    <font>
      <sz val="8"/>
      <color theme="0"/>
      <name val="Calibri"/>
      <family val="2"/>
    </font>
    <font>
      <sz val="9"/>
      <color indexed="81"/>
      <name val="Tahoma"/>
      <family val="2"/>
    </font>
    <font>
      <b/>
      <sz val="9"/>
      <color indexed="81"/>
      <name val="Tahoma"/>
      <family val="2"/>
    </font>
  </fonts>
  <fills count="53">
    <fill>
      <patternFill patternType="none"/>
    </fill>
    <fill>
      <patternFill patternType="gray125"/>
    </fill>
    <fill>
      <patternFill patternType="solid">
        <fgColor rgb="FF4E81BD"/>
        <bgColor indexed="64"/>
      </patternFill>
    </fill>
    <fill>
      <patternFill patternType="solid">
        <fgColor theme="0"/>
        <bgColor indexed="64"/>
      </patternFill>
    </fill>
    <fill>
      <patternFill patternType="solid">
        <fgColor theme="9" tint="0.79998168889431442"/>
        <bgColor indexed="64"/>
      </patternFill>
    </fill>
    <fill>
      <patternFill patternType="solid">
        <fgColor theme="3" tint="0.74999237037263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
      <patternFill patternType="solid">
        <fgColor theme="1"/>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rgb="FF00B050"/>
        <bgColor indexed="64"/>
      </patternFill>
    </fill>
    <fill>
      <patternFill patternType="solid">
        <fgColor theme="5"/>
        <bgColor indexed="64"/>
      </patternFill>
    </fill>
    <fill>
      <patternFill patternType="solid">
        <fgColor theme="5" tint="-0.499984740745262"/>
        <bgColor indexed="64"/>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rgb="FFEFEC81"/>
        <bgColor indexed="64"/>
      </patternFill>
    </fill>
    <fill>
      <patternFill patternType="solid">
        <fgColor theme="5" tint="0.79998168889431442"/>
        <bgColor indexed="64"/>
      </patternFill>
    </fill>
    <fill>
      <patternFill patternType="solid">
        <fgColor theme="9" tint="-0.499984740745262"/>
        <bgColor indexed="64"/>
      </patternFill>
    </fill>
    <fill>
      <patternFill patternType="solid">
        <fgColor theme="0" tint="-0.14999847407452621"/>
        <bgColor indexed="64"/>
      </patternFill>
    </fill>
    <fill>
      <patternFill patternType="solid">
        <fgColor theme="9" tint="-0.499984740745262"/>
        <bgColor theme="4" tint="0.79998168889431442"/>
      </patternFill>
    </fill>
  </fills>
  <borders count="57">
    <border>
      <left/>
      <right/>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theme="2" tint="-0.249977111117893"/>
      </left>
      <right/>
      <top/>
      <bottom style="thin">
        <color theme="2" tint="-0.249977111117893"/>
      </bottom>
      <diagonal/>
    </border>
    <border>
      <left/>
      <right/>
      <top/>
      <bottom style="thin">
        <color theme="2" tint="-0.249977111117893"/>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thin">
        <color theme="2" tint="-0.249977111117893"/>
      </right>
      <top style="medium">
        <color indexed="64"/>
      </top>
      <bottom style="medium">
        <color indexed="64"/>
      </bottom>
      <diagonal/>
    </border>
    <border>
      <left style="medium">
        <color indexed="64"/>
      </left>
      <right/>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right/>
      <top/>
      <bottom style="thin">
        <color auto="1"/>
      </bottom>
      <diagonal/>
    </border>
    <border>
      <left/>
      <right/>
      <top style="thin">
        <color auto="1"/>
      </top>
      <bottom/>
      <diagonal/>
    </border>
    <border>
      <left/>
      <right/>
      <top/>
      <bottom style="thin">
        <color theme="4" tint="0.39997558519241921"/>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thin">
        <color theme="2" tint="-0.249977111117893"/>
      </top>
      <bottom/>
      <diagonal/>
    </border>
    <border>
      <left style="thin">
        <color indexed="64"/>
      </left>
      <right style="thin">
        <color indexed="64"/>
      </right>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72">
    <xf numFmtId="0" fontId="0" fillId="0" borderId="0"/>
    <xf numFmtId="0" fontId="1" fillId="0" borderId="0"/>
    <xf numFmtId="0" fontId="4" fillId="0" borderId="0"/>
    <xf numFmtId="0" fontId="1" fillId="0" borderId="0"/>
    <xf numFmtId="9" fontId="1" fillId="0" borderId="0" applyFont="0" applyFill="0" applyBorder="0" applyAlignment="0" applyProtection="0"/>
    <xf numFmtId="0" fontId="10" fillId="0" borderId="0" applyNumberFormat="0" applyFill="0" applyBorder="0" applyAlignment="0" applyProtection="0"/>
    <xf numFmtId="0" fontId="11" fillId="0" borderId="25" applyNumberFormat="0" applyFill="0" applyAlignment="0" applyProtection="0"/>
    <xf numFmtId="0" fontId="12" fillId="0" borderId="26" applyNumberFormat="0" applyFill="0" applyAlignment="0" applyProtection="0"/>
    <xf numFmtId="0" fontId="13" fillId="0" borderId="27" applyNumberFormat="0" applyFill="0" applyAlignment="0" applyProtection="0"/>
    <xf numFmtId="0" fontId="13" fillId="0" borderId="0" applyNumberFormat="0" applyFill="0" applyBorder="0" applyAlignment="0" applyProtection="0"/>
    <xf numFmtId="0" fontId="14" fillId="6" borderId="0" applyNumberFormat="0" applyBorder="0" applyAlignment="0" applyProtection="0"/>
    <xf numFmtId="0" fontId="15" fillId="7" borderId="0" applyNumberFormat="0" applyBorder="0" applyAlignment="0" applyProtection="0"/>
    <xf numFmtId="0" fontId="16" fillId="8" borderId="0" applyNumberFormat="0" applyBorder="0" applyAlignment="0" applyProtection="0"/>
    <xf numFmtId="0" fontId="17" fillId="9" borderId="28" applyNumberFormat="0" applyAlignment="0" applyProtection="0"/>
    <xf numFmtId="0" fontId="18" fillId="10" borderId="29" applyNumberFormat="0" applyAlignment="0" applyProtection="0"/>
    <xf numFmtId="0" fontId="19" fillId="10" borderId="28" applyNumberFormat="0" applyAlignment="0" applyProtection="0"/>
    <xf numFmtId="0" fontId="20" fillId="0" borderId="30" applyNumberFormat="0" applyFill="0" applyAlignment="0" applyProtection="0"/>
    <xf numFmtId="0" fontId="21" fillId="11" borderId="31" applyNumberFormat="0" applyAlignment="0" applyProtection="0"/>
    <xf numFmtId="0" fontId="22" fillId="0" borderId="0" applyNumberFormat="0" applyFill="0" applyBorder="0" applyAlignment="0" applyProtection="0"/>
    <xf numFmtId="0" fontId="1" fillId="12" borderId="32" applyNumberFormat="0" applyFont="0" applyAlignment="0" applyProtection="0"/>
    <xf numFmtId="0" fontId="23" fillId="0" borderId="0" applyNumberFormat="0" applyFill="0" applyBorder="0" applyAlignment="0" applyProtection="0"/>
    <xf numFmtId="0" fontId="2" fillId="0" borderId="33" applyNumberFormat="0" applyFill="0" applyAlignment="0" applyProtection="0"/>
    <xf numFmtId="0" fontId="24"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24"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24"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4"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4"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4"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164" fontId="1" fillId="0" borderId="0" applyFont="0" applyFill="0" applyBorder="0" applyAlignment="0" applyProtection="0"/>
    <xf numFmtId="0" fontId="25" fillId="0" borderId="0"/>
    <xf numFmtId="164" fontId="1" fillId="0" borderId="0" applyFont="0" applyFill="0" applyBorder="0" applyAlignment="0" applyProtection="0"/>
    <xf numFmtId="0" fontId="1" fillId="0" borderId="0"/>
    <xf numFmtId="0" fontId="26" fillId="0" borderId="0" applyNumberFormat="0" applyFill="0" applyBorder="0" applyAlignment="0" applyProtection="0"/>
    <xf numFmtId="9" fontId="25" fillId="0" borderId="0" applyFont="0" applyFill="0" applyBorder="0" applyAlignment="0" applyProtection="0"/>
    <xf numFmtId="0" fontId="1" fillId="0" borderId="0"/>
    <xf numFmtId="0" fontId="28" fillId="0" borderId="0" applyNumberFormat="0" applyFill="0" applyBorder="0" applyAlignment="0" applyProtection="0"/>
    <xf numFmtId="0" fontId="4" fillId="0" borderId="0"/>
    <xf numFmtId="0" fontId="4" fillId="0" borderId="0"/>
    <xf numFmtId="164" fontId="4" fillId="0" borderId="0" applyFont="0" applyFill="0" applyBorder="0" applyAlignment="0" applyProtection="0"/>
    <xf numFmtId="0" fontId="28" fillId="0" borderId="0" applyNumberFormat="0" applyFill="0" applyBorder="0" applyAlignment="0" applyProtection="0"/>
    <xf numFmtId="0" fontId="27" fillId="0" borderId="0"/>
    <xf numFmtId="0" fontId="25" fillId="0" borderId="0"/>
    <xf numFmtId="0" fontId="1" fillId="0" borderId="0"/>
    <xf numFmtId="0" fontId="26" fillId="0" borderId="0" applyNumberFormat="0" applyFill="0" applyBorder="0" applyAlignment="0" applyProtection="0"/>
    <xf numFmtId="0" fontId="25" fillId="0" borderId="0"/>
    <xf numFmtId="0" fontId="1" fillId="0" borderId="0"/>
    <xf numFmtId="0" fontId="26" fillId="0" borderId="0" applyNumberFormat="0" applyFill="0" applyBorder="0" applyAlignment="0" applyProtection="0"/>
    <xf numFmtId="0" fontId="25" fillId="0" borderId="0"/>
    <xf numFmtId="0" fontId="4" fillId="0" borderId="0"/>
    <xf numFmtId="0" fontId="27" fillId="0" borderId="0"/>
    <xf numFmtId="0" fontId="1" fillId="0" borderId="0"/>
    <xf numFmtId="0" fontId="26" fillId="0" borderId="0" applyNumberFormat="0" applyFill="0" applyBorder="0" applyAlignment="0" applyProtection="0"/>
    <xf numFmtId="0" fontId="25" fillId="0" borderId="0"/>
    <xf numFmtId="0" fontId="4" fillId="0" borderId="0"/>
  </cellStyleXfs>
  <cellXfs count="506">
    <xf numFmtId="0" fontId="0" fillId="0" borderId="0" xfId="0"/>
    <xf numFmtId="0" fontId="5" fillId="4" borderId="5" xfId="1" applyFont="1" applyFill="1" applyBorder="1" applyAlignment="1">
      <alignment horizontal="center" vertical="center" wrapText="1"/>
    </xf>
    <xf numFmtId="164" fontId="5" fillId="4" borderId="5" xfId="1" applyNumberFormat="1" applyFont="1" applyFill="1" applyBorder="1" applyAlignment="1">
      <alignment vertical="center" wrapText="1"/>
    </xf>
    <xf numFmtId="0" fontId="5" fillId="4" borderId="3" xfId="1" applyFont="1" applyFill="1" applyBorder="1" applyAlignment="1">
      <alignment horizontal="center" vertical="center" wrapText="1"/>
    </xf>
    <xf numFmtId="164" fontId="5" fillId="4" borderId="3" xfId="1" applyNumberFormat="1" applyFont="1" applyFill="1" applyBorder="1" applyAlignment="1">
      <alignment vertical="center" wrapText="1"/>
    </xf>
    <xf numFmtId="0" fontId="5" fillId="4" borderId="7" xfId="1" applyFont="1" applyFill="1" applyBorder="1" applyAlignment="1">
      <alignment horizontal="left" vertical="center"/>
    </xf>
    <xf numFmtId="0" fontId="5" fillId="4" borderId="7" xfId="2" applyFont="1" applyFill="1" applyBorder="1" applyAlignment="1">
      <alignment horizontal="left" vertical="center" wrapText="1"/>
    </xf>
    <xf numFmtId="0" fontId="6" fillId="3" borderId="1" xfId="0" applyFont="1" applyFill="1" applyBorder="1" applyAlignment="1">
      <alignment vertical="center"/>
    </xf>
    <xf numFmtId="0" fontId="9" fillId="5" borderId="1" xfId="0" applyFont="1" applyFill="1" applyBorder="1" applyAlignment="1">
      <alignment vertical="center"/>
    </xf>
    <xf numFmtId="0" fontId="6" fillId="5" borderId="1" xfId="0" applyFont="1" applyFill="1" applyBorder="1" applyAlignment="1">
      <alignment horizontal="center" vertical="center" wrapText="1"/>
    </xf>
    <xf numFmtId="0" fontId="6" fillId="5" borderId="1" xfId="0" applyFont="1" applyFill="1" applyBorder="1" applyAlignment="1">
      <alignment horizontal="center" vertical="center"/>
    </xf>
    <xf numFmtId="0" fontId="2" fillId="0" borderId="0" xfId="0" applyFont="1"/>
    <xf numFmtId="0" fontId="2" fillId="0" borderId="0" xfId="0" applyFont="1" applyAlignment="1">
      <alignment horizontal="center"/>
    </xf>
    <xf numFmtId="0" fontId="0" fillId="0" borderId="4" xfId="0" applyBorder="1" applyAlignment="1">
      <alignment horizontal="center" vertical="center" wrapText="1"/>
    </xf>
    <xf numFmtId="0" fontId="0" fillId="0" borderId="7" xfId="0" applyBorder="1" applyAlignment="1">
      <alignment horizontal="center" vertical="center" wrapText="1"/>
    </xf>
    <xf numFmtId="0" fontId="0" fillId="0" borderId="9" xfId="0" applyBorder="1" applyAlignment="1">
      <alignment horizontal="center" vertical="center" wrapText="1"/>
    </xf>
    <xf numFmtId="0" fontId="0" fillId="0" borderId="6" xfId="0" applyBorder="1"/>
    <xf numFmtId="0" fontId="0" fillId="0" borderId="8" xfId="0" applyBorder="1"/>
    <xf numFmtId="0" fontId="7" fillId="2" borderId="1" xfId="0" applyFont="1" applyFill="1" applyBorder="1" applyAlignment="1">
      <alignment vertical="center"/>
    </xf>
    <xf numFmtId="0" fontId="6" fillId="3" borderId="2" xfId="0" applyFont="1" applyFill="1" applyBorder="1" applyAlignment="1">
      <alignment vertical="center"/>
    </xf>
    <xf numFmtId="0" fontId="2" fillId="5" borderId="18" xfId="0" applyFont="1" applyFill="1" applyBorder="1" applyAlignment="1">
      <alignment horizontal="center"/>
    </xf>
    <xf numFmtId="0" fontId="2" fillId="5" borderId="19" xfId="0" applyFont="1" applyFill="1" applyBorder="1" applyAlignment="1">
      <alignment horizontal="center"/>
    </xf>
    <xf numFmtId="0" fontId="9" fillId="5" borderId="34" xfId="0" applyFont="1" applyFill="1" applyBorder="1" applyAlignment="1">
      <alignment horizontal="center" vertical="center"/>
    </xf>
    <xf numFmtId="0" fontId="6" fillId="37" borderId="1" xfId="0" applyFont="1" applyFill="1" applyBorder="1" applyAlignment="1">
      <alignment vertical="center"/>
    </xf>
    <xf numFmtId="166" fontId="6" fillId="3" borderId="1" xfId="4" applyNumberFormat="1" applyFont="1" applyFill="1" applyBorder="1" applyAlignment="1">
      <alignment horizontal="center" vertical="center"/>
    </xf>
    <xf numFmtId="166" fontId="6" fillId="37" borderId="1" xfId="4" applyNumberFormat="1" applyFont="1" applyFill="1" applyBorder="1" applyAlignment="1">
      <alignment horizontal="center" vertical="center"/>
    </xf>
    <xf numFmtId="166" fontId="6" fillId="3" borderId="2" xfId="4" applyNumberFormat="1" applyFont="1" applyFill="1" applyBorder="1" applyAlignment="1">
      <alignment horizontal="center" vertical="center"/>
    </xf>
    <xf numFmtId="167" fontId="6" fillId="3" borderId="1" xfId="0" applyNumberFormat="1" applyFont="1" applyFill="1" applyBorder="1" applyAlignment="1">
      <alignment horizontal="center" vertical="center"/>
    </xf>
    <xf numFmtId="167" fontId="6" fillId="37" borderId="1" xfId="0" applyNumberFormat="1" applyFont="1" applyFill="1" applyBorder="1" applyAlignment="1">
      <alignment horizontal="center" vertical="center"/>
    </xf>
    <xf numFmtId="167" fontId="6" fillId="3" borderId="2" xfId="0" applyNumberFormat="1" applyFont="1" applyFill="1" applyBorder="1" applyAlignment="1">
      <alignment horizontal="center" vertical="center"/>
    </xf>
    <xf numFmtId="166" fontId="29" fillId="37" borderId="1" xfId="4" applyNumberFormat="1" applyFont="1" applyFill="1" applyBorder="1" applyAlignment="1">
      <alignment horizontal="center" vertical="center"/>
    </xf>
    <xf numFmtId="166" fontId="2" fillId="5" borderId="18" xfId="4" applyNumberFormat="1" applyFont="1" applyFill="1" applyBorder="1" applyAlignment="1">
      <alignment horizontal="center"/>
    </xf>
    <xf numFmtId="166" fontId="2" fillId="5" borderId="19" xfId="4" applyNumberFormat="1" applyFont="1" applyFill="1" applyBorder="1" applyAlignment="1">
      <alignment horizontal="center"/>
    </xf>
    <xf numFmtId="166" fontId="29" fillId="3" borderId="1" xfId="4" applyNumberFormat="1" applyFont="1" applyFill="1" applyBorder="1" applyAlignment="1">
      <alignment horizontal="center" vertical="center"/>
    </xf>
    <xf numFmtId="166" fontId="29" fillId="3" borderId="2" xfId="4" applyNumberFormat="1" applyFont="1" applyFill="1" applyBorder="1" applyAlignment="1">
      <alignment horizontal="center" vertical="center"/>
    </xf>
    <xf numFmtId="164" fontId="30" fillId="4" borderId="5" xfId="1" applyNumberFormat="1" applyFont="1" applyFill="1" applyBorder="1" applyAlignment="1">
      <alignment vertical="center" wrapText="1"/>
    </xf>
    <xf numFmtId="164" fontId="30" fillId="4" borderId="3" xfId="1" applyNumberFormat="1" applyFont="1" applyFill="1" applyBorder="1" applyAlignment="1">
      <alignment vertical="center" wrapText="1"/>
    </xf>
    <xf numFmtId="169" fontId="0" fillId="0" borderId="0" xfId="4" applyNumberFormat="1" applyFont="1"/>
    <xf numFmtId="169" fontId="0" fillId="0" borderId="0" xfId="0" applyNumberFormat="1"/>
    <xf numFmtId="170" fontId="0" fillId="0" borderId="0" xfId="0" applyNumberFormat="1"/>
    <xf numFmtId="0" fontId="31" fillId="0" borderId="38" xfId="0" applyFont="1" applyBorder="1" applyAlignment="1">
      <alignment horizontal="center" vertical="center"/>
    </xf>
    <xf numFmtId="0" fontId="32" fillId="0" borderId="24" xfId="0" applyFont="1" applyBorder="1" applyAlignment="1">
      <alignment horizontal="center" vertical="center"/>
    </xf>
    <xf numFmtId="0" fontId="32" fillId="0" borderId="24" xfId="0" applyFont="1" applyBorder="1" applyAlignment="1">
      <alignment horizontal="center" vertical="center" wrapText="1"/>
    </xf>
    <xf numFmtId="0" fontId="31" fillId="0" borderId="24" xfId="0" applyFont="1" applyBorder="1" applyAlignment="1">
      <alignment horizontal="center" vertical="center" wrapText="1"/>
    </xf>
    <xf numFmtId="0" fontId="0" fillId="0" borderId="11" xfId="0" applyBorder="1"/>
    <xf numFmtId="0" fontId="0" fillId="0" borderId="37" xfId="0" applyBorder="1" applyAlignment="1">
      <alignment horizontal="center" vertical="center"/>
    </xf>
    <xf numFmtId="0" fontId="0" fillId="0" borderId="36" xfId="0" applyBorder="1"/>
    <xf numFmtId="0" fontId="0" fillId="0" borderId="7" xfId="0" applyBorder="1" applyAlignment="1">
      <alignment horizontal="center" vertical="center"/>
    </xf>
    <xf numFmtId="0" fontId="0" fillId="38" borderId="0" xfId="0" applyFill="1"/>
    <xf numFmtId="0" fontId="34" fillId="0" borderId="0" xfId="0" applyFont="1"/>
    <xf numFmtId="0" fontId="0" fillId="39" borderId="0" xfId="0" applyFill="1"/>
    <xf numFmtId="0" fontId="0" fillId="40" borderId="0" xfId="0" applyFill="1"/>
    <xf numFmtId="0" fontId="0" fillId="4" borderId="0" xfId="0" applyFill="1"/>
    <xf numFmtId="2" fontId="0" fillId="4" borderId="0" xfId="0" applyNumberFormat="1" applyFill="1"/>
    <xf numFmtId="0" fontId="24" fillId="41" borderId="0" xfId="0" applyFont="1" applyFill="1"/>
    <xf numFmtId="0" fontId="0" fillId="41" borderId="0" xfId="0" applyFill="1"/>
    <xf numFmtId="2" fontId="24" fillId="41" borderId="0" xfId="0" applyNumberFormat="1" applyFont="1" applyFill="1"/>
    <xf numFmtId="2" fontId="0" fillId="40" borderId="0" xfId="0" applyNumberFormat="1" applyFill="1"/>
    <xf numFmtId="2" fontId="0" fillId="39" borderId="0" xfId="0" applyNumberFormat="1" applyFill="1"/>
    <xf numFmtId="0" fontId="0" fillId="42" borderId="0" xfId="0" applyFill="1"/>
    <xf numFmtId="0" fontId="24" fillId="43" borderId="39" xfId="0" applyFont="1" applyFill="1" applyBorder="1"/>
    <xf numFmtId="0" fontId="0" fillId="42" borderId="40" xfId="0" applyFill="1" applyBorder="1"/>
    <xf numFmtId="0" fontId="0" fillId="39" borderId="39" xfId="0" applyFill="1" applyBorder="1"/>
    <xf numFmtId="0" fontId="2" fillId="44" borderId="41" xfId="0" applyFont="1" applyFill="1" applyBorder="1"/>
    <xf numFmtId="3" fontId="0" fillId="0" borderId="0" xfId="0" applyNumberFormat="1"/>
    <xf numFmtId="3" fontId="0" fillId="4" borderId="0" xfId="0" applyNumberFormat="1" applyFill="1"/>
    <xf numFmtId="0" fontId="0" fillId="45" borderId="0" xfId="0" applyFill="1"/>
    <xf numFmtId="3" fontId="0" fillId="45" borderId="0" xfId="0" applyNumberFormat="1" applyFill="1"/>
    <xf numFmtId="166" fontId="0" fillId="45" borderId="0" xfId="4" applyNumberFormat="1" applyFont="1" applyFill="1"/>
    <xf numFmtId="10" fontId="0" fillId="45" borderId="0" xfId="4" applyNumberFormat="1" applyFont="1" applyFill="1"/>
    <xf numFmtId="0" fontId="0" fillId="0" borderId="0" xfId="0" applyAlignment="1">
      <alignment wrapText="1"/>
    </xf>
    <xf numFmtId="165" fontId="0" fillId="0" borderId="0" xfId="0" applyNumberFormat="1" applyAlignment="1">
      <alignment horizontal="center" vertical="center"/>
    </xf>
    <xf numFmtId="3" fontId="2" fillId="4" borderId="23" xfId="0" applyNumberFormat="1" applyFont="1" applyFill="1" applyBorder="1" applyAlignment="1">
      <alignment horizontal="center"/>
    </xf>
    <xf numFmtId="3" fontId="2" fillId="4" borderId="24" xfId="0" applyNumberFormat="1" applyFont="1" applyFill="1" applyBorder="1" applyAlignment="1">
      <alignment horizontal="center"/>
    </xf>
    <xf numFmtId="0" fontId="2" fillId="4" borderId="0" xfId="0" applyFont="1" applyFill="1" applyAlignment="1">
      <alignment horizontal="center"/>
    </xf>
    <xf numFmtId="0" fontId="0" fillId="0" borderId="0" xfId="0" applyAlignment="1">
      <alignment horizontal="center" vertical="center" wrapText="1"/>
    </xf>
    <xf numFmtId="0" fontId="0" fillId="4" borderId="21" xfId="0" applyFill="1" applyBorder="1"/>
    <xf numFmtId="0" fontId="0" fillId="4" borderId="22" xfId="0" applyFill="1" applyBorder="1"/>
    <xf numFmtId="0" fontId="0" fillId="4" borderId="7" xfId="0" applyFill="1" applyBorder="1" applyAlignment="1">
      <alignment horizontal="center" vertical="center" wrapText="1"/>
    </xf>
    <xf numFmtId="3" fontId="0" fillId="4" borderId="3" xfId="0" applyNumberFormat="1" applyFill="1" applyBorder="1" applyAlignment="1">
      <alignment horizontal="center"/>
    </xf>
    <xf numFmtId="3" fontId="0" fillId="4" borderId="8" xfId="0" applyNumberFormat="1" applyFill="1" applyBorder="1" applyAlignment="1">
      <alignment horizontal="center"/>
    </xf>
    <xf numFmtId="0" fontId="0" fillId="4" borderId="46" xfId="0" applyFill="1" applyBorder="1"/>
    <xf numFmtId="0" fontId="0" fillId="46" borderId="20" xfId="0" applyFill="1" applyBorder="1"/>
    <xf numFmtId="0" fontId="0" fillId="46" borderId="21" xfId="0" applyFill="1" applyBorder="1"/>
    <xf numFmtId="0" fontId="0" fillId="46" borderId="22" xfId="0" applyFill="1" applyBorder="1"/>
    <xf numFmtId="0" fontId="0" fillId="46" borderId="35" xfId="0" applyFill="1" applyBorder="1"/>
    <xf numFmtId="0" fontId="0" fillId="46" borderId="47" xfId="0" applyFill="1" applyBorder="1"/>
    <xf numFmtId="0" fontId="0" fillId="46" borderId="48" xfId="0" applyFill="1" applyBorder="1"/>
    <xf numFmtId="0" fontId="2" fillId="4" borderId="45" xfId="0" applyFont="1" applyFill="1" applyBorder="1" applyAlignment="1">
      <alignment horizontal="center"/>
    </xf>
    <xf numFmtId="0" fontId="0" fillId="4" borderId="4" xfId="0" applyFill="1" applyBorder="1" applyAlignment="1">
      <alignment horizontal="center" vertical="center" wrapText="1"/>
    </xf>
    <xf numFmtId="3" fontId="0" fillId="4" borderId="5" xfId="0" applyNumberFormat="1" applyFill="1" applyBorder="1" applyAlignment="1">
      <alignment horizontal="center"/>
    </xf>
    <xf numFmtId="0" fontId="2" fillId="4" borderId="9" xfId="0" applyFont="1" applyFill="1" applyBorder="1" applyAlignment="1">
      <alignment horizontal="center" vertical="center" wrapText="1"/>
    </xf>
    <xf numFmtId="0" fontId="0" fillId="4" borderId="12" xfId="0" applyFill="1" applyBorder="1" applyAlignment="1">
      <alignment horizontal="center" vertical="center" wrapText="1"/>
    </xf>
    <xf numFmtId="3" fontId="0" fillId="4" borderId="13" xfId="0" applyNumberFormat="1" applyFill="1" applyBorder="1" applyAlignment="1">
      <alignment horizontal="center"/>
    </xf>
    <xf numFmtId="0" fontId="2" fillId="4" borderId="38" xfId="0" applyFont="1" applyFill="1" applyBorder="1" applyAlignment="1">
      <alignment horizontal="center" vertical="center" wrapText="1"/>
    </xf>
    <xf numFmtId="0" fontId="0" fillId="4" borderId="9" xfId="0" applyFill="1" applyBorder="1" applyAlignment="1">
      <alignment horizontal="center" vertical="center" wrapText="1"/>
    </xf>
    <xf numFmtId="3" fontId="0" fillId="4" borderId="10" xfId="0" applyNumberFormat="1" applyFill="1" applyBorder="1" applyAlignment="1">
      <alignment horizontal="center"/>
    </xf>
    <xf numFmtId="168" fontId="0" fillId="4" borderId="3" xfId="0" applyNumberFormat="1" applyFill="1" applyBorder="1" applyAlignment="1">
      <alignment horizontal="center"/>
    </xf>
    <xf numFmtId="0" fontId="21" fillId="47" borderId="38" xfId="0" applyFont="1" applyFill="1" applyBorder="1" applyAlignment="1">
      <alignment horizontal="center"/>
    </xf>
    <xf numFmtId="0" fontId="21" fillId="47" borderId="23" xfId="0" applyFont="1" applyFill="1" applyBorder="1" applyAlignment="1">
      <alignment horizontal="center"/>
    </xf>
    <xf numFmtId="0" fontId="21" fillId="47" borderId="24" xfId="0" applyFont="1" applyFill="1" applyBorder="1" applyAlignment="1">
      <alignment horizontal="center"/>
    </xf>
    <xf numFmtId="0" fontId="0" fillId="46" borderId="0" xfId="0" applyFill="1"/>
    <xf numFmtId="164" fontId="5" fillId="4" borderId="5" xfId="3" applyNumberFormat="1" applyFont="1" applyFill="1" applyBorder="1" applyAlignment="1">
      <alignment vertical="center" wrapText="1"/>
    </xf>
    <xf numFmtId="164" fontId="5" fillId="4" borderId="3" xfId="3" applyNumberFormat="1" applyFont="1" applyFill="1" applyBorder="1" applyAlignment="1">
      <alignment vertical="center" wrapText="1"/>
    </xf>
    <xf numFmtId="164" fontId="30" fillId="4" borderId="3" xfId="3" applyNumberFormat="1" applyFont="1" applyFill="1" applyBorder="1" applyAlignment="1">
      <alignment vertical="center" wrapText="1"/>
    </xf>
    <xf numFmtId="0" fontId="5" fillId="4" borderId="9" xfId="1" applyFont="1" applyFill="1" applyBorder="1" applyAlignment="1">
      <alignment horizontal="left" vertical="center"/>
    </xf>
    <xf numFmtId="0" fontId="5" fillId="4" borderId="10" xfId="1" applyFont="1" applyFill="1" applyBorder="1" applyAlignment="1">
      <alignment horizontal="center" vertical="center" wrapText="1"/>
    </xf>
    <xf numFmtId="164" fontId="5" fillId="4" borderId="10" xfId="1" applyNumberFormat="1" applyFont="1" applyFill="1" applyBorder="1" applyAlignment="1">
      <alignment vertical="center" wrapText="1"/>
    </xf>
    <xf numFmtId="164" fontId="5" fillId="4" borderId="10" xfId="3" applyNumberFormat="1" applyFont="1" applyFill="1" applyBorder="1" applyAlignment="1">
      <alignment vertical="center" wrapText="1"/>
    </xf>
    <xf numFmtId="164" fontId="30" fillId="4" borderId="10" xfId="1" applyNumberFormat="1" applyFont="1" applyFill="1" applyBorder="1" applyAlignment="1">
      <alignment vertical="center" wrapText="1"/>
    </xf>
    <xf numFmtId="164" fontId="3" fillId="47" borderId="0" xfId="1" applyNumberFormat="1" applyFont="1" applyFill="1" applyAlignment="1">
      <alignment horizontal="center" vertical="center"/>
    </xf>
    <xf numFmtId="164" fontId="3" fillId="47" borderId="47" xfId="1" applyNumberFormat="1" applyFont="1" applyFill="1" applyBorder="1" applyAlignment="1">
      <alignment vertical="center"/>
    </xf>
    <xf numFmtId="0" fontId="3" fillId="47" borderId="47" xfId="1" applyFont="1" applyFill="1" applyBorder="1" applyAlignment="1">
      <alignment vertical="center"/>
    </xf>
    <xf numFmtId="164" fontId="3" fillId="47" borderId="0" xfId="1" applyNumberFormat="1" applyFont="1" applyFill="1" applyAlignment="1">
      <alignment vertical="center"/>
    </xf>
    <xf numFmtId="0" fontId="3" fillId="47" borderId="0" xfId="1" applyFont="1" applyFill="1" applyAlignment="1">
      <alignment vertical="center"/>
    </xf>
    <xf numFmtId="0" fontId="3" fillId="47" borderId="0" xfId="1" applyFont="1" applyFill="1" applyAlignment="1">
      <alignment horizontal="center" vertical="center"/>
    </xf>
    <xf numFmtId="10" fontId="3" fillId="47" borderId="0" xfId="4" applyNumberFormat="1" applyFont="1" applyFill="1" applyAlignment="1">
      <alignment horizontal="center"/>
    </xf>
    <xf numFmtId="164" fontId="3" fillId="47" borderId="2" xfId="1" applyNumberFormat="1" applyFont="1" applyFill="1" applyBorder="1" applyAlignment="1">
      <alignment horizontal="center" vertical="center" wrapText="1"/>
    </xf>
    <xf numFmtId="164" fontId="3" fillId="47" borderId="49" xfId="1" applyNumberFormat="1" applyFont="1" applyFill="1" applyBorder="1" applyAlignment="1">
      <alignment horizontal="center" vertical="center" wrapText="1"/>
    </xf>
    <xf numFmtId="0" fontId="3" fillId="47" borderId="49" xfId="1" applyFont="1" applyFill="1" applyBorder="1" applyAlignment="1">
      <alignment horizontal="center" vertical="center" wrapText="1"/>
    </xf>
    <xf numFmtId="0" fontId="3" fillId="47" borderId="2" xfId="1" applyFont="1" applyFill="1" applyBorder="1" applyAlignment="1">
      <alignment horizontal="center" vertical="center" wrapText="1"/>
    </xf>
    <xf numFmtId="0" fontId="5" fillId="4" borderId="3" xfId="2" applyFont="1" applyFill="1" applyBorder="1" applyAlignment="1">
      <alignment horizontal="left" vertical="center" wrapText="1"/>
    </xf>
    <xf numFmtId="0" fontId="5" fillId="4" borderId="3" xfId="1" applyFont="1" applyFill="1" applyBorder="1" applyAlignment="1">
      <alignment horizontal="left" vertical="center"/>
    </xf>
    <xf numFmtId="166" fontId="30" fillId="4" borderId="4" xfId="4" applyNumberFormat="1" applyFont="1" applyFill="1" applyBorder="1" applyAlignment="1">
      <alignment horizontal="center" vertical="center" wrapText="1"/>
    </xf>
    <xf numFmtId="0" fontId="5" fillId="4" borderId="5" xfId="2" applyFont="1" applyFill="1" applyBorder="1" applyAlignment="1">
      <alignment horizontal="left" vertical="center" wrapText="1"/>
    </xf>
    <xf numFmtId="166" fontId="30" fillId="4" borderId="7" xfId="4" applyNumberFormat="1" applyFont="1" applyFill="1" applyBorder="1" applyAlignment="1">
      <alignment horizontal="center" vertical="center" wrapText="1"/>
    </xf>
    <xf numFmtId="0" fontId="30" fillId="4" borderId="7" xfId="2" applyFont="1" applyFill="1" applyBorder="1" applyAlignment="1">
      <alignment horizontal="left" vertical="center" wrapText="1"/>
    </xf>
    <xf numFmtId="0" fontId="5" fillId="4" borderId="10" xfId="1" applyFont="1" applyFill="1" applyBorder="1" applyAlignment="1">
      <alignment horizontal="left" vertical="center"/>
    </xf>
    <xf numFmtId="166" fontId="30" fillId="4" borderId="9" xfId="4" applyNumberFormat="1" applyFont="1" applyFill="1" applyBorder="1" applyAlignment="1">
      <alignment horizontal="center" vertical="center" wrapText="1"/>
    </xf>
    <xf numFmtId="0" fontId="5" fillId="4" borderId="10" xfId="2" applyFont="1" applyFill="1" applyBorder="1" applyAlignment="1">
      <alignment horizontal="left" vertical="center" wrapText="1"/>
    </xf>
    <xf numFmtId="0" fontId="0" fillId="0" borderId="0" xfId="0" applyAlignment="1">
      <alignment vertical="center" wrapText="1"/>
    </xf>
    <xf numFmtId="0" fontId="2" fillId="4" borderId="0" xfId="0" applyFont="1" applyFill="1"/>
    <xf numFmtId="0" fontId="2" fillId="4" borderId="45" xfId="0" applyFont="1" applyFill="1" applyBorder="1"/>
    <xf numFmtId="0" fontId="0" fillId="4" borderId="45" xfId="0" applyFill="1" applyBorder="1" applyAlignment="1">
      <alignment vertical="center" wrapText="1"/>
    </xf>
    <xf numFmtId="171" fontId="0" fillId="4" borderId="0" xfId="0" applyNumberFormat="1" applyFill="1" applyAlignment="1">
      <alignment horizontal="center" vertical="center"/>
    </xf>
    <xf numFmtId="171" fontId="0" fillId="4" borderId="46" xfId="0" applyNumberFormat="1" applyFill="1" applyBorder="1" applyAlignment="1">
      <alignment horizontal="center" vertical="center"/>
    </xf>
    <xf numFmtId="0" fontId="2" fillId="4" borderId="45" xfId="0" applyFont="1" applyFill="1" applyBorder="1" applyAlignment="1">
      <alignment vertical="center" wrapText="1"/>
    </xf>
    <xf numFmtId="165" fontId="0" fillId="4" borderId="0" xfId="0" applyNumberFormat="1" applyFill="1" applyAlignment="1">
      <alignment horizontal="center" vertical="center"/>
    </xf>
    <xf numFmtId="165" fontId="0" fillId="4" borderId="46" xfId="0" applyNumberFormat="1" applyFill="1" applyBorder="1" applyAlignment="1">
      <alignment horizontal="center" vertical="center"/>
    </xf>
    <xf numFmtId="0" fontId="0" fillId="4" borderId="35" xfId="0" applyFill="1" applyBorder="1" applyAlignment="1">
      <alignment vertical="center" wrapText="1"/>
    </xf>
    <xf numFmtId="165" fontId="0" fillId="4" borderId="47" xfId="0" applyNumberFormat="1" applyFill="1" applyBorder="1" applyAlignment="1">
      <alignment horizontal="center" vertical="center"/>
    </xf>
    <xf numFmtId="165" fontId="0" fillId="4" borderId="48" xfId="0" applyNumberFormat="1" applyFill="1" applyBorder="1" applyAlignment="1">
      <alignment horizontal="center" vertical="center"/>
    </xf>
    <xf numFmtId="0" fontId="2" fillId="4" borderId="20" xfId="0" applyFont="1" applyFill="1" applyBorder="1"/>
    <xf numFmtId="0" fontId="2" fillId="4" borderId="20" xfId="0" applyFont="1" applyFill="1" applyBorder="1" applyAlignment="1">
      <alignment vertical="center" wrapText="1"/>
    </xf>
    <xf numFmtId="0" fontId="0" fillId="4" borderId="21" xfId="0" applyFill="1" applyBorder="1" applyAlignment="1">
      <alignment vertical="center"/>
    </xf>
    <xf numFmtId="0" fontId="2" fillId="46" borderId="20" xfId="0" applyFont="1" applyFill="1" applyBorder="1"/>
    <xf numFmtId="0" fontId="2" fillId="46" borderId="45" xfId="0" applyFont="1" applyFill="1" applyBorder="1"/>
    <xf numFmtId="0" fontId="0" fillId="46" borderId="46" xfId="0" applyFill="1" applyBorder="1"/>
    <xf numFmtId="165" fontId="0" fillId="4" borderId="0" xfId="0" applyNumberFormat="1" applyFill="1" applyAlignment="1">
      <alignment horizontal="center"/>
    </xf>
    <xf numFmtId="0" fontId="21" fillId="47" borderId="23" xfId="0" applyFont="1" applyFill="1" applyBorder="1" applyAlignment="1">
      <alignment horizontal="center" wrapText="1"/>
    </xf>
    <xf numFmtId="0" fontId="21" fillId="47" borderId="24" xfId="0" applyFont="1" applyFill="1" applyBorder="1" applyAlignment="1">
      <alignment horizontal="center" wrapText="1"/>
    </xf>
    <xf numFmtId="0" fontId="0" fillId="4" borderId="21" xfId="0" applyFill="1" applyBorder="1" applyAlignment="1">
      <alignment horizontal="center" vertical="center"/>
    </xf>
    <xf numFmtId="0" fontId="0" fillId="4" borderId="22" xfId="0" applyFill="1" applyBorder="1" applyAlignment="1">
      <alignment horizontal="center"/>
    </xf>
    <xf numFmtId="0" fontId="0" fillId="4" borderId="45" xfId="0" applyFill="1" applyBorder="1"/>
    <xf numFmtId="0" fontId="0" fillId="4" borderId="45" xfId="0" applyFill="1" applyBorder="1" applyAlignment="1">
      <alignment wrapText="1"/>
    </xf>
    <xf numFmtId="165" fontId="0" fillId="4" borderId="46" xfId="0" applyNumberFormat="1" applyFill="1" applyBorder="1" applyAlignment="1">
      <alignment horizontal="center"/>
    </xf>
    <xf numFmtId="0" fontId="2" fillId="46" borderId="17" xfId="0" applyFont="1" applyFill="1" applyBorder="1" applyAlignment="1">
      <alignment horizontal="center" vertical="center" wrapText="1"/>
    </xf>
    <xf numFmtId="0" fontId="2" fillId="46" borderId="19" xfId="0" applyFont="1" applyFill="1" applyBorder="1" applyAlignment="1">
      <alignment horizontal="center" vertical="center" wrapText="1"/>
    </xf>
    <xf numFmtId="0" fontId="35" fillId="4" borderId="4" xfId="1" applyFont="1" applyFill="1" applyBorder="1" applyAlignment="1">
      <alignment horizontal="center" vertical="center"/>
    </xf>
    <xf numFmtId="0" fontId="35" fillId="4" borderId="5" xfId="2" applyFont="1" applyFill="1" applyBorder="1" applyAlignment="1">
      <alignment horizontal="center" vertical="center" wrapText="1"/>
    </xf>
    <xf numFmtId="171" fontId="36" fillId="4" borderId="5" xfId="0" applyNumberFormat="1" applyFont="1" applyFill="1" applyBorder="1" applyAlignment="1">
      <alignment horizontal="center" vertical="center"/>
    </xf>
    <xf numFmtId="0" fontId="35" fillId="4" borderId="7" xfId="1" applyFont="1" applyFill="1" applyBorder="1" applyAlignment="1">
      <alignment horizontal="center" vertical="center"/>
    </xf>
    <xf numFmtId="0" fontId="35" fillId="4" borderId="3" xfId="2" applyFont="1" applyFill="1" applyBorder="1" applyAlignment="1">
      <alignment horizontal="center" vertical="center" wrapText="1"/>
    </xf>
    <xf numFmtId="171" fontId="36" fillId="4" borderId="3" xfId="0" applyNumberFormat="1" applyFont="1" applyFill="1" applyBorder="1" applyAlignment="1">
      <alignment horizontal="center" vertical="center"/>
    </xf>
    <xf numFmtId="0" fontId="35" fillId="4" borderId="12" xfId="1" applyFont="1" applyFill="1" applyBorder="1" applyAlignment="1">
      <alignment horizontal="center" vertical="center"/>
    </xf>
    <xf numFmtId="0" fontId="35" fillId="4" borderId="13" xfId="2" applyFont="1" applyFill="1" applyBorder="1" applyAlignment="1">
      <alignment horizontal="center" vertical="center" wrapText="1"/>
    </xf>
    <xf numFmtId="171" fontId="36" fillId="4" borderId="13" xfId="0" applyNumberFormat="1" applyFont="1" applyFill="1" applyBorder="1" applyAlignment="1">
      <alignment horizontal="center" vertical="center"/>
    </xf>
    <xf numFmtId="164" fontId="37" fillId="4" borderId="23" xfId="0" applyNumberFormat="1" applyFont="1" applyFill="1" applyBorder="1" applyAlignment="1">
      <alignment horizontal="center"/>
    </xf>
    <xf numFmtId="164" fontId="21" fillId="47" borderId="2" xfId="1" applyNumberFormat="1" applyFont="1" applyFill="1" applyBorder="1" applyAlignment="1">
      <alignment vertical="center"/>
    </xf>
    <xf numFmtId="0" fontId="21" fillId="47" borderId="2" xfId="1" applyFont="1" applyFill="1" applyBorder="1" applyAlignment="1">
      <alignment horizontal="center" vertical="center" wrapText="1"/>
    </xf>
    <xf numFmtId="0" fontId="21" fillId="47" borderId="2" xfId="1" applyFont="1" applyFill="1" applyBorder="1" applyAlignment="1">
      <alignment horizontal="center" vertical="center"/>
    </xf>
    <xf numFmtId="0" fontId="39" fillId="4" borderId="7" xfId="1" applyFont="1" applyFill="1" applyBorder="1" applyAlignment="1">
      <alignment horizontal="left" vertical="center"/>
    </xf>
    <xf numFmtId="0" fontId="39" fillId="4" borderId="3" xfId="1" applyFont="1" applyFill="1" applyBorder="1" applyAlignment="1">
      <alignment horizontal="center" vertical="center" wrapText="1"/>
    </xf>
    <xf numFmtId="164" fontId="39" fillId="4" borderId="3" xfId="1" applyNumberFormat="1" applyFont="1" applyFill="1" applyBorder="1" applyAlignment="1">
      <alignment vertical="center" wrapText="1"/>
    </xf>
    <xf numFmtId="0" fontId="39" fillId="4" borderId="7" xfId="1" applyFont="1" applyFill="1" applyBorder="1" applyAlignment="1">
      <alignment vertical="center"/>
    </xf>
    <xf numFmtId="0" fontId="39" fillId="4" borderId="9" xfId="1" applyFont="1" applyFill="1" applyBorder="1" applyAlignment="1">
      <alignment vertical="center"/>
    </xf>
    <xf numFmtId="0" fontId="39" fillId="4" borderId="10" xfId="1" applyFont="1" applyFill="1" applyBorder="1" applyAlignment="1">
      <alignment horizontal="center" vertical="center" wrapText="1"/>
    </xf>
    <xf numFmtId="164" fontId="39" fillId="4" borderId="10" xfId="1" applyNumberFormat="1" applyFont="1" applyFill="1" applyBorder="1" applyAlignment="1">
      <alignment vertical="center" wrapText="1"/>
    </xf>
    <xf numFmtId="164" fontId="21" fillId="47" borderId="4" xfId="1" applyNumberFormat="1" applyFont="1" applyFill="1" applyBorder="1" applyAlignment="1">
      <alignment vertical="center"/>
    </xf>
    <xf numFmtId="0" fontId="21" fillId="47" borderId="5" xfId="1" applyFont="1" applyFill="1" applyBorder="1" applyAlignment="1">
      <alignment horizontal="center" vertical="center" wrapText="1"/>
    </xf>
    <xf numFmtId="0" fontId="21" fillId="47" borderId="5" xfId="1" applyFont="1" applyFill="1" applyBorder="1" applyAlignment="1">
      <alignment horizontal="center" vertical="center"/>
    </xf>
    <xf numFmtId="0" fontId="21" fillId="47" borderId="0" xfId="0" applyFont="1" applyFill="1"/>
    <xf numFmtId="0" fontId="21" fillId="47" borderId="17" xfId="0" applyFont="1" applyFill="1" applyBorder="1" applyAlignment="1">
      <alignment horizontal="center"/>
    </xf>
    <xf numFmtId="0" fontId="21" fillId="47" borderId="18" xfId="0" applyFont="1" applyFill="1" applyBorder="1" applyAlignment="1">
      <alignment horizontal="center"/>
    </xf>
    <xf numFmtId="0" fontId="21" fillId="47" borderId="19" xfId="0" applyFont="1" applyFill="1" applyBorder="1" applyAlignment="1">
      <alignment horizontal="center"/>
    </xf>
    <xf numFmtId="0" fontId="0" fillId="4" borderId="7" xfId="0" applyFill="1" applyBorder="1"/>
    <xf numFmtId="0" fontId="39" fillId="4" borderId="9" xfId="0" applyFont="1" applyFill="1" applyBorder="1"/>
    <xf numFmtId="165" fontId="2" fillId="4" borderId="21" xfId="0" applyNumberFormat="1" applyFont="1" applyFill="1" applyBorder="1"/>
    <xf numFmtId="165" fontId="2" fillId="4" borderId="22" xfId="0" applyNumberFormat="1" applyFont="1" applyFill="1" applyBorder="1"/>
    <xf numFmtId="165" fontId="0" fillId="4" borderId="3" xfId="0" applyNumberFormat="1" applyFill="1" applyBorder="1"/>
    <xf numFmtId="165" fontId="0" fillId="4" borderId="3" xfId="0" applyNumberFormat="1" applyFill="1" applyBorder="1" applyAlignment="1">
      <alignment horizontal="center" vertical="center"/>
    </xf>
    <xf numFmtId="0" fontId="0" fillId="4" borderId="4" xfId="0" applyFill="1" applyBorder="1"/>
    <xf numFmtId="165" fontId="0" fillId="4" borderId="5" xfId="0" applyNumberFormat="1" applyFill="1" applyBorder="1"/>
    <xf numFmtId="165" fontId="0" fillId="4" borderId="5" xfId="0" applyNumberFormat="1" applyFill="1" applyBorder="1" applyAlignment="1">
      <alignment horizontal="center" vertical="center"/>
    </xf>
    <xf numFmtId="165" fontId="0" fillId="4" borderId="6" xfId="0" applyNumberFormat="1" applyFill="1" applyBorder="1"/>
    <xf numFmtId="165" fontId="0" fillId="4" borderId="8" xfId="0" applyNumberFormat="1" applyFill="1" applyBorder="1"/>
    <xf numFmtId="165" fontId="0" fillId="4" borderId="10" xfId="0" applyNumberFormat="1" applyFill="1" applyBorder="1"/>
    <xf numFmtId="165" fontId="0" fillId="4" borderId="10" xfId="0" applyNumberFormat="1" applyFill="1" applyBorder="1" applyAlignment="1">
      <alignment horizontal="center" vertical="center"/>
    </xf>
    <xf numFmtId="165" fontId="0" fillId="4" borderId="11" xfId="0" applyNumberFormat="1" applyFill="1" applyBorder="1"/>
    <xf numFmtId="165" fontId="0" fillId="48" borderId="0" xfId="0" applyNumberFormat="1" applyFill="1" applyAlignment="1">
      <alignment horizontal="center" vertical="center"/>
    </xf>
    <xf numFmtId="165" fontId="0" fillId="48" borderId="46" xfId="0" applyNumberFormat="1" applyFill="1" applyBorder="1" applyAlignment="1">
      <alignment horizontal="center" vertical="center"/>
    </xf>
    <xf numFmtId="165" fontId="0" fillId="48" borderId="47" xfId="0" applyNumberFormat="1" applyFill="1" applyBorder="1" applyAlignment="1">
      <alignment horizontal="center" vertical="center"/>
    </xf>
    <xf numFmtId="165" fontId="0" fillId="48" borderId="48" xfId="0" applyNumberFormat="1" applyFill="1" applyBorder="1" applyAlignment="1">
      <alignment horizontal="center" vertical="center"/>
    </xf>
    <xf numFmtId="0" fontId="2" fillId="48" borderId="20" xfId="0" applyFont="1" applyFill="1" applyBorder="1" applyAlignment="1">
      <alignment vertical="center" wrapText="1"/>
    </xf>
    <xf numFmtId="0" fontId="0" fillId="48" borderId="21" xfId="0" applyFill="1" applyBorder="1" applyAlignment="1">
      <alignment vertical="center"/>
    </xf>
    <xf numFmtId="0" fontId="0" fillId="48" borderId="22" xfId="0" applyFill="1" applyBorder="1"/>
    <xf numFmtId="0" fontId="0" fillId="48" borderId="45" xfId="0" applyFill="1" applyBorder="1" applyAlignment="1">
      <alignment vertical="center" wrapText="1"/>
    </xf>
    <xf numFmtId="0" fontId="0" fillId="48" borderId="35" xfId="0" applyFill="1" applyBorder="1" applyAlignment="1">
      <alignment vertical="center" wrapText="1"/>
    </xf>
    <xf numFmtId="10" fontId="0" fillId="4" borderId="0" xfId="4" applyNumberFormat="1" applyFont="1" applyFill="1" applyBorder="1" applyAlignment="1">
      <alignment horizontal="center" vertical="center"/>
    </xf>
    <xf numFmtId="10" fontId="0" fillId="4" borderId="46" xfId="4" applyNumberFormat="1" applyFont="1" applyFill="1" applyBorder="1" applyAlignment="1">
      <alignment horizontal="center" vertical="center"/>
    </xf>
    <xf numFmtId="171" fontId="0" fillId="48" borderId="0" xfId="0" applyNumberFormat="1" applyFill="1" applyAlignment="1">
      <alignment horizontal="center" vertical="center"/>
    </xf>
    <xf numFmtId="171" fontId="0" fillId="48" borderId="46" xfId="0" applyNumberFormat="1" applyFill="1" applyBorder="1" applyAlignment="1">
      <alignment horizontal="center" vertical="center"/>
    </xf>
    <xf numFmtId="171" fontId="0" fillId="48" borderId="47" xfId="0" applyNumberFormat="1" applyFill="1" applyBorder="1" applyAlignment="1">
      <alignment horizontal="center" vertical="center"/>
    </xf>
    <xf numFmtId="171" fontId="0" fillId="48" borderId="48" xfId="0" applyNumberFormat="1" applyFill="1" applyBorder="1" applyAlignment="1">
      <alignment horizontal="center" vertical="center"/>
    </xf>
    <xf numFmtId="0" fontId="2" fillId="48" borderId="45" xfId="0" applyFont="1" applyFill="1" applyBorder="1" applyAlignment="1">
      <alignment vertical="center" wrapText="1"/>
    </xf>
    <xf numFmtId="0" fontId="0" fillId="4" borderId="17" xfId="0" applyFill="1" applyBorder="1" applyAlignment="1">
      <alignment vertical="center" wrapText="1"/>
    </xf>
    <xf numFmtId="171" fontId="0" fillId="4" borderId="18" xfId="0" applyNumberFormat="1" applyFill="1" applyBorder="1" applyAlignment="1">
      <alignment horizontal="center" vertical="center"/>
    </xf>
    <xf numFmtId="171" fontId="0" fillId="4" borderId="19" xfId="0" applyNumberFormat="1" applyFill="1" applyBorder="1" applyAlignment="1">
      <alignment horizontal="center" vertical="center"/>
    </xf>
    <xf numFmtId="10" fontId="0" fillId="4" borderId="18" xfId="4" applyNumberFormat="1" applyFont="1" applyFill="1" applyBorder="1" applyAlignment="1">
      <alignment horizontal="center" vertical="center"/>
    </xf>
    <xf numFmtId="0" fontId="2" fillId="48" borderId="20" xfId="0" applyFont="1" applyFill="1" applyBorder="1"/>
    <xf numFmtId="0" fontId="0" fillId="48" borderId="21" xfId="0" applyFill="1" applyBorder="1"/>
    <xf numFmtId="0" fontId="2" fillId="46" borderId="20" xfId="0" applyFont="1" applyFill="1" applyBorder="1" applyAlignment="1">
      <alignment horizontal="center" vertical="center" wrapText="1"/>
    </xf>
    <xf numFmtId="0" fontId="2" fillId="46" borderId="21" xfId="0" applyFont="1" applyFill="1" applyBorder="1" applyAlignment="1">
      <alignment horizontal="center" vertical="center" wrapText="1"/>
    </xf>
    <xf numFmtId="0" fontId="2" fillId="46" borderId="22" xfId="0" applyFont="1" applyFill="1" applyBorder="1" applyAlignment="1">
      <alignment horizontal="center" vertical="center" wrapText="1"/>
    </xf>
    <xf numFmtId="0" fontId="2" fillId="4" borderId="35" xfId="0" applyFont="1" applyFill="1" applyBorder="1"/>
    <xf numFmtId="165" fontId="0" fillId="4" borderId="47" xfId="0" applyNumberFormat="1" applyFill="1" applyBorder="1" applyAlignment="1">
      <alignment horizontal="center"/>
    </xf>
    <xf numFmtId="0" fontId="21" fillId="47" borderId="38" xfId="0" applyFont="1" applyFill="1" applyBorder="1" applyAlignment="1">
      <alignment horizontal="center" wrapText="1"/>
    </xf>
    <xf numFmtId="0" fontId="0" fillId="0" borderId="0" xfId="0" applyAlignment="1">
      <alignment horizontal="center" wrapText="1"/>
    </xf>
    <xf numFmtId="10" fontId="0" fillId="4" borderId="46" xfId="4" applyNumberFormat="1" applyFont="1" applyFill="1" applyBorder="1" applyAlignment="1">
      <alignment horizontal="center" wrapText="1"/>
    </xf>
    <xf numFmtId="10" fontId="0" fillId="4" borderId="46" xfId="4" applyNumberFormat="1" applyFont="1" applyFill="1" applyBorder="1" applyAlignment="1">
      <alignment horizontal="center" vertical="center" wrapText="1"/>
    </xf>
    <xf numFmtId="10" fontId="0" fillId="4" borderId="47" xfId="4" applyNumberFormat="1" applyFont="1" applyFill="1" applyBorder="1" applyAlignment="1">
      <alignment horizontal="center" vertical="center" wrapText="1"/>
    </xf>
    <xf numFmtId="10" fontId="0" fillId="4" borderId="48" xfId="4" applyNumberFormat="1" applyFont="1" applyFill="1" applyBorder="1" applyAlignment="1">
      <alignment horizontal="center" vertical="center" wrapText="1"/>
    </xf>
    <xf numFmtId="0" fontId="0" fillId="4" borderId="20" xfId="0" applyFill="1" applyBorder="1" applyAlignment="1">
      <alignment wrapText="1"/>
    </xf>
    <xf numFmtId="10" fontId="0" fillId="4" borderId="21" xfId="4" applyNumberFormat="1" applyFont="1" applyFill="1" applyBorder="1" applyAlignment="1">
      <alignment horizontal="center" vertical="center"/>
    </xf>
    <xf numFmtId="10" fontId="0" fillId="4" borderId="22" xfId="4" applyNumberFormat="1" applyFont="1" applyFill="1" applyBorder="1" applyAlignment="1">
      <alignment horizontal="center" vertical="center"/>
    </xf>
    <xf numFmtId="10" fontId="0" fillId="4" borderId="0" xfId="4" applyNumberFormat="1" applyFont="1" applyFill="1" applyBorder="1" applyAlignment="1">
      <alignment horizontal="center" wrapText="1"/>
    </xf>
    <xf numFmtId="10" fontId="0" fillId="4" borderId="0" xfId="4" applyNumberFormat="1" applyFont="1" applyFill="1" applyBorder="1" applyAlignment="1">
      <alignment horizontal="center" vertical="center" wrapText="1"/>
    </xf>
    <xf numFmtId="0" fontId="0" fillId="48" borderId="45" xfId="0" applyFill="1" applyBorder="1"/>
    <xf numFmtId="165" fontId="0" fillId="48" borderId="46" xfId="0" applyNumberFormat="1" applyFill="1" applyBorder="1" applyAlignment="1">
      <alignment horizontal="center"/>
    </xf>
    <xf numFmtId="0" fontId="0" fillId="48" borderId="45" xfId="0" applyFill="1" applyBorder="1" applyAlignment="1">
      <alignment wrapText="1"/>
    </xf>
    <xf numFmtId="165" fontId="0" fillId="0" borderId="0" xfId="0" applyNumberFormat="1"/>
    <xf numFmtId="165" fontId="22" fillId="0" borderId="0" xfId="0" applyNumberFormat="1" applyFont="1"/>
    <xf numFmtId="0" fontId="40" fillId="46" borderId="45" xfId="0" applyFont="1" applyFill="1" applyBorder="1"/>
    <xf numFmtId="165" fontId="39" fillId="0" borderId="0" xfId="0" applyNumberFormat="1" applyFont="1"/>
    <xf numFmtId="0" fontId="40" fillId="46" borderId="18" xfId="0" applyFont="1" applyFill="1" applyBorder="1" applyAlignment="1">
      <alignment horizontal="center" vertical="center" wrapText="1"/>
    </xf>
    <xf numFmtId="0" fontId="0" fillId="48" borderId="46" xfId="0" applyFill="1" applyBorder="1"/>
    <xf numFmtId="171" fontId="0" fillId="4" borderId="0" xfId="0" applyNumberFormat="1" applyFill="1" applyAlignment="1">
      <alignment horizontal="center"/>
    </xf>
    <xf numFmtId="171" fontId="0" fillId="4" borderId="46" xfId="0" applyNumberFormat="1" applyFill="1" applyBorder="1" applyAlignment="1">
      <alignment horizontal="center"/>
    </xf>
    <xf numFmtId="0" fontId="0" fillId="48" borderId="0" xfId="0" applyFill="1" applyAlignment="1">
      <alignment vertical="center"/>
    </xf>
    <xf numFmtId="169" fontId="0" fillId="4" borderId="0" xfId="4" applyNumberFormat="1" applyFont="1" applyFill="1" applyBorder="1" applyAlignment="1">
      <alignment horizontal="center" vertical="center"/>
    </xf>
    <xf numFmtId="169" fontId="0" fillId="4" borderId="46" xfId="4" applyNumberFormat="1" applyFont="1" applyFill="1" applyBorder="1" applyAlignment="1">
      <alignment horizontal="center" vertical="center"/>
    </xf>
    <xf numFmtId="169" fontId="0" fillId="4" borderId="47" xfId="4" applyNumberFormat="1" applyFont="1" applyFill="1" applyBorder="1" applyAlignment="1">
      <alignment horizontal="center" vertical="center"/>
    </xf>
    <xf numFmtId="169" fontId="0" fillId="4" borderId="48" xfId="4" applyNumberFormat="1" applyFont="1" applyFill="1" applyBorder="1" applyAlignment="1">
      <alignment horizontal="center" vertical="center"/>
    </xf>
    <xf numFmtId="171" fontId="0" fillId="0" borderId="0" xfId="0" applyNumberFormat="1"/>
    <xf numFmtId="2" fontId="0" fillId="0" borderId="0" xfId="0" applyNumberFormat="1"/>
    <xf numFmtId="171" fontId="0" fillId="4" borderId="47" xfId="0" applyNumberFormat="1" applyFill="1" applyBorder="1" applyAlignment="1">
      <alignment horizontal="center"/>
    </xf>
    <xf numFmtId="171" fontId="0" fillId="4" borderId="48" xfId="0" applyNumberFormat="1" applyFill="1" applyBorder="1" applyAlignment="1">
      <alignment horizontal="center"/>
    </xf>
    <xf numFmtId="0" fontId="0" fillId="48" borderId="22" xfId="0" applyFill="1" applyBorder="1" applyAlignment="1">
      <alignment vertical="center"/>
    </xf>
    <xf numFmtId="173" fontId="0" fillId="4" borderId="0" xfId="0" applyNumberFormat="1" applyFill="1" applyAlignment="1">
      <alignment horizontal="center" vertical="center"/>
    </xf>
    <xf numFmtId="173" fontId="0" fillId="4" borderId="46" xfId="0" applyNumberFormat="1" applyFill="1" applyBorder="1" applyAlignment="1">
      <alignment horizontal="center" vertical="center"/>
    </xf>
    <xf numFmtId="173" fontId="0" fillId="4" borderId="47" xfId="0" applyNumberFormat="1" applyFill="1" applyBorder="1" applyAlignment="1">
      <alignment horizontal="center" vertical="center"/>
    </xf>
    <xf numFmtId="173" fontId="0" fillId="4" borderId="48" xfId="0" applyNumberFormat="1" applyFill="1" applyBorder="1" applyAlignment="1">
      <alignment horizontal="center" vertical="center"/>
    </xf>
    <xf numFmtId="2" fontId="0" fillId="0" borderId="0" xfId="0" applyNumberFormat="1" applyAlignment="1">
      <alignment wrapText="1"/>
    </xf>
    <xf numFmtId="172" fontId="0" fillId="0" borderId="0" xfId="0" applyNumberFormat="1"/>
    <xf numFmtId="0" fontId="41" fillId="0" borderId="3" xfId="0" applyFont="1" applyBorder="1" applyAlignment="1">
      <alignment horizontal="center" vertical="center"/>
    </xf>
    <xf numFmtId="4" fontId="41" fillId="0" borderId="3" xfId="0" applyNumberFormat="1" applyFont="1" applyBorder="1" applyAlignment="1">
      <alignment horizontal="center" vertical="center"/>
    </xf>
    <xf numFmtId="175" fontId="0" fillId="48" borderId="47" xfId="0" applyNumberFormat="1" applyFill="1" applyBorder="1" applyAlignment="1">
      <alignment horizontal="center" vertical="center"/>
    </xf>
    <xf numFmtId="171" fontId="2" fillId="0" borderId="0" xfId="0" applyNumberFormat="1" applyFont="1"/>
    <xf numFmtId="171" fontId="42" fillId="0" borderId="0" xfId="0" applyNumberFormat="1" applyFont="1"/>
    <xf numFmtId="171" fontId="22" fillId="0" borderId="0" xfId="0" applyNumberFormat="1" applyFont="1"/>
    <xf numFmtId="0" fontId="22" fillId="0" borderId="0" xfId="0" applyFont="1"/>
    <xf numFmtId="0" fontId="43" fillId="0" borderId="3" xfId="0" applyFont="1" applyBorder="1" applyAlignment="1">
      <alignment horizontal="center"/>
    </xf>
    <xf numFmtId="174" fontId="0" fillId="4" borderId="21" xfId="0" applyNumberFormat="1" applyFill="1" applyBorder="1" applyAlignment="1">
      <alignment horizontal="center" wrapText="1"/>
    </xf>
    <xf numFmtId="174" fontId="0" fillId="4" borderId="22" xfId="0" applyNumberFormat="1" applyFill="1" applyBorder="1" applyAlignment="1">
      <alignment horizontal="center" wrapText="1"/>
    </xf>
    <xf numFmtId="174" fontId="0" fillId="4" borderId="0" xfId="0" applyNumberFormat="1" applyFill="1" applyAlignment="1">
      <alignment horizontal="center" wrapText="1"/>
    </xf>
    <xf numFmtId="174" fontId="0" fillId="4" borderId="46" xfId="0" applyNumberFormat="1" applyFill="1" applyBorder="1" applyAlignment="1">
      <alignment horizontal="center" wrapText="1"/>
    </xf>
    <xf numFmtId="174" fontId="39" fillId="4" borderId="46" xfId="0" applyNumberFormat="1" applyFont="1" applyFill="1" applyBorder="1" applyAlignment="1">
      <alignment horizontal="center" wrapText="1"/>
    </xf>
    <xf numFmtId="174" fontId="0" fillId="4" borderId="47" xfId="0" applyNumberFormat="1" applyFill="1" applyBorder="1" applyAlignment="1">
      <alignment horizontal="center" wrapText="1"/>
    </xf>
    <xf numFmtId="174" fontId="0" fillId="4" borderId="48" xfId="0" applyNumberFormat="1" applyFill="1" applyBorder="1" applyAlignment="1">
      <alignment horizontal="center" wrapText="1"/>
    </xf>
    <xf numFmtId="167" fontId="0" fillId="0" borderId="6" xfId="0" applyNumberFormat="1" applyBorder="1"/>
    <xf numFmtId="167" fontId="0" fillId="0" borderId="11" xfId="0" applyNumberFormat="1" applyBorder="1"/>
    <xf numFmtId="167" fontId="0" fillId="0" borderId="36" xfId="0" applyNumberFormat="1" applyBorder="1"/>
    <xf numFmtId="167" fontId="0" fillId="0" borderId="8" xfId="0" applyNumberFormat="1" applyBorder="1"/>
    <xf numFmtId="165" fontId="39" fillId="4" borderId="47" xfId="0" applyNumberFormat="1" applyFont="1" applyFill="1" applyBorder="1" applyAlignment="1">
      <alignment horizontal="center" vertical="center"/>
    </xf>
    <xf numFmtId="2" fontId="39" fillId="4" borderId="47" xfId="0" applyNumberFormat="1" applyFont="1" applyFill="1" applyBorder="1" applyAlignment="1">
      <alignment horizontal="center" vertical="center"/>
    </xf>
    <xf numFmtId="2" fontId="39" fillId="4" borderId="21" xfId="0" applyNumberFormat="1" applyFont="1" applyFill="1" applyBorder="1"/>
    <xf numFmtId="165" fontId="0" fillId="4" borderId="22" xfId="0" applyNumberFormat="1" applyFill="1" applyBorder="1" applyAlignment="1">
      <alignment horizontal="center" vertical="center"/>
    </xf>
    <xf numFmtId="165" fontId="0" fillId="4" borderId="48" xfId="0" applyNumberFormat="1" applyFill="1" applyBorder="1" applyAlignment="1">
      <alignment horizontal="center"/>
    </xf>
    <xf numFmtId="2" fontId="39" fillId="4" borderId="0" xfId="0" applyNumberFormat="1" applyFont="1" applyFill="1" applyAlignment="1">
      <alignment horizontal="center" vertical="center"/>
    </xf>
    <xf numFmtId="2" fontId="39" fillId="4" borderId="0" xfId="0" applyNumberFormat="1" applyFont="1" applyFill="1" applyAlignment="1">
      <alignment horizontal="center"/>
    </xf>
    <xf numFmtId="0" fontId="44" fillId="0" borderId="0" xfId="0" applyFont="1" applyAlignment="1">
      <alignment horizontal="center"/>
    </xf>
    <xf numFmtId="0" fontId="44" fillId="0" borderId="3" xfId="0" applyFont="1" applyBorder="1" applyAlignment="1">
      <alignment horizontal="center"/>
    </xf>
    <xf numFmtId="165" fontId="39" fillId="4" borderId="0" xfId="0" applyNumberFormat="1" applyFont="1" applyFill="1" applyAlignment="1">
      <alignment horizontal="center"/>
    </xf>
    <xf numFmtId="165" fontId="39" fillId="4" borderId="0" xfId="0" applyNumberFormat="1" applyFont="1" applyFill="1" applyAlignment="1">
      <alignment horizontal="center" vertical="center"/>
    </xf>
    <xf numFmtId="174" fontId="0" fillId="4" borderId="21" xfId="0" applyNumberFormat="1" applyFill="1" applyBorder="1" applyAlignment="1">
      <alignment horizontal="center"/>
    </xf>
    <xf numFmtId="174" fontId="0" fillId="4" borderId="22" xfId="0" applyNumberFormat="1" applyFill="1" applyBorder="1" applyAlignment="1">
      <alignment horizontal="center"/>
    </xf>
    <xf numFmtId="174" fontId="0" fillId="4" borderId="47" xfId="0" applyNumberFormat="1" applyFill="1" applyBorder="1" applyAlignment="1">
      <alignment horizontal="center"/>
    </xf>
    <xf numFmtId="174" fontId="0" fillId="4" borderId="48" xfId="0" applyNumberFormat="1" applyFill="1" applyBorder="1" applyAlignment="1">
      <alignment horizontal="center"/>
    </xf>
    <xf numFmtId="175" fontId="0" fillId="48" borderId="0" xfId="0" applyNumberFormat="1" applyFill="1" applyAlignment="1">
      <alignment horizontal="center"/>
    </xf>
    <xf numFmtId="175" fontId="0" fillId="48" borderId="46" xfId="0" applyNumberFormat="1" applyFill="1" applyBorder="1" applyAlignment="1">
      <alignment horizontal="center"/>
    </xf>
    <xf numFmtId="175" fontId="0" fillId="48" borderId="0" xfId="0" applyNumberFormat="1" applyFill="1" applyAlignment="1">
      <alignment horizontal="center" vertical="center"/>
    </xf>
    <xf numFmtId="175" fontId="0" fillId="48" borderId="46" xfId="0" applyNumberFormat="1" applyFill="1" applyBorder="1" applyAlignment="1">
      <alignment horizontal="center" vertical="center"/>
    </xf>
    <xf numFmtId="175" fontId="0" fillId="48" borderId="48" xfId="0" applyNumberFormat="1" applyFill="1" applyBorder="1" applyAlignment="1">
      <alignment horizontal="center" vertical="center"/>
    </xf>
    <xf numFmtId="0" fontId="0" fillId="0" borderId="46" xfId="0" applyBorder="1" applyAlignment="1">
      <alignment vertical="center"/>
    </xf>
    <xf numFmtId="165" fontId="0" fillId="0" borderId="0" xfId="0" applyNumberFormat="1" applyAlignment="1">
      <alignment wrapText="1"/>
    </xf>
    <xf numFmtId="164" fontId="46" fillId="50" borderId="5" xfId="1" applyNumberFormat="1" applyFont="1" applyFill="1" applyBorder="1" applyAlignment="1">
      <alignment vertical="center" wrapText="1"/>
    </xf>
    <xf numFmtId="164" fontId="46" fillId="50" borderId="3" xfId="3" applyNumberFormat="1" applyFont="1" applyFill="1" applyBorder="1" applyAlignment="1">
      <alignment vertical="center" wrapText="1"/>
    </xf>
    <xf numFmtId="164" fontId="30" fillId="45" borderId="3" xfId="1" applyNumberFormat="1" applyFont="1" applyFill="1" applyBorder="1" applyAlignment="1">
      <alignment vertical="center" wrapText="1"/>
    </xf>
    <xf numFmtId="164" fontId="30" fillId="45" borderId="8" xfId="1" applyNumberFormat="1" applyFont="1" applyFill="1" applyBorder="1" applyAlignment="1">
      <alignment vertical="center" wrapText="1"/>
    </xf>
    <xf numFmtId="164" fontId="30" fillId="45" borderId="10" xfId="1" applyNumberFormat="1" applyFont="1" applyFill="1" applyBorder="1" applyAlignment="1">
      <alignment vertical="center" wrapText="1"/>
    </xf>
    <xf numFmtId="164" fontId="30" fillId="45" borderId="11" xfId="1" applyNumberFormat="1" applyFont="1" applyFill="1" applyBorder="1" applyAlignment="1">
      <alignment vertical="center" wrapText="1"/>
    </xf>
    <xf numFmtId="171" fontId="36" fillId="45" borderId="5" xfId="0" applyNumberFormat="1" applyFont="1" applyFill="1" applyBorder="1" applyAlignment="1">
      <alignment horizontal="center" vertical="center"/>
    </xf>
    <xf numFmtId="171" fontId="36" fillId="45" borderId="6" xfId="0" applyNumberFormat="1" applyFont="1" applyFill="1" applyBorder="1" applyAlignment="1">
      <alignment horizontal="center" vertical="center"/>
    </xf>
    <xf numFmtId="171" fontId="36" fillId="45" borderId="3" xfId="0" applyNumberFormat="1" applyFont="1" applyFill="1" applyBorder="1" applyAlignment="1">
      <alignment horizontal="center" vertical="center"/>
    </xf>
    <xf numFmtId="171" fontId="36" fillId="45" borderId="8" xfId="0" applyNumberFormat="1" applyFont="1" applyFill="1" applyBorder="1" applyAlignment="1">
      <alignment horizontal="center" vertical="center"/>
    </xf>
    <xf numFmtId="171" fontId="36" fillId="45" borderId="13" xfId="0" applyNumberFormat="1" applyFont="1" applyFill="1" applyBorder="1" applyAlignment="1">
      <alignment horizontal="center" vertical="center"/>
    </xf>
    <xf numFmtId="171" fontId="36" fillId="45" borderId="14" xfId="0" applyNumberFormat="1" applyFont="1" applyFill="1" applyBorder="1" applyAlignment="1">
      <alignment horizontal="center" vertical="center"/>
    </xf>
    <xf numFmtId="164" fontId="37" fillId="45" borderId="23" xfId="0" applyNumberFormat="1" applyFont="1" applyFill="1" applyBorder="1" applyAlignment="1">
      <alignment horizontal="center"/>
    </xf>
    <xf numFmtId="164" fontId="37" fillId="45" borderId="24" xfId="0" applyNumberFormat="1" applyFont="1" applyFill="1" applyBorder="1" applyAlignment="1">
      <alignment horizontal="center"/>
    </xf>
    <xf numFmtId="164" fontId="39" fillId="45" borderId="3" xfId="1" applyNumberFormat="1" applyFont="1" applyFill="1" applyBorder="1" applyAlignment="1">
      <alignment vertical="center" wrapText="1"/>
    </xf>
    <xf numFmtId="164" fontId="39" fillId="45" borderId="8" xfId="1" applyNumberFormat="1" applyFont="1" applyFill="1" applyBorder="1" applyAlignment="1">
      <alignment vertical="center" wrapText="1"/>
    </xf>
    <xf numFmtId="164" fontId="39" fillId="45" borderId="10" xfId="1" applyNumberFormat="1" applyFont="1" applyFill="1" applyBorder="1" applyAlignment="1">
      <alignment vertical="center" wrapText="1"/>
    </xf>
    <xf numFmtId="164" fontId="39" fillId="45" borderId="11" xfId="1" applyNumberFormat="1" applyFont="1" applyFill="1" applyBorder="1" applyAlignment="1">
      <alignment vertical="center" wrapText="1"/>
    </xf>
    <xf numFmtId="164" fontId="46" fillId="50" borderId="6" xfId="1" applyNumberFormat="1" applyFont="1" applyFill="1" applyBorder="1" applyAlignment="1">
      <alignment vertical="center" wrapText="1"/>
    </xf>
    <xf numFmtId="164" fontId="46" fillId="50" borderId="8" xfId="3" applyNumberFormat="1" applyFont="1" applyFill="1" applyBorder="1" applyAlignment="1">
      <alignment vertical="center" wrapText="1"/>
    </xf>
    <xf numFmtId="3" fontId="24" fillId="50" borderId="5" xfId="0" applyNumberFormat="1" applyFont="1" applyFill="1" applyBorder="1" applyAlignment="1">
      <alignment horizontal="center"/>
    </xf>
    <xf numFmtId="3" fontId="24" fillId="50" borderId="6" xfId="0" applyNumberFormat="1" applyFont="1" applyFill="1" applyBorder="1" applyAlignment="1">
      <alignment horizontal="center"/>
    </xf>
    <xf numFmtId="3" fontId="24" fillId="50" borderId="3" xfId="0" applyNumberFormat="1" applyFont="1" applyFill="1" applyBorder="1" applyAlignment="1">
      <alignment horizontal="center"/>
    </xf>
    <xf numFmtId="3" fontId="24" fillId="50" borderId="8" xfId="0" applyNumberFormat="1" applyFont="1" applyFill="1" applyBorder="1" applyAlignment="1">
      <alignment horizontal="center"/>
    </xf>
    <xf numFmtId="3" fontId="24" fillId="50" borderId="13" xfId="0" applyNumberFormat="1" applyFont="1" applyFill="1" applyBorder="1" applyAlignment="1">
      <alignment horizontal="center"/>
    </xf>
    <xf numFmtId="3" fontId="24" fillId="50" borderId="14" xfId="0" applyNumberFormat="1" applyFont="1" applyFill="1" applyBorder="1" applyAlignment="1">
      <alignment horizontal="center"/>
    </xf>
    <xf numFmtId="0" fontId="5" fillId="4" borderId="50" xfId="2" applyFont="1" applyFill="1" applyBorder="1" applyAlignment="1">
      <alignment horizontal="left" vertical="center" wrapText="1"/>
    </xf>
    <xf numFmtId="0" fontId="5" fillId="4" borderId="50" xfId="1" applyFont="1" applyFill="1" applyBorder="1" applyAlignment="1">
      <alignment horizontal="center" vertical="center" wrapText="1"/>
    </xf>
    <xf numFmtId="164" fontId="5" fillId="4" borderId="50" xfId="1" applyNumberFormat="1" applyFont="1" applyFill="1" applyBorder="1" applyAlignment="1">
      <alignment vertical="center" wrapText="1"/>
    </xf>
    <xf numFmtId="164" fontId="30" fillId="4" borderId="10" xfId="3" applyNumberFormat="1" applyFont="1" applyFill="1" applyBorder="1" applyAlignment="1">
      <alignment vertical="center" wrapText="1"/>
    </xf>
    <xf numFmtId="166" fontId="5" fillId="4" borderId="9" xfId="4" applyNumberFormat="1" applyFont="1" applyFill="1" applyBorder="1" applyAlignment="1">
      <alignment horizontal="center" vertical="center" wrapText="1"/>
    </xf>
    <xf numFmtId="0" fontId="5" fillId="4" borderId="37" xfId="2" applyFont="1" applyFill="1" applyBorder="1" applyAlignment="1">
      <alignment horizontal="left" vertical="center" wrapText="1"/>
    </xf>
    <xf numFmtId="4" fontId="2" fillId="4" borderId="21" xfId="0" applyNumberFormat="1" applyFont="1" applyFill="1" applyBorder="1"/>
    <xf numFmtId="4" fontId="21" fillId="41" borderId="21" xfId="0" applyNumberFormat="1" applyFont="1" applyFill="1" applyBorder="1"/>
    <xf numFmtId="4" fontId="21" fillId="41" borderId="22" xfId="0" applyNumberFormat="1" applyFont="1" applyFill="1" applyBorder="1"/>
    <xf numFmtId="4" fontId="0" fillId="4" borderId="5" xfId="0" applyNumberFormat="1" applyFill="1" applyBorder="1"/>
    <xf numFmtId="4" fontId="0" fillId="4" borderId="5" xfId="0" applyNumberFormat="1" applyFill="1" applyBorder="1" applyAlignment="1">
      <alignment horizontal="center" vertical="center"/>
    </xf>
    <xf numFmtId="4" fontId="39" fillId="46" borderId="5" xfId="0" applyNumberFormat="1" applyFont="1" applyFill="1" applyBorder="1"/>
    <xf numFmtId="4" fontId="39" fillId="46" borderId="6" xfId="0" applyNumberFormat="1" applyFont="1" applyFill="1" applyBorder="1"/>
    <xf numFmtId="4" fontId="0" fillId="4" borderId="3" xfId="0" applyNumberFormat="1" applyFill="1" applyBorder="1"/>
    <xf numFmtId="4" fontId="0" fillId="4" borderId="3" xfId="0" applyNumberFormat="1" applyFill="1" applyBorder="1" applyAlignment="1">
      <alignment horizontal="center" vertical="center"/>
    </xf>
    <xf numFmtId="4" fontId="39" fillId="46" borderId="3" xfId="0" applyNumberFormat="1" applyFont="1" applyFill="1" applyBorder="1"/>
    <xf numFmtId="4" fontId="39" fillId="46" borderId="8" xfId="0" applyNumberFormat="1" applyFont="1" applyFill="1" applyBorder="1"/>
    <xf numFmtId="4" fontId="0" fillId="4" borderId="10" xfId="0" applyNumberFormat="1" applyFill="1" applyBorder="1"/>
    <xf numFmtId="4" fontId="0" fillId="4" borderId="10" xfId="0" applyNumberFormat="1" applyFill="1" applyBorder="1" applyAlignment="1">
      <alignment horizontal="center" vertical="center"/>
    </xf>
    <xf numFmtId="4" fontId="39" fillId="46" borderId="10" xfId="0" applyNumberFormat="1" applyFont="1" applyFill="1" applyBorder="1"/>
    <xf numFmtId="4" fontId="39" fillId="46" borderId="11" xfId="0" applyNumberFormat="1" applyFont="1" applyFill="1" applyBorder="1"/>
    <xf numFmtId="4" fontId="2" fillId="4" borderId="22" xfId="0" applyNumberFormat="1" applyFont="1" applyFill="1" applyBorder="1"/>
    <xf numFmtId="4" fontId="0" fillId="4" borderId="6" xfId="0" applyNumberFormat="1" applyFill="1" applyBorder="1"/>
    <xf numFmtId="4" fontId="0" fillId="4" borderId="8" xfId="0" applyNumberFormat="1" applyFill="1" applyBorder="1"/>
    <xf numFmtId="4" fontId="0" fillId="4" borderId="11" xfId="0" applyNumberFormat="1" applyFill="1" applyBorder="1"/>
    <xf numFmtId="4" fontId="0" fillId="0" borderId="0" xfId="0" applyNumberFormat="1"/>
    <xf numFmtId="4" fontId="0" fillId="4" borderId="0" xfId="0" applyNumberFormat="1" applyFill="1"/>
    <xf numFmtId="4" fontId="0" fillId="4" borderId="5" xfId="0" applyNumberFormat="1" applyFill="1" applyBorder="1" applyAlignment="1">
      <alignment vertical="center"/>
    </xf>
    <xf numFmtId="4" fontId="0" fillId="4" borderId="3" xfId="0" applyNumberFormat="1" applyFill="1" applyBorder="1" applyAlignment="1">
      <alignment vertical="center"/>
    </xf>
    <xf numFmtId="4" fontId="0" fillId="4" borderId="10" xfId="0" applyNumberFormat="1" applyFill="1" applyBorder="1" applyAlignment="1">
      <alignment vertical="center"/>
    </xf>
    <xf numFmtId="4" fontId="0" fillId="45" borderId="5" xfId="0" applyNumberFormat="1" applyFill="1" applyBorder="1"/>
    <xf numFmtId="4" fontId="0" fillId="45" borderId="5" xfId="0" applyNumberFormat="1" applyFill="1" applyBorder="1" applyAlignment="1">
      <alignment horizontal="center" vertical="center"/>
    </xf>
    <xf numFmtId="4" fontId="0" fillId="45" borderId="3" xfId="0" applyNumberFormat="1" applyFill="1" applyBorder="1"/>
    <xf numFmtId="4" fontId="0" fillId="45" borderId="3" xfId="0" applyNumberFormat="1" applyFill="1" applyBorder="1" applyAlignment="1">
      <alignment horizontal="center" vertical="center"/>
    </xf>
    <xf numFmtId="4" fontId="0" fillId="45" borderId="10" xfId="0" applyNumberFormat="1" applyFill="1" applyBorder="1"/>
    <xf numFmtId="4" fontId="0" fillId="45" borderId="10" xfId="0" applyNumberFormat="1" applyFill="1" applyBorder="1" applyAlignment="1">
      <alignment horizontal="center" vertical="center"/>
    </xf>
    <xf numFmtId="0" fontId="21" fillId="47" borderId="5" xfId="0" applyFont="1" applyFill="1" applyBorder="1" applyAlignment="1">
      <alignment horizontal="center"/>
    </xf>
    <xf numFmtId="0" fontId="21" fillId="47" borderId="6" xfId="0" applyFont="1" applyFill="1" applyBorder="1" applyAlignment="1">
      <alignment horizontal="center"/>
    </xf>
    <xf numFmtId="0" fontId="6" fillId="3" borderId="7" xfId="0" applyFont="1" applyFill="1" applyBorder="1" applyAlignment="1">
      <alignment vertical="center"/>
    </xf>
    <xf numFmtId="0" fontId="6" fillId="37" borderId="9" xfId="0" applyFont="1" applyFill="1" applyBorder="1" applyAlignment="1">
      <alignment vertical="center"/>
    </xf>
    <xf numFmtId="4" fontId="0" fillId="45" borderId="5" xfId="0" applyNumberFormat="1" applyFill="1" applyBorder="1" applyAlignment="1">
      <alignment vertical="center"/>
    </xf>
    <xf numFmtId="4" fontId="0" fillId="45" borderId="3" xfId="0" applyNumberFormat="1" applyFill="1" applyBorder="1" applyAlignment="1">
      <alignment vertical="center"/>
    </xf>
    <xf numFmtId="4" fontId="0" fillId="45" borderId="10" xfId="0" applyNumberFormat="1" applyFill="1" applyBorder="1" applyAlignment="1">
      <alignment vertical="center"/>
    </xf>
    <xf numFmtId="168" fontId="0" fillId="4" borderId="3" xfId="0" applyNumberFormat="1" applyFill="1" applyBorder="1"/>
    <xf numFmtId="176" fontId="0" fillId="4" borderId="3" xfId="0" applyNumberFormat="1" applyFill="1" applyBorder="1"/>
    <xf numFmtId="177" fontId="0" fillId="4" borderId="3" xfId="0" applyNumberFormat="1" applyFill="1" applyBorder="1"/>
    <xf numFmtId="168" fontId="0" fillId="4" borderId="5" xfId="0" applyNumberFormat="1" applyFill="1" applyBorder="1"/>
    <xf numFmtId="176" fontId="0" fillId="4" borderId="5" xfId="0" applyNumberFormat="1" applyFill="1" applyBorder="1"/>
    <xf numFmtId="176" fontId="0" fillId="4" borderId="6" xfId="0" applyNumberFormat="1" applyFill="1" applyBorder="1"/>
    <xf numFmtId="176" fontId="0" fillId="4" borderId="8" xfId="0" applyNumberFormat="1" applyFill="1" applyBorder="1"/>
    <xf numFmtId="176" fontId="0" fillId="4" borderId="10" xfId="0" applyNumberFormat="1" applyFill="1" applyBorder="1"/>
    <xf numFmtId="176" fontId="0" fillId="4" borderId="11" xfId="0" applyNumberFormat="1" applyFill="1" applyBorder="1"/>
    <xf numFmtId="177" fontId="0" fillId="4" borderId="10" xfId="0" applyNumberFormat="1" applyFill="1" applyBorder="1"/>
    <xf numFmtId="165" fontId="0" fillId="45" borderId="5" xfId="0" applyNumberFormat="1" applyFill="1" applyBorder="1"/>
    <xf numFmtId="165" fontId="0" fillId="45" borderId="5" xfId="0" applyNumberFormat="1" applyFill="1" applyBorder="1" applyAlignment="1">
      <alignment horizontal="center" vertical="center"/>
    </xf>
    <xf numFmtId="165" fontId="0" fillId="45" borderId="3" xfId="0" applyNumberFormat="1" applyFill="1" applyBorder="1"/>
    <xf numFmtId="165" fontId="0" fillId="45" borderId="3" xfId="0" applyNumberFormat="1" applyFill="1" applyBorder="1" applyAlignment="1">
      <alignment horizontal="center" vertical="center"/>
    </xf>
    <xf numFmtId="165" fontId="0" fillId="45" borderId="10" xfId="0" applyNumberFormat="1" applyFill="1" applyBorder="1"/>
    <xf numFmtId="165" fontId="0" fillId="45" borderId="10" xfId="0" applyNumberFormat="1" applyFill="1" applyBorder="1" applyAlignment="1">
      <alignment horizontal="center" vertical="center"/>
    </xf>
    <xf numFmtId="0" fontId="2" fillId="4" borderId="7" xfId="0" applyFont="1" applyFill="1" applyBorder="1"/>
    <xf numFmtId="176" fontId="2" fillId="4" borderId="21" xfId="0" applyNumberFormat="1" applyFont="1" applyFill="1" applyBorder="1"/>
    <xf numFmtId="176" fontId="21" fillId="41" borderId="21" xfId="0" applyNumberFormat="1" applyFont="1" applyFill="1" applyBorder="1"/>
    <xf numFmtId="176" fontId="21" fillId="41" borderId="22" xfId="0" applyNumberFormat="1" applyFont="1" applyFill="1" applyBorder="1"/>
    <xf numFmtId="176" fontId="0" fillId="4" borderId="5" xfId="0" applyNumberFormat="1" applyFill="1" applyBorder="1" applyAlignment="1">
      <alignment horizontal="center" vertical="center"/>
    </xf>
    <xf numFmtId="176" fontId="39" fillId="46" borderId="5" xfId="0" applyNumberFormat="1" applyFont="1" applyFill="1" applyBorder="1"/>
    <xf numFmtId="176" fontId="39" fillId="46" borderId="6" xfId="0" applyNumberFormat="1" applyFont="1" applyFill="1" applyBorder="1"/>
    <xf numFmtId="176" fontId="0" fillId="4" borderId="3" xfId="0" applyNumberFormat="1" applyFill="1" applyBorder="1" applyAlignment="1">
      <alignment horizontal="center" vertical="center"/>
    </xf>
    <xf numFmtId="176" fontId="39" fillId="46" borderId="3" xfId="0" applyNumberFormat="1" applyFont="1" applyFill="1" applyBorder="1"/>
    <xf numFmtId="176" fontId="39" fillId="46" borderId="8" xfId="0" applyNumberFormat="1" applyFont="1" applyFill="1" applyBorder="1"/>
    <xf numFmtId="176" fontId="0" fillId="4" borderId="10" xfId="0" applyNumberFormat="1" applyFill="1" applyBorder="1" applyAlignment="1">
      <alignment horizontal="center" vertical="center"/>
    </xf>
    <xf numFmtId="176" fontId="2" fillId="4" borderId="22" xfId="0" applyNumberFormat="1" applyFont="1" applyFill="1" applyBorder="1"/>
    <xf numFmtId="176" fontId="0" fillId="45" borderId="5" xfId="0" applyNumberFormat="1" applyFill="1" applyBorder="1"/>
    <xf numFmtId="176" fontId="0" fillId="45" borderId="5" xfId="0" applyNumberFormat="1" applyFill="1" applyBorder="1" applyAlignment="1">
      <alignment horizontal="center" vertical="center"/>
    </xf>
    <xf numFmtId="176" fontId="0" fillId="45" borderId="3" xfId="0" applyNumberFormat="1" applyFill="1" applyBorder="1"/>
    <xf numFmtId="176" fontId="0" fillId="45" borderId="3" xfId="0" applyNumberFormat="1" applyFill="1" applyBorder="1" applyAlignment="1">
      <alignment horizontal="center" vertical="center"/>
    </xf>
    <xf numFmtId="176" fontId="0" fillId="45" borderId="10" xfId="0" applyNumberFormat="1" applyFill="1" applyBorder="1"/>
    <xf numFmtId="176" fontId="0" fillId="45" borderId="10" xfId="0" applyNumberFormat="1" applyFill="1" applyBorder="1" applyAlignment="1">
      <alignment horizontal="center" vertical="center"/>
    </xf>
    <xf numFmtId="176" fontId="0" fillId="0" borderId="0" xfId="0" applyNumberFormat="1"/>
    <xf numFmtId="176" fontId="0" fillId="4" borderId="0" xfId="0" applyNumberFormat="1" applyFill="1"/>
    <xf numFmtId="176" fontId="39" fillId="4" borderId="6" xfId="0" applyNumberFormat="1" applyFont="1" applyFill="1" applyBorder="1"/>
    <xf numFmtId="176" fontId="39" fillId="4" borderId="8" xfId="0" applyNumberFormat="1" applyFont="1" applyFill="1" applyBorder="1"/>
    <xf numFmtId="176" fontId="39" fillId="4" borderId="5" xfId="0" applyNumberFormat="1" applyFont="1" applyFill="1" applyBorder="1"/>
    <xf numFmtId="176" fontId="39" fillId="4" borderId="3" xfId="0" applyNumberFormat="1" applyFont="1" applyFill="1" applyBorder="1"/>
    <xf numFmtId="0" fontId="31" fillId="0" borderId="0" xfId="0" applyFont="1"/>
    <xf numFmtId="0" fontId="2" fillId="40" borderId="0" xfId="0" applyFont="1" applyFill="1"/>
    <xf numFmtId="0" fontId="2" fillId="40" borderId="9" xfId="0" applyFont="1" applyFill="1" applyBorder="1"/>
    <xf numFmtId="0" fontId="31" fillId="51" borderId="42" xfId="0" applyFont="1" applyFill="1" applyBorder="1"/>
    <xf numFmtId="0" fontId="0" fillId="51" borderId="43" xfId="0" applyFill="1" applyBorder="1"/>
    <xf numFmtId="0" fontId="0" fillId="51" borderId="44" xfId="0" applyFill="1" applyBorder="1"/>
    <xf numFmtId="0" fontId="0" fillId="46" borderId="42" xfId="0" applyFill="1" applyBorder="1"/>
    <xf numFmtId="0" fontId="21" fillId="50" borderId="43" xfId="0" applyFont="1" applyFill="1" applyBorder="1" applyAlignment="1">
      <alignment horizontal="center"/>
    </xf>
    <xf numFmtId="10" fontId="0" fillId="4" borderId="5" xfId="4" applyNumberFormat="1" applyFont="1" applyFill="1" applyBorder="1" applyAlignment="1">
      <alignment horizontal="center" vertical="center" wrapText="1"/>
    </xf>
    <xf numFmtId="10" fontId="0" fillId="4" borderId="51" xfId="4" applyNumberFormat="1" applyFont="1" applyFill="1" applyBorder="1" applyAlignment="1">
      <alignment horizontal="center" vertical="center" wrapText="1"/>
    </xf>
    <xf numFmtId="10" fontId="24" fillId="50" borderId="54" xfId="4" applyNumberFormat="1" applyFont="1" applyFill="1" applyBorder="1" applyAlignment="1">
      <alignment horizontal="center" vertical="center" wrapText="1"/>
    </xf>
    <xf numFmtId="10" fontId="0" fillId="4" borderId="3" xfId="4" applyNumberFormat="1" applyFont="1" applyFill="1" applyBorder="1" applyAlignment="1">
      <alignment horizontal="center" vertical="center" wrapText="1"/>
    </xf>
    <xf numFmtId="10" fontId="0" fillId="4" borderId="52" xfId="4" applyNumberFormat="1" applyFont="1" applyFill="1" applyBorder="1" applyAlignment="1">
      <alignment horizontal="center" vertical="center" wrapText="1"/>
    </xf>
    <xf numFmtId="10" fontId="24" fillId="50" borderId="55" xfId="4" applyNumberFormat="1" applyFont="1" applyFill="1" applyBorder="1" applyAlignment="1">
      <alignment horizontal="center" vertical="center" wrapText="1"/>
    </xf>
    <xf numFmtId="10" fontId="2" fillId="4" borderId="10" xfId="4" applyNumberFormat="1" applyFont="1" applyFill="1" applyBorder="1" applyAlignment="1">
      <alignment horizontal="center" vertical="center" wrapText="1"/>
    </xf>
    <xf numFmtId="10" fontId="2" fillId="4" borderId="53" xfId="4" applyNumberFormat="1" applyFont="1" applyFill="1" applyBorder="1" applyAlignment="1">
      <alignment horizontal="center" vertical="center" wrapText="1"/>
    </xf>
    <xf numFmtId="10" fontId="21" fillId="50" borderId="56" xfId="4" applyNumberFormat="1" applyFont="1" applyFill="1" applyBorder="1" applyAlignment="1">
      <alignment horizontal="center" vertical="center" wrapText="1"/>
    </xf>
    <xf numFmtId="0" fontId="21" fillId="52" borderId="41" xfId="0" applyFont="1" applyFill="1" applyBorder="1"/>
    <xf numFmtId="169" fontId="2" fillId="4" borderId="5" xfId="4" applyNumberFormat="1" applyFont="1" applyFill="1" applyBorder="1" applyAlignment="1">
      <alignment horizontal="center"/>
    </xf>
    <xf numFmtId="169" fontId="2" fillId="4" borderId="6" xfId="4" applyNumberFormat="1" applyFont="1" applyFill="1" applyBorder="1" applyAlignment="1">
      <alignment horizontal="center"/>
    </xf>
    <xf numFmtId="10" fontId="21" fillId="50" borderId="3" xfId="4" applyNumberFormat="1" applyFont="1" applyFill="1" applyBorder="1" applyAlignment="1">
      <alignment horizontal="center"/>
    </xf>
    <xf numFmtId="10" fontId="21" fillId="50" borderId="8" xfId="4" applyNumberFormat="1" applyFont="1" applyFill="1" applyBorder="1" applyAlignment="1">
      <alignment horizontal="center"/>
    </xf>
    <xf numFmtId="178" fontId="21" fillId="50" borderId="10" xfId="4" applyNumberFormat="1" applyFont="1" applyFill="1" applyBorder="1" applyAlignment="1">
      <alignment horizontal="center"/>
    </xf>
    <xf numFmtId="178" fontId="21" fillId="50" borderId="11" xfId="4" applyNumberFormat="1" applyFont="1" applyFill="1" applyBorder="1" applyAlignment="1">
      <alignment horizontal="center"/>
    </xf>
    <xf numFmtId="3" fontId="0" fillId="51" borderId="5" xfId="0" applyNumberFormat="1" applyFill="1" applyBorder="1" applyAlignment="1">
      <alignment horizontal="center"/>
    </xf>
    <xf numFmtId="3" fontId="0" fillId="51" borderId="3" xfId="0" applyNumberFormat="1" applyFill="1" applyBorder="1" applyAlignment="1">
      <alignment horizontal="center"/>
    </xf>
    <xf numFmtId="3" fontId="0" fillId="51" borderId="13" xfId="0" applyNumberFormat="1" applyFill="1" applyBorder="1" applyAlignment="1">
      <alignment horizontal="center"/>
    </xf>
    <xf numFmtId="3" fontId="2" fillId="51" borderId="23" xfId="0" applyNumberFormat="1" applyFont="1" applyFill="1" applyBorder="1" applyAlignment="1">
      <alignment horizontal="center"/>
    </xf>
    <xf numFmtId="179" fontId="0" fillId="4" borderId="5" xfId="0" applyNumberFormat="1" applyFill="1" applyBorder="1"/>
    <xf numFmtId="179" fontId="0" fillId="4" borderId="5" xfId="0" applyNumberFormat="1" applyFill="1" applyBorder="1" applyAlignment="1">
      <alignment horizontal="center" vertical="center"/>
    </xf>
    <xf numFmtId="179" fontId="0" fillId="4" borderId="3" xfId="0" applyNumberFormat="1" applyFill="1" applyBorder="1"/>
    <xf numFmtId="179" fontId="0" fillId="4" borderId="3" xfId="0" applyNumberFormat="1" applyFill="1" applyBorder="1" applyAlignment="1">
      <alignment horizontal="center" vertical="center"/>
    </xf>
    <xf numFmtId="179" fontId="0" fillId="4" borderId="10" xfId="0" applyNumberFormat="1" applyFill="1" applyBorder="1"/>
    <xf numFmtId="179" fontId="0" fillId="4" borderId="10" xfId="0" applyNumberFormat="1" applyFill="1" applyBorder="1" applyAlignment="1">
      <alignment horizontal="center" vertical="center"/>
    </xf>
    <xf numFmtId="180" fontId="0" fillId="4" borderId="5" xfId="0" applyNumberFormat="1" applyFill="1" applyBorder="1"/>
    <xf numFmtId="180" fontId="0" fillId="4" borderId="5" xfId="0" applyNumberFormat="1" applyFill="1" applyBorder="1" applyAlignment="1">
      <alignment horizontal="center" vertical="center"/>
    </xf>
    <xf numFmtId="180" fontId="0" fillId="4" borderId="6" xfId="0" applyNumberFormat="1" applyFill="1" applyBorder="1"/>
    <xf numFmtId="180" fontId="0" fillId="4" borderId="3" xfId="0" applyNumberFormat="1" applyFill="1" applyBorder="1"/>
    <xf numFmtId="180" fontId="0" fillId="4" borderId="3" xfId="0" applyNumberFormat="1" applyFill="1" applyBorder="1" applyAlignment="1">
      <alignment horizontal="center" vertical="center"/>
    </xf>
    <xf numFmtId="180" fontId="0" fillId="4" borderId="8" xfId="0" applyNumberFormat="1" applyFill="1" applyBorder="1"/>
    <xf numFmtId="180" fontId="0" fillId="4" borderId="10" xfId="0" applyNumberFormat="1" applyFill="1" applyBorder="1"/>
    <xf numFmtId="180" fontId="0" fillId="4" borderId="10" xfId="0" applyNumberFormat="1" applyFill="1" applyBorder="1" applyAlignment="1">
      <alignment horizontal="center" vertical="center"/>
    </xf>
    <xf numFmtId="180" fontId="0" fillId="4" borderId="11" xfId="0" applyNumberFormat="1" applyFill="1" applyBorder="1"/>
    <xf numFmtId="181" fontId="0" fillId="4" borderId="5" xfId="0" applyNumberFormat="1" applyFill="1" applyBorder="1"/>
    <xf numFmtId="181" fontId="0" fillId="4" borderId="5" xfId="0" applyNumberFormat="1" applyFill="1" applyBorder="1" applyAlignment="1">
      <alignment horizontal="center" vertical="center"/>
    </xf>
    <xf numFmtId="181" fontId="0" fillId="4" borderId="6" xfId="0" applyNumberFormat="1" applyFill="1" applyBorder="1"/>
    <xf numFmtId="181" fontId="0" fillId="4" borderId="3" xfId="0" applyNumberFormat="1" applyFill="1" applyBorder="1"/>
    <xf numFmtId="181" fontId="0" fillId="4" borderId="3" xfId="0" applyNumberFormat="1" applyFill="1" applyBorder="1" applyAlignment="1">
      <alignment horizontal="center" vertical="center"/>
    </xf>
    <xf numFmtId="181" fontId="0" fillId="4" borderId="8" xfId="0" applyNumberFormat="1" applyFill="1" applyBorder="1"/>
    <xf numFmtId="181" fontId="0" fillId="4" borderId="10" xfId="0" applyNumberFormat="1" applyFill="1" applyBorder="1"/>
    <xf numFmtId="181" fontId="0" fillId="4" borderId="10" xfId="0" applyNumberFormat="1" applyFill="1" applyBorder="1" applyAlignment="1">
      <alignment horizontal="center" vertical="center"/>
    </xf>
    <xf numFmtId="181" fontId="0" fillId="4" borderId="11" xfId="0" applyNumberFormat="1" applyFill="1" applyBorder="1"/>
    <xf numFmtId="181" fontId="0" fillId="4" borderId="5" xfId="0" applyNumberFormat="1" applyFill="1" applyBorder="1" applyAlignment="1">
      <alignment vertical="center"/>
    </xf>
    <xf numFmtId="181" fontId="0" fillId="4" borderId="3" xfId="0" applyNumberFormat="1" applyFill="1" applyBorder="1" applyAlignment="1">
      <alignment vertical="center"/>
    </xf>
    <xf numFmtId="181" fontId="0" fillId="4" borderId="10" xfId="0" applyNumberFormat="1" applyFill="1" applyBorder="1" applyAlignment="1">
      <alignment vertical="center"/>
    </xf>
    <xf numFmtId="182" fontId="0" fillId="4" borderId="5" xfId="0" applyNumberFormat="1" applyFill="1" applyBorder="1"/>
    <xf numFmtId="182" fontId="0" fillId="4" borderId="5" xfId="0" applyNumberFormat="1" applyFill="1" applyBorder="1" applyAlignment="1">
      <alignment vertical="center"/>
    </xf>
    <xf numFmtId="182" fontId="0" fillId="4" borderId="6" xfId="0" applyNumberFormat="1" applyFill="1" applyBorder="1"/>
    <xf numFmtId="182" fontId="0" fillId="4" borderId="3" xfId="0" applyNumberFormat="1" applyFill="1" applyBorder="1"/>
    <xf numFmtId="182" fontId="0" fillId="4" borderId="3" xfId="0" applyNumberFormat="1" applyFill="1" applyBorder="1" applyAlignment="1">
      <alignment vertical="center"/>
    </xf>
    <xf numFmtId="182" fontId="0" fillId="4" borderId="8" xfId="0" applyNumberFormat="1" applyFill="1" applyBorder="1"/>
    <xf numFmtId="182" fontId="0" fillId="4" borderId="10" xfId="0" applyNumberFormat="1" applyFill="1" applyBorder="1"/>
    <xf numFmtId="182" fontId="0" fillId="4" borderId="10" xfId="0" applyNumberFormat="1" applyFill="1" applyBorder="1" applyAlignment="1">
      <alignment vertical="center"/>
    </xf>
    <xf numFmtId="182" fontId="0" fillId="4" borderId="11" xfId="0" applyNumberFormat="1" applyFill="1" applyBorder="1"/>
    <xf numFmtId="179" fontId="39" fillId="4" borderId="6" xfId="0" applyNumberFormat="1" applyFont="1" applyFill="1" applyBorder="1"/>
    <xf numFmtId="179" fontId="39" fillId="4" borderId="8" xfId="0" applyNumberFormat="1" applyFont="1" applyFill="1" applyBorder="1"/>
    <xf numFmtId="172" fontId="0" fillId="4" borderId="5" xfId="0" applyNumberFormat="1" applyFill="1" applyBorder="1"/>
    <xf numFmtId="172" fontId="0" fillId="4" borderId="5" xfId="0" applyNumberFormat="1" applyFill="1" applyBorder="1" applyAlignment="1">
      <alignment horizontal="center" vertical="center"/>
    </xf>
    <xf numFmtId="172" fontId="0" fillId="4" borderId="6" xfId="0" applyNumberFormat="1" applyFill="1" applyBorder="1"/>
    <xf numFmtId="172" fontId="0" fillId="4" borderId="3" xfId="0" applyNumberFormat="1" applyFill="1" applyBorder="1"/>
    <xf numFmtId="172" fontId="0" fillId="4" borderId="3" xfId="0" applyNumberFormat="1" applyFill="1" applyBorder="1" applyAlignment="1">
      <alignment horizontal="center" vertical="center"/>
    </xf>
    <xf numFmtId="172" fontId="0" fillId="4" borderId="8" xfId="0" applyNumberFormat="1" applyFill="1" applyBorder="1"/>
    <xf numFmtId="172" fontId="0" fillId="4" borderId="10" xfId="0" applyNumberFormat="1" applyFill="1" applyBorder="1"/>
    <xf numFmtId="172" fontId="0" fillId="4" borderId="10" xfId="0" applyNumberFormat="1" applyFill="1" applyBorder="1" applyAlignment="1">
      <alignment horizontal="center" vertical="center"/>
    </xf>
    <xf numFmtId="172" fontId="0" fillId="4" borderId="11" xfId="0" applyNumberFormat="1" applyFill="1" applyBorder="1"/>
    <xf numFmtId="183" fontId="0" fillId="4" borderId="5" xfId="0" applyNumberFormat="1" applyFill="1" applyBorder="1"/>
    <xf numFmtId="183" fontId="0" fillId="4" borderId="5" xfId="0" applyNumberFormat="1" applyFill="1" applyBorder="1" applyAlignment="1">
      <alignment horizontal="center" vertical="center"/>
    </xf>
    <xf numFmtId="183" fontId="0" fillId="4" borderId="6" xfId="0" applyNumberFormat="1" applyFill="1" applyBorder="1"/>
    <xf numFmtId="183" fontId="0" fillId="4" borderId="3" xfId="0" applyNumberFormat="1" applyFill="1" applyBorder="1"/>
    <xf numFmtId="183" fontId="0" fillId="4" borderId="3" xfId="0" applyNumberFormat="1" applyFill="1" applyBorder="1" applyAlignment="1">
      <alignment horizontal="center" vertical="center"/>
    </xf>
    <xf numFmtId="183" fontId="0" fillId="4" borderId="8" xfId="0" applyNumberFormat="1" applyFill="1" applyBorder="1"/>
    <xf numFmtId="183" fontId="0" fillId="4" borderId="10" xfId="0" applyNumberFormat="1" applyFill="1" applyBorder="1"/>
    <xf numFmtId="183" fontId="0" fillId="4" borderId="10" xfId="0" applyNumberFormat="1" applyFill="1" applyBorder="1" applyAlignment="1">
      <alignment horizontal="center" vertical="center"/>
    </xf>
    <xf numFmtId="183" fontId="0" fillId="4" borderId="11" xfId="0" applyNumberFormat="1" applyFill="1" applyBorder="1"/>
    <xf numFmtId="0" fontId="7" fillId="2" borderId="15" xfId="0" applyFont="1" applyFill="1" applyBorder="1" applyAlignment="1">
      <alignment horizontal="center" vertical="center" wrapText="1"/>
    </xf>
    <xf numFmtId="0" fontId="7" fillId="2" borderId="16" xfId="0" applyFont="1" applyFill="1" applyBorder="1" applyAlignment="1">
      <alignment horizontal="center" vertical="center" wrapText="1"/>
    </xf>
    <xf numFmtId="0" fontId="7" fillId="2" borderId="1" xfId="0" applyFont="1" applyFill="1" applyBorder="1" applyAlignment="1">
      <alignment horizontal="center" vertical="center"/>
    </xf>
    <xf numFmtId="0" fontId="0" fillId="0" borderId="0" xfId="0" applyAlignment="1">
      <alignment horizontal="center" vertical="center" wrapText="1"/>
    </xf>
    <xf numFmtId="0" fontId="38" fillId="4" borderId="38" xfId="1" applyFont="1" applyFill="1" applyBorder="1" applyAlignment="1">
      <alignment horizontal="center" vertical="center"/>
    </xf>
    <xf numFmtId="0" fontId="38" fillId="4" borderId="23" xfId="1" applyFont="1" applyFill="1" applyBorder="1" applyAlignment="1">
      <alignment horizontal="center" vertical="center"/>
    </xf>
    <xf numFmtId="0" fontId="0" fillId="0" borderId="46" xfId="0" applyBorder="1" applyAlignment="1">
      <alignment horizontal="center" vertical="center" wrapText="1"/>
    </xf>
    <xf numFmtId="0" fontId="0" fillId="49" borderId="46" xfId="0" applyFill="1" applyBorder="1" applyAlignment="1">
      <alignment horizontal="center" vertical="center" wrapText="1"/>
    </xf>
  </cellXfs>
  <cellStyles count="72">
    <cellStyle name="20% - Énfasis1" xfId="23" builtinId="30" customBuiltin="1"/>
    <cellStyle name="20% - Énfasis2" xfId="27" builtinId="34" customBuiltin="1"/>
    <cellStyle name="20% - Énfasis3" xfId="31" builtinId="38" customBuiltin="1"/>
    <cellStyle name="20% - Énfasis4" xfId="35" builtinId="42" customBuiltin="1"/>
    <cellStyle name="20% - Énfasis5" xfId="39" builtinId="46" customBuiltin="1"/>
    <cellStyle name="20% - Énfasis6" xfId="43" builtinId="50" customBuiltin="1"/>
    <cellStyle name="40% - Énfasis1" xfId="24" builtinId="31" customBuiltin="1"/>
    <cellStyle name="40% - Énfasis2" xfId="28" builtinId="35" customBuiltin="1"/>
    <cellStyle name="40% - Énfasis3" xfId="32" builtinId="39" customBuiltin="1"/>
    <cellStyle name="40% - Énfasis4" xfId="36" builtinId="43" customBuiltin="1"/>
    <cellStyle name="40% - Énfasis5" xfId="40" builtinId="47" customBuiltin="1"/>
    <cellStyle name="40% - Énfasis6" xfId="44" builtinId="51" customBuiltin="1"/>
    <cellStyle name="60% - Énfasis1" xfId="25" builtinId="32" customBuiltin="1"/>
    <cellStyle name="60% - Énfasis2" xfId="29" builtinId="36" customBuiltin="1"/>
    <cellStyle name="60% - Énfasis3" xfId="33" builtinId="40" customBuiltin="1"/>
    <cellStyle name="60% - Énfasis4" xfId="37" builtinId="44" customBuiltin="1"/>
    <cellStyle name="60% - Énfasis5" xfId="41" builtinId="48" customBuiltin="1"/>
    <cellStyle name="60% - Énfasis6" xfId="45" builtinId="52" customBuiltin="1"/>
    <cellStyle name="Bueno" xfId="10" builtinId="26" customBuiltin="1"/>
    <cellStyle name="Cálculo" xfId="15" builtinId="22" customBuiltin="1"/>
    <cellStyle name="Celda de comprobación" xfId="17" builtinId="23" customBuiltin="1"/>
    <cellStyle name="Celda vinculada" xfId="16" builtinId="24" customBuiltin="1"/>
    <cellStyle name="Comma 2" xfId="48" xr:uid="{C44A0867-0A2D-477B-8E46-2895FD97FB11}"/>
    <cellStyle name="Encabezado 1" xfId="6" builtinId="16" customBuiltin="1"/>
    <cellStyle name="Encabezado 4" xfId="9" builtinId="19" customBuiltin="1"/>
    <cellStyle name="Énfasis1" xfId="22" builtinId="29" customBuiltin="1"/>
    <cellStyle name="Énfasis2" xfId="26" builtinId="33" customBuiltin="1"/>
    <cellStyle name="Énfasis3" xfId="30" builtinId="37" customBuiltin="1"/>
    <cellStyle name="Énfasis4" xfId="34" builtinId="41" customBuiltin="1"/>
    <cellStyle name="Énfasis5" xfId="38" builtinId="45" customBuiltin="1"/>
    <cellStyle name="Énfasis6" xfId="42" builtinId="49" customBuiltin="1"/>
    <cellStyle name="Entrada" xfId="13" builtinId="20" customBuiltin="1"/>
    <cellStyle name="Hipervínculo 2" xfId="50" xr:uid="{ECAE4C7E-BE7E-4B05-AAE6-4F3B53ACBEA2}"/>
    <cellStyle name="Hipervínculo 2 2" xfId="53" xr:uid="{5910E8D7-E183-4D9A-9328-FF2FF0528C2E}"/>
    <cellStyle name="Hipervínculo 2 3" xfId="61" xr:uid="{8968846B-2FEE-4D0A-B70D-0F24199E9534}"/>
    <cellStyle name="Hipervínculo 2 4" xfId="64" xr:uid="{E4933F73-5616-4462-A4BF-A4FE5A4462DB}"/>
    <cellStyle name="Hipervínculo 2 5" xfId="69" xr:uid="{4F8AE29B-2068-4B0D-9615-592F8A28E793}"/>
    <cellStyle name="Hyperlink 2" xfId="57" xr:uid="{4F3667D3-36B2-4575-B51B-EFE0C730EA9A}"/>
    <cellStyle name="Incorrecto" xfId="11" builtinId="27" customBuiltin="1"/>
    <cellStyle name="Millares 2" xfId="56" xr:uid="{B979FEE0-99DA-40EA-925F-09E3A53A780C}"/>
    <cellStyle name="Millares 2 2" xfId="46" xr:uid="{9548CD18-D3CE-48D2-8DBB-620B8F7370BC}"/>
    <cellStyle name="Neutral" xfId="12" builtinId="28" customBuiltin="1"/>
    <cellStyle name="Normal" xfId="0" builtinId="0"/>
    <cellStyle name="Normal 2" xfId="49" xr:uid="{716089BE-4FE7-4F03-A6DB-48A75D5A1211}"/>
    <cellStyle name="Normal 2 2" xfId="55" xr:uid="{FFC6A610-39C0-4F58-B3B0-FEBE67C2129B}"/>
    <cellStyle name="Normal 2 3" xfId="60" xr:uid="{7C151EC9-3F95-4E2A-9AE0-4921C56F9F9A}"/>
    <cellStyle name="Normal 2 4" xfId="63" xr:uid="{4B1A6FE4-E7F4-4A46-8039-1C39FB2477C2}"/>
    <cellStyle name="Normal 2 5" xfId="68" xr:uid="{0DB76455-DCEE-45D6-914D-722134D01367}"/>
    <cellStyle name="Normal 3" xfId="1" xr:uid="{B4D7C20E-82DD-4050-A869-76DE324FB6F5}"/>
    <cellStyle name="Normal 3 2" xfId="3" xr:uid="{273A3F2E-99D4-4EB6-B0C6-BBF060E24E54}"/>
    <cellStyle name="Normal 3 3" xfId="58" xr:uid="{B766C58F-9F0E-45CC-94EB-C4C0246A82B2}"/>
    <cellStyle name="Normal 3 3 2" xfId="67" xr:uid="{43328FE4-8631-4ACF-9197-9287238584ED}"/>
    <cellStyle name="Normal 3 3 3" xfId="66" xr:uid="{C87DDBF7-FC34-4ACA-9BB4-58FD60B08E63}"/>
    <cellStyle name="Normal 3 4" xfId="54" xr:uid="{E2BE89A3-34DE-4F7C-A774-89E9F94CA410}"/>
    <cellStyle name="Normal 3 4 2" xfId="71" xr:uid="{60D2A3AB-0FC2-4720-8331-B0B11F8A025D}"/>
    <cellStyle name="Normal 3 4 3" xfId="70" xr:uid="{347A4932-6679-4134-B0B1-B4600DB60171}"/>
    <cellStyle name="Normal 3 5" xfId="59" xr:uid="{02B89B87-F3D1-46A2-9793-33059178CFDF}"/>
    <cellStyle name="Normal 3 6" xfId="62" xr:uid="{98CD7BB6-BD11-4FF6-BF74-3DEA7AA67CCE}"/>
    <cellStyle name="Normal 3 7" xfId="65" xr:uid="{E2F7D4F5-AB0A-4ACA-90B6-43BC1D926908}"/>
    <cellStyle name="Normal 3 8" xfId="47" xr:uid="{0C647E45-BBF1-44A4-BEAF-AFCB37421125}"/>
    <cellStyle name="Normal 4" xfId="52" xr:uid="{BB4D4C32-A21D-48DC-AE70-42D68B57331D}"/>
    <cellStyle name="Normal_all-ws" xfId="2" xr:uid="{CCA292BA-DDCE-43FB-B8C7-FB926012E805}"/>
    <cellStyle name="Notas" xfId="19" builtinId="10" customBuiltin="1"/>
    <cellStyle name="Porcentaje" xfId="4" builtinId="5"/>
    <cellStyle name="Porcentaje 2" xfId="51" xr:uid="{EF387915-BFC7-42CB-9506-DFB41CB73C5E}"/>
    <cellStyle name="Salida" xfId="14" builtinId="21" customBuiltin="1"/>
    <cellStyle name="Texto de advertencia" xfId="18" builtinId="11" customBuiltin="1"/>
    <cellStyle name="Texto explicativo" xfId="20" builtinId="53" customBuiltin="1"/>
    <cellStyle name="Título" xfId="5" builtinId="15" customBuiltin="1"/>
    <cellStyle name="Título 2" xfId="7" builtinId="17" customBuiltin="1"/>
    <cellStyle name="Título 3" xfId="8" builtinId="18" customBuiltin="1"/>
    <cellStyle name="Total" xfId="21"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RESULTADOS!$A$106</c:f>
              <c:strCache>
                <c:ptCount val="1"/>
                <c:pt idx="0">
                  <c:v>Escenario Tendencial (Gg CO2)</c:v>
                </c:pt>
              </c:strCache>
            </c:strRef>
          </c:tx>
          <c:spPr>
            <a:ln w="57150" cap="rnd">
              <a:solidFill>
                <a:srgbClr val="00B0F0"/>
              </a:solidFill>
              <a:prstDash val="lgDash"/>
              <a:round/>
            </a:ln>
            <a:effectLst/>
          </c:spPr>
          <c:marker>
            <c:symbol val="none"/>
          </c:marker>
          <c:cat>
            <c:numRef>
              <c:f>RESULTADOS!$B$101:$AA$101</c:f>
              <c:numCache>
                <c:formatCode>General</c:formatCode>
                <c:ptCount val="26"/>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pt idx="16">
                  <c:v>2026</c:v>
                </c:pt>
                <c:pt idx="17">
                  <c:v>2027</c:v>
                </c:pt>
                <c:pt idx="18">
                  <c:v>2028</c:v>
                </c:pt>
                <c:pt idx="19">
                  <c:v>2029</c:v>
                </c:pt>
                <c:pt idx="20">
                  <c:v>2030</c:v>
                </c:pt>
                <c:pt idx="21">
                  <c:v>2031</c:v>
                </c:pt>
                <c:pt idx="22">
                  <c:v>2032</c:v>
                </c:pt>
                <c:pt idx="23">
                  <c:v>2033</c:v>
                </c:pt>
                <c:pt idx="24">
                  <c:v>2034</c:v>
                </c:pt>
                <c:pt idx="25">
                  <c:v>2035</c:v>
                </c:pt>
              </c:numCache>
            </c:numRef>
          </c:cat>
          <c:val>
            <c:numRef>
              <c:f>RESULTADOS!$B$106:$AA$106</c:f>
              <c:numCache>
                <c:formatCode>#,##0</c:formatCode>
                <c:ptCount val="26"/>
                <c:pt idx="0">
                  <c:v>35102.131374327924</c:v>
                </c:pt>
                <c:pt idx="1">
                  <c:v>33854.392618995291</c:v>
                </c:pt>
                <c:pt idx="2">
                  <c:v>32606.653863662657</c:v>
                </c:pt>
                <c:pt idx="3">
                  <c:v>31782.293290209673</c:v>
                </c:pt>
                <c:pt idx="4">
                  <c:v>30957.932716756681</c:v>
                </c:pt>
                <c:pt idx="5">
                  <c:v>29498.879188653769</c:v>
                </c:pt>
                <c:pt idx="6">
                  <c:v>28039.82566055085</c:v>
                </c:pt>
                <c:pt idx="7">
                  <c:v>24158.167148490793</c:v>
                </c:pt>
                <c:pt idx="8">
                  <c:v>20276.508636430743</c:v>
                </c:pt>
                <c:pt idx="9">
                  <c:v>19895.157447153593</c:v>
                </c:pt>
                <c:pt idx="10">
                  <c:v>20296.883819064697</c:v>
                </c:pt>
                <c:pt idx="11">
                  <c:v>24581.417410139871</c:v>
                </c:pt>
                <c:pt idx="12">
                  <c:v>25795.119254906807</c:v>
                </c:pt>
                <c:pt idx="13">
                  <c:v>22970.665031179353</c:v>
                </c:pt>
                <c:pt idx="14">
                  <c:v>22737.192201129561</c:v>
                </c:pt>
                <c:pt idx="15">
                  <c:v>22505.536692382706</c:v>
                </c:pt>
                <c:pt idx="16">
                  <c:v>22275.68476260695</c:v>
                </c:pt>
                <c:pt idx="17">
                  <c:v>22047.62277321922</c:v>
                </c:pt>
                <c:pt idx="18">
                  <c:v>21821.367216325107</c:v>
                </c:pt>
                <c:pt idx="19">
                  <c:v>21596.814348915326</c:v>
                </c:pt>
                <c:pt idx="20">
                  <c:v>21374.011814583046</c:v>
                </c:pt>
                <c:pt idx="21">
                  <c:v>21153.034367384444</c:v>
                </c:pt>
                <c:pt idx="22">
                  <c:v>20933.7206284118</c:v>
                </c:pt>
                <c:pt idx="23">
                  <c:v>20716.117138780079</c:v>
                </c:pt>
                <c:pt idx="24">
                  <c:v>20500.210964510941</c:v>
                </c:pt>
                <c:pt idx="25">
                  <c:v>20286.017697870815</c:v>
                </c:pt>
              </c:numCache>
            </c:numRef>
          </c:val>
          <c:smooth val="0"/>
          <c:extLst>
            <c:ext xmlns:c16="http://schemas.microsoft.com/office/drawing/2014/chart" uri="{C3380CC4-5D6E-409C-BE32-E72D297353CC}">
              <c16:uniqueId val="{00000000-C1ED-4454-B53F-C9B60FB2C40E}"/>
            </c:ext>
          </c:extLst>
        </c:ser>
        <c:ser>
          <c:idx val="1"/>
          <c:order val="1"/>
          <c:tx>
            <c:strRef>
              <c:f>RESULTADOS!$A$107</c:f>
              <c:strCache>
                <c:ptCount val="1"/>
                <c:pt idx="0">
                  <c:v>Escenario Incondicional (Gg CO2)</c:v>
                </c:pt>
              </c:strCache>
            </c:strRef>
          </c:tx>
          <c:spPr>
            <a:ln w="28575" cap="rnd">
              <a:solidFill>
                <a:schemeClr val="accent2"/>
              </a:solidFill>
              <a:round/>
            </a:ln>
            <a:effectLst/>
          </c:spPr>
          <c:marker>
            <c:symbol val="none"/>
          </c:marker>
          <c:cat>
            <c:numRef>
              <c:f>RESULTADOS!$B$101:$AA$101</c:f>
              <c:numCache>
                <c:formatCode>General</c:formatCode>
                <c:ptCount val="26"/>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pt idx="16">
                  <c:v>2026</c:v>
                </c:pt>
                <c:pt idx="17">
                  <c:v>2027</c:v>
                </c:pt>
                <c:pt idx="18">
                  <c:v>2028</c:v>
                </c:pt>
                <c:pt idx="19">
                  <c:v>2029</c:v>
                </c:pt>
                <c:pt idx="20">
                  <c:v>2030</c:v>
                </c:pt>
                <c:pt idx="21">
                  <c:v>2031</c:v>
                </c:pt>
                <c:pt idx="22">
                  <c:v>2032</c:v>
                </c:pt>
                <c:pt idx="23">
                  <c:v>2033</c:v>
                </c:pt>
                <c:pt idx="24">
                  <c:v>2034</c:v>
                </c:pt>
                <c:pt idx="25">
                  <c:v>2035</c:v>
                </c:pt>
              </c:numCache>
            </c:numRef>
          </c:cat>
          <c:val>
            <c:numRef>
              <c:f>RESULTADOS!$B$107:$AA$107</c:f>
              <c:numCache>
                <c:formatCode>#,##0</c:formatCode>
                <c:ptCount val="26"/>
                <c:pt idx="0">
                  <c:v>35102.131374327924</c:v>
                </c:pt>
                <c:pt idx="1">
                  <c:v>33854.392618995291</c:v>
                </c:pt>
                <c:pt idx="2">
                  <c:v>32606.653863662657</c:v>
                </c:pt>
                <c:pt idx="3">
                  <c:v>31782.293290209673</c:v>
                </c:pt>
                <c:pt idx="4">
                  <c:v>30957.932716756681</c:v>
                </c:pt>
                <c:pt idx="5">
                  <c:v>29498.879188653769</c:v>
                </c:pt>
                <c:pt idx="6">
                  <c:v>28039.82566055085</c:v>
                </c:pt>
                <c:pt idx="7">
                  <c:v>24158.167148490793</c:v>
                </c:pt>
                <c:pt idx="8">
                  <c:v>20276.508636430743</c:v>
                </c:pt>
                <c:pt idx="9">
                  <c:v>19895.157447153593</c:v>
                </c:pt>
                <c:pt idx="10">
                  <c:v>20296.883819064697</c:v>
                </c:pt>
                <c:pt idx="11">
                  <c:v>24581.417410139871</c:v>
                </c:pt>
                <c:pt idx="12">
                  <c:v>25795.119254906807</c:v>
                </c:pt>
                <c:pt idx="13">
                  <c:v>22970.665031179353</c:v>
                </c:pt>
                <c:pt idx="14">
                  <c:v>22737.192201129561</c:v>
                </c:pt>
                <c:pt idx="15">
                  <c:v>22505.536692382706</c:v>
                </c:pt>
                <c:pt idx="16">
                  <c:v>22113.02869286888</c:v>
                </c:pt>
                <c:pt idx="17">
                  <c:v>21885.206893959898</c:v>
                </c:pt>
                <c:pt idx="18">
                  <c:v>21659.190374630227</c:v>
                </c:pt>
                <c:pt idx="19">
                  <c:v>21595.062650250798</c:v>
                </c:pt>
                <c:pt idx="20">
                  <c:v>21372.268524072108</c:v>
                </c:pt>
                <c:pt idx="21">
                  <c:v>21151.299444667959</c:v>
                </c:pt>
                <c:pt idx="22">
                  <c:v>20931.994033324354</c:v>
                </c:pt>
                <c:pt idx="23">
                  <c:v>20714.398831349052</c:v>
                </c:pt>
                <c:pt idx="24">
                  <c:v>20498.500904955585</c:v>
                </c:pt>
                <c:pt idx="25">
                  <c:v>20284.315846601323</c:v>
                </c:pt>
              </c:numCache>
            </c:numRef>
          </c:val>
          <c:smooth val="0"/>
          <c:extLst>
            <c:ext xmlns:c16="http://schemas.microsoft.com/office/drawing/2014/chart" uri="{C3380CC4-5D6E-409C-BE32-E72D297353CC}">
              <c16:uniqueId val="{00000001-C1ED-4454-B53F-C9B60FB2C40E}"/>
            </c:ext>
          </c:extLst>
        </c:ser>
        <c:ser>
          <c:idx val="2"/>
          <c:order val="2"/>
          <c:tx>
            <c:strRef>
              <c:f>RESULTADOS!$A$108</c:f>
              <c:strCache>
                <c:ptCount val="1"/>
                <c:pt idx="0">
                  <c:v>Escenario Condicional (Gg CO2)</c:v>
                </c:pt>
              </c:strCache>
            </c:strRef>
          </c:tx>
          <c:spPr>
            <a:ln w="28575" cap="rnd">
              <a:solidFill>
                <a:schemeClr val="accent3"/>
              </a:solidFill>
              <a:round/>
            </a:ln>
            <a:effectLst/>
          </c:spPr>
          <c:marker>
            <c:symbol val="none"/>
          </c:marker>
          <c:cat>
            <c:numRef>
              <c:f>RESULTADOS!$B$101:$AA$101</c:f>
              <c:numCache>
                <c:formatCode>General</c:formatCode>
                <c:ptCount val="26"/>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pt idx="16">
                  <c:v>2026</c:v>
                </c:pt>
                <c:pt idx="17">
                  <c:v>2027</c:v>
                </c:pt>
                <c:pt idx="18">
                  <c:v>2028</c:v>
                </c:pt>
                <c:pt idx="19">
                  <c:v>2029</c:v>
                </c:pt>
                <c:pt idx="20">
                  <c:v>2030</c:v>
                </c:pt>
                <c:pt idx="21">
                  <c:v>2031</c:v>
                </c:pt>
                <c:pt idx="22">
                  <c:v>2032</c:v>
                </c:pt>
                <c:pt idx="23">
                  <c:v>2033</c:v>
                </c:pt>
                <c:pt idx="24">
                  <c:v>2034</c:v>
                </c:pt>
                <c:pt idx="25">
                  <c:v>2035</c:v>
                </c:pt>
              </c:numCache>
            </c:numRef>
          </c:cat>
          <c:val>
            <c:numRef>
              <c:f>RESULTADOS!$B$108:$AA$108</c:f>
              <c:numCache>
                <c:formatCode>#,##0</c:formatCode>
                <c:ptCount val="26"/>
                <c:pt idx="0">
                  <c:v>35102.131374327924</c:v>
                </c:pt>
                <c:pt idx="1">
                  <c:v>33854.392618995291</c:v>
                </c:pt>
                <c:pt idx="2">
                  <c:v>32606.653863662657</c:v>
                </c:pt>
                <c:pt idx="3">
                  <c:v>31782.293290209673</c:v>
                </c:pt>
                <c:pt idx="4">
                  <c:v>30957.932716756681</c:v>
                </c:pt>
                <c:pt idx="5">
                  <c:v>29498.879188653769</c:v>
                </c:pt>
                <c:pt idx="6">
                  <c:v>28039.82566055085</c:v>
                </c:pt>
                <c:pt idx="7">
                  <c:v>24158.167148490793</c:v>
                </c:pt>
                <c:pt idx="8">
                  <c:v>20276.508636430743</c:v>
                </c:pt>
                <c:pt idx="9">
                  <c:v>19895.157447153593</c:v>
                </c:pt>
                <c:pt idx="10">
                  <c:v>20296.883819064697</c:v>
                </c:pt>
                <c:pt idx="11">
                  <c:v>24581.417410139871</c:v>
                </c:pt>
                <c:pt idx="12">
                  <c:v>25795.119254906807</c:v>
                </c:pt>
                <c:pt idx="13">
                  <c:v>22970.665031179353</c:v>
                </c:pt>
                <c:pt idx="14">
                  <c:v>22737.192201129561</c:v>
                </c:pt>
                <c:pt idx="15">
                  <c:v>22505.536692382706</c:v>
                </c:pt>
                <c:pt idx="16">
                  <c:v>20757.48336901957</c:v>
                </c:pt>
                <c:pt idx="17">
                  <c:v>20235.306958986825</c:v>
                </c:pt>
                <c:pt idx="18">
                  <c:v>19714.877781241481</c:v>
                </c:pt>
                <c:pt idx="19">
                  <c:v>19196.117483852486</c:v>
                </c:pt>
                <c:pt idx="20">
                  <c:v>18679.253107134911</c:v>
                </c:pt>
                <c:pt idx="21">
                  <c:v>18163.915051046541</c:v>
                </c:pt>
                <c:pt idx="22">
                  <c:v>17650.230012479271</c:v>
                </c:pt>
                <c:pt idx="23">
                  <c:v>17138.264534553338</c:v>
                </c:pt>
                <c:pt idx="24">
                  <c:v>16627.985685288961</c:v>
                </c:pt>
                <c:pt idx="25">
                  <c:v>16119.429058944455</c:v>
                </c:pt>
              </c:numCache>
            </c:numRef>
          </c:val>
          <c:smooth val="0"/>
          <c:extLst>
            <c:ext xmlns:c16="http://schemas.microsoft.com/office/drawing/2014/chart" uri="{C3380CC4-5D6E-409C-BE32-E72D297353CC}">
              <c16:uniqueId val="{00000002-C1ED-4454-B53F-C9B60FB2C40E}"/>
            </c:ext>
          </c:extLst>
        </c:ser>
        <c:ser>
          <c:idx val="3"/>
          <c:order val="3"/>
          <c:tx>
            <c:strRef>
              <c:f>RESULTADOS!$A$109</c:f>
              <c:strCache>
                <c:ptCount val="1"/>
                <c:pt idx="0">
                  <c:v>Escenario Incondicional + Condicional (Gg CO2)</c:v>
                </c:pt>
              </c:strCache>
            </c:strRef>
          </c:tx>
          <c:spPr>
            <a:ln w="28575" cap="rnd">
              <a:solidFill>
                <a:schemeClr val="accent6"/>
              </a:solidFill>
              <a:round/>
            </a:ln>
            <a:effectLst/>
          </c:spPr>
          <c:marker>
            <c:symbol val="none"/>
          </c:marker>
          <c:cat>
            <c:numRef>
              <c:f>RESULTADOS!$B$101:$AA$101</c:f>
              <c:numCache>
                <c:formatCode>General</c:formatCode>
                <c:ptCount val="26"/>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pt idx="16">
                  <c:v>2026</c:v>
                </c:pt>
                <c:pt idx="17">
                  <c:v>2027</c:v>
                </c:pt>
                <c:pt idx="18">
                  <c:v>2028</c:v>
                </c:pt>
                <c:pt idx="19">
                  <c:v>2029</c:v>
                </c:pt>
                <c:pt idx="20">
                  <c:v>2030</c:v>
                </c:pt>
                <c:pt idx="21">
                  <c:v>2031</c:v>
                </c:pt>
                <c:pt idx="22">
                  <c:v>2032</c:v>
                </c:pt>
                <c:pt idx="23">
                  <c:v>2033</c:v>
                </c:pt>
                <c:pt idx="24">
                  <c:v>2034</c:v>
                </c:pt>
                <c:pt idx="25">
                  <c:v>2035</c:v>
                </c:pt>
              </c:numCache>
            </c:numRef>
          </c:cat>
          <c:val>
            <c:numRef>
              <c:f>RESULTADOS!$B$109:$AA$109</c:f>
              <c:numCache>
                <c:formatCode>#,##0</c:formatCode>
                <c:ptCount val="26"/>
                <c:pt idx="0">
                  <c:v>35102.131374327924</c:v>
                </c:pt>
                <c:pt idx="1">
                  <c:v>33854.392618995291</c:v>
                </c:pt>
                <c:pt idx="2">
                  <c:v>32606.653863662657</c:v>
                </c:pt>
                <c:pt idx="3">
                  <c:v>31782.293290209673</c:v>
                </c:pt>
                <c:pt idx="4">
                  <c:v>30957.932716756681</c:v>
                </c:pt>
                <c:pt idx="5">
                  <c:v>29498.879188653769</c:v>
                </c:pt>
                <c:pt idx="6">
                  <c:v>28039.82566055085</c:v>
                </c:pt>
                <c:pt idx="7">
                  <c:v>24158.167148490793</c:v>
                </c:pt>
                <c:pt idx="8">
                  <c:v>20276.508636430743</c:v>
                </c:pt>
                <c:pt idx="9">
                  <c:v>19895.157447153593</c:v>
                </c:pt>
                <c:pt idx="10">
                  <c:v>20296.883819064697</c:v>
                </c:pt>
                <c:pt idx="11">
                  <c:v>24581.417410139871</c:v>
                </c:pt>
                <c:pt idx="12">
                  <c:v>25795.119254906807</c:v>
                </c:pt>
                <c:pt idx="13">
                  <c:v>22970.665031179353</c:v>
                </c:pt>
                <c:pt idx="14">
                  <c:v>22737.192201129561</c:v>
                </c:pt>
                <c:pt idx="15">
                  <c:v>22505.536692382706</c:v>
                </c:pt>
                <c:pt idx="16">
                  <c:v>20594.8272992815</c:v>
                </c:pt>
                <c:pt idx="17">
                  <c:v>20072.891079727502</c:v>
                </c:pt>
                <c:pt idx="18">
                  <c:v>19552.700939546601</c:v>
                </c:pt>
                <c:pt idx="19">
                  <c:v>19194.365785187958</c:v>
                </c:pt>
                <c:pt idx="20">
                  <c:v>18677.509816623973</c:v>
                </c:pt>
                <c:pt idx="21">
                  <c:v>18162.180128330056</c:v>
                </c:pt>
                <c:pt idx="22">
                  <c:v>17648.503417391825</c:v>
                </c:pt>
                <c:pt idx="23">
                  <c:v>17136.546227122308</c:v>
                </c:pt>
                <c:pt idx="24">
                  <c:v>16626.275625733604</c:v>
                </c:pt>
                <c:pt idx="25">
                  <c:v>16117.727207674963</c:v>
                </c:pt>
              </c:numCache>
            </c:numRef>
          </c:val>
          <c:smooth val="0"/>
          <c:extLst>
            <c:ext xmlns:c16="http://schemas.microsoft.com/office/drawing/2014/chart" uri="{C3380CC4-5D6E-409C-BE32-E72D297353CC}">
              <c16:uniqueId val="{00000003-C1ED-4454-B53F-C9B60FB2C40E}"/>
            </c:ext>
          </c:extLst>
        </c:ser>
        <c:dLbls>
          <c:showLegendKey val="0"/>
          <c:showVal val="0"/>
          <c:showCatName val="0"/>
          <c:showSerName val="0"/>
          <c:showPercent val="0"/>
          <c:showBubbleSize val="0"/>
        </c:dLbls>
        <c:smooth val="0"/>
        <c:axId val="27678047"/>
        <c:axId val="138520943"/>
      </c:lineChart>
      <c:dateAx>
        <c:axId val="27678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ysClr val="windowText" lastClr="000000"/>
                </a:solidFill>
                <a:latin typeface="+mn-lt"/>
                <a:ea typeface="+mn-ea"/>
                <a:cs typeface="+mn-cs"/>
              </a:defRPr>
            </a:pPr>
            <a:endParaRPr lang="LID4096"/>
          </a:p>
        </c:txPr>
        <c:crossAx val="138520943"/>
        <c:crosses val="autoZero"/>
        <c:auto val="0"/>
        <c:lblOffset val="100"/>
        <c:baseTimeUnit val="days"/>
      </c:dateAx>
      <c:valAx>
        <c:axId val="1385209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ysClr val="windowText" lastClr="000000"/>
                    </a:solidFill>
                    <a:latin typeface="+mn-lt"/>
                    <a:ea typeface="+mn-ea"/>
                    <a:cs typeface="+mn-cs"/>
                  </a:defRPr>
                </a:pPr>
                <a:r>
                  <a:rPr lang="en-US"/>
                  <a:t>Emisiones netas [Gg CO2eq]</a:t>
                </a:r>
              </a:p>
            </c:rich>
          </c:tx>
          <c:overlay val="0"/>
          <c:spPr>
            <a:noFill/>
            <a:ln>
              <a:noFill/>
            </a:ln>
            <a:effectLst/>
          </c:spPr>
          <c:txPr>
            <a:bodyPr rot="-5400000" spcFirstLastPara="1" vertOverflow="ellipsis" vert="horz" wrap="square" anchor="ctr" anchorCtr="1"/>
            <a:lstStyle/>
            <a:p>
              <a:pPr>
                <a:defRPr sz="2000" b="0" i="0" u="none" strike="noStrike" kern="1200" baseline="0">
                  <a:solidFill>
                    <a:sysClr val="windowText" lastClr="000000"/>
                  </a:solidFill>
                  <a:latin typeface="+mn-lt"/>
                  <a:ea typeface="+mn-ea"/>
                  <a:cs typeface="+mn-cs"/>
                </a:defRPr>
              </a:pPr>
              <a:endParaRPr lang="LID4096"/>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ysClr val="windowText" lastClr="000000"/>
                </a:solidFill>
                <a:latin typeface="+mn-lt"/>
                <a:ea typeface="+mn-ea"/>
                <a:cs typeface="+mn-cs"/>
              </a:defRPr>
            </a:pPr>
            <a:endParaRPr lang="LID4096"/>
          </a:p>
        </c:txPr>
        <c:crossAx val="27678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ysClr val="windowText" lastClr="000000"/>
              </a:solidFill>
              <a:latin typeface="+mn-lt"/>
              <a:ea typeface="+mn-ea"/>
              <a:cs typeface="+mn-cs"/>
            </a:defRPr>
          </a:pPr>
          <a:endParaRPr lang="LID4096"/>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2000">
          <a:solidFill>
            <a:sysClr val="windowText" lastClr="000000"/>
          </a:solidFill>
        </a:defRPr>
      </a:pPr>
      <a:endParaRPr lang="LID4096"/>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102507</xdr:colOff>
      <xdr:row>118</xdr:row>
      <xdr:rowOff>87540</xdr:rowOff>
    </xdr:from>
    <xdr:to>
      <xdr:col>18</xdr:col>
      <xdr:colOff>666749</xdr:colOff>
      <xdr:row>151</xdr:row>
      <xdr:rowOff>136072</xdr:rowOff>
    </xdr:to>
    <xdr:graphicFrame macro="">
      <xdr:nvGraphicFramePr>
        <xdr:cNvPr id="5" name="Chart 1">
          <a:extLst>
            <a:ext uri="{FF2B5EF4-FFF2-40B4-BE49-F238E27FC236}">
              <a16:creationId xmlns:a16="http://schemas.microsoft.com/office/drawing/2014/main" id="{5C9B03B9-7B9B-4E6F-8B96-05141E79E0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D55A6-6943-4C45-B3AE-5B0D668ACC59}">
  <sheetPr>
    <tabColor theme="6" tint="0.39997558519241921"/>
  </sheetPr>
  <dimension ref="A1:AD129"/>
  <sheetViews>
    <sheetView topLeftCell="A96" zoomScale="85" zoomScaleNormal="85" workbookViewId="0">
      <selection activeCell="C120" sqref="C120"/>
    </sheetView>
  </sheetViews>
  <sheetFormatPr baseColWidth="10" defaultColWidth="8.88671875" defaultRowHeight="14.4" x14ac:dyDescent="0.3"/>
  <cols>
    <col min="1" max="1" width="67.6640625" customWidth="1"/>
    <col min="2" max="2" width="35.44140625" customWidth="1"/>
    <col min="3" max="3" width="25.33203125" customWidth="1"/>
    <col min="4" max="4" width="40" customWidth="1"/>
    <col min="5" max="5" width="20" customWidth="1"/>
    <col min="6" max="7" width="12" bestFit="1" customWidth="1"/>
    <col min="8" max="8" width="16.44140625" bestFit="1" customWidth="1"/>
    <col min="9" max="24" width="12" bestFit="1" customWidth="1"/>
    <col min="25" max="25" width="12.33203125" bestFit="1" customWidth="1"/>
    <col min="26" max="26" width="43.88671875" bestFit="1" customWidth="1"/>
    <col min="27" max="27" width="12.33203125" bestFit="1" customWidth="1"/>
    <col min="28" max="28" width="11.6640625" bestFit="1" customWidth="1"/>
    <col min="29" max="29" width="25" customWidth="1"/>
    <col min="30" max="30" width="45.5546875" bestFit="1" customWidth="1"/>
  </cols>
  <sheetData>
    <row r="1" spans="1:27" ht="59.4" thickBot="1" x14ac:dyDescent="0.35">
      <c r="A1" s="40" t="s">
        <v>51</v>
      </c>
      <c r="B1" s="41" t="s">
        <v>52</v>
      </c>
      <c r="C1" s="42" t="s">
        <v>53</v>
      </c>
      <c r="D1" s="43" t="s">
        <v>54</v>
      </c>
      <c r="E1" s="43" t="s">
        <v>227</v>
      </c>
    </row>
    <row r="2" spans="1:27" x14ac:dyDescent="0.3">
      <c r="A2" s="13" t="s">
        <v>55</v>
      </c>
      <c r="B2" s="16" t="s">
        <v>56</v>
      </c>
      <c r="C2" s="279">
        <v>17.392676667264865</v>
      </c>
      <c r="D2" s="279">
        <f>SUM(R25:AA25)</f>
        <v>17.392676667264869</v>
      </c>
      <c r="E2" s="279">
        <f>+MEDIDAS_INCOND!E4</f>
        <v>17.395436032651226</v>
      </c>
    </row>
    <row r="3" spans="1:27" ht="15" thickBot="1" x14ac:dyDescent="0.35">
      <c r="A3" s="15" t="s">
        <v>57</v>
      </c>
      <c r="B3" s="44" t="s">
        <v>56</v>
      </c>
      <c r="C3" s="280">
        <v>481.94283926027117</v>
      </c>
      <c r="D3" s="280">
        <f>SUM(R34:AA34)</f>
        <v>481.94283926027094</v>
      </c>
      <c r="E3" s="280">
        <f>+MEDIDAS_INCOND!E5</f>
        <v>481.92309455585257</v>
      </c>
    </row>
    <row r="4" spans="1:27" x14ac:dyDescent="0.3">
      <c r="A4" s="45" t="s">
        <v>58</v>
      </c>
      <c r="B4" s="46" t="s">
        <v>59</v>
      </c>
      <c r="C4" s="281">
        <v>2.3208824115682498</v>
      </c>
      <c r="D4" s="281">
        <f>SUM(R39:U39)</f>
        <v>2.3208824115682472</v>
      </c>
      <c r="E4" s="281">
        <f>+MEDIDAS_COND!E4</f>
        <v>2.3208824115682463</v>
      </c>
    </row>
    <row r="5" spans="1:27" x14ac:dyDescent="0.3">
      <c r="A5" s="47" t="s">
        <v>60</v>
      </c>
      <c r="B5" s="17" t="s">
        <v>59</v>
      </c>
      <c r="C5" s="282">
        <v>424.90613330000002</v>
      </c>
      <c r="D5" s="282">
        <f>SUM(R44:AA44)</f>
        <v>424.90613329999996</v>
      </c>
      <c r="E5" s="282">
        <f>+MEDIDAS_COND!E5</f>
        <v>424.90612999999991</v>
      </c>
    </row>
    <row r="6" spans="1:27" x14ac:dyDescent="0.3">
      <c r="A6" s="14" t="s">
        <v>61</v>
      </c>
      <c r="B6" s="17" t="s">
        <v>59</v>
      </c>
      <c r="C6" s="282">
        <v>9015.63981359028</v>
      </c>
      <c r="D6" s="282">
        <f>SUM(R87:AA87)</f>
        <v>9015.6398135902673</v>
      </c>
      <c r="E6" s="282">
        <f>+MEDIDAS_COND!E6</f>
        <v>9015.6353609231555</v>
      </c>
    </row>
    <row r="7" spans="1:27" ht="15" thickBot="1" x14ac:dyDescent="0.35">
      <c r="A7" s="15" t="s">
        <v>62</v>
      </c>
      <c r="B7" s="44" t="s">
        <v>59</v>
      </c>
      <c r="C7" s="280">
        <f>SUM(R96:AA96)</f>
        <v>18978.871840758049</v>
      </c>
      <c r="D7" s="280">
        <f>SUM(R96:AA96)</f>
        <v>18978.871840758049</v>
      </c>
      <c r="E7" s="280">
        <f>+MEDIDAS_COND!E7</f>
        <v>18978.863314919032</v>
      </c>
    </row>
    <row r="10" spans="1:27" x14ac:dyDescent="0.3">
      <c r="A10" s="48"/>
      <c r="B10" s="48"/>
      <c r="C10" s="48"/>
      <c r="D10" s="48"/>
      <c r="E10" s="48"/>
      <c r="F10" s="48"/>
      <c r="G10" s="48"/>
      <c r="H10" s="48"/>
      <c r="I10" s="48"/>
      <c r="J10" s="48"/>
      <c r="K10" s="48"/>
      <c r="L10" s="48"/>
      <c r="M10" s="48"/>
      <c r="N10" s="48"/>
      <c r="O10" s="48"/>
      <c r="P10" s="48"/>
      <c r="Q10" s="48"/>
      <c r="R10" s="48"/>
      <c r="S10" s="48"/>
      <c r="T10" s="48"/>
      <c r="U10" s="48"/>
      <c r="V10" s="48"/>
      <c r="W10" s="48"/>
      <c r="X10" s="48"/>
      <c r="Y10" s="48"/>
      <c r="Z10" s="48"/>
      <c r="AA10" s="48"/>
    </row>
    <row r="11" spans="1:27" x14ac:dyDescent="0.3">
      <c r="A11" s="49" t="s">
        <v>199</v>
      </c>
      <c r="B11">
        <v>2010</v>
      </c>
      <c r="C11">
        <v>2011</v>
      </c>
      <c r="D11">
        <v>2012</v>
      </c>
      <c r="E11">
        <v>2013</v>
      </c>
      <c r="F11">
        <v>2014</v>
      </c>
      <c r="G11">
        <v>2015</v>
      </c>
      <c r="H11">
        <v>2016</v>
      </c>
      <c r="I11">
        <v>2017</v>
      </c>
      <c r="J11">
        <v>2018</v>
      </c>
      <c r="K11">
        <v>2019</v>
      </c>
      <c r="L11">
        <v>2020</v>
      </c>
      <c r="M11">
        <v>2021</v>
      </c>
      <c r="N11">
        <v>2022</v>
      </c>
      <c r="O11">
        <v>2023</v>
      </c>
      <c r="P11">
        <v>2024</v>
      </c>
      <c r="Q11">
        <v>2025</v>
      </c>
      <c r="R11">
        <v>2026</v>
      </c>
      <c r="S11">
        <v>2027</v>
      </c>
      <c r="T11">
        <v>2028</v>
      </c>
      <c r="U11">
        <v>2029</v>
      </c>
      <c r="V11">
        <v>2030</v>
      </c>
      <c r="W11">
        <v>2031</v>
      </c>
      <c r="X11">
        <v>2032</v>
      </c>
      <c r="Y11">
        <v>2033</v>
      </c>
      <c r="Z11">
        <v>2034</v>
      </c>
      <c r="AA11">
        <v>2035</v>
      </c>
    </row>
    <row r="12" spans="1:27" x14ac:dyDescent="0.3">
      <c r="A12" s="50" t="s">
        <v>63</v>
      </c>
      <c r="B12" s="50"/>
      <c r="C12" s="50"/>
      <c r="D12" s="50"/>
      <c r="E12" s="50"/>
      <c r="F12" s="50"/>
      <c r="G12" s="50"/>
      <c r="H12" s="50"/>
      <c r="I12" s="50"/>
      <c r="J12" s="50"/>
      <c r="K12" s="50"/>
      <c r="L12" s="50"/>
      <c r="M12" s="50"/>
      <c r="N12" s="50"/>
      <c r="O12" s="50"/>
      <c r="P12" s="50"/>
      <c r="Q12" s="50"/>
      <c r="R12" s="50">
        <v>80</v>
      </c>
      <c r="S12" s="50">
        <f>+R12-R14</f>
        <v>79.616</v>
      </c>
      <c r="T12" s="50">
        <f>+S12-S14</f>
        <v>79.233843199999995</v>
      </c>
      <c r="U12" s="50">
        <f t="shared" ref="U12:Z12" si="0">+T12-T14</f>
        <v>78.853520752639994</v>
      </c>
      <c r="V12" s="50">
        <f t="shared" si="0"/>
        <v>78.475023853027324</v>
      </c>
      <c r="W12" s="50">
        <f t="shared" si="0"/>
        <v>78.09834373853279</v>
      </c>
      <c r="X12" s="50">
        <f t="shared" si="0"/>
        <v>77.723471688587836</v>
      </c>
      <c r="Y12" s="50">
        <f t="shared" si="0"/>
        <v>77.350399024482613</v>
      </c>
      <c r="Z12" s="50">
        <f t="shared" si="0"/>
        <v>76.979117109165102</v>
      </c>
      <c r="AA12" s="50">
        <f>+Z12-Z14</f>
        <v>76.609617347041109</v>
      </c>
    </row>
    <row r="13" spans="1:27" x14ac:dyDescent="0.3">
      <c r="A13" s="50" t="s">
        <v>64</v>
      </c>
      <c r="B13" s="50"/>
      <c r="C13" s="50"/>
      <c r="D13" s="50"/>
      <c r="E13" s="50"/>
      <c r="F13" s="50"/>
      <c r="G13" s="50"/>
      <c r="H13" s="50"/>
      <c r="I13" s="50"/>
      <c r="J13" s="50"/>
      <c r="K13" s="50"/>
      <c r="L13" s="50"/>
      <c r="M13" s="50"/>
      <c r="N13" s="50"/>
      <c r="O13" s="50"/>
      <c r="P13" s="50"/>
      <c r="Q13" s="50"/>
      <c r="R13" s="50">
        <v>0.48</v>
      </c>
      <c r="S13" s="50">
        <v>0.48</v>
      </c>
      <c r="T13" s="50">
        <v>0.48</v>
      </c>
      <c r="U13" s="50">
        <v>0.48</v>
      </c>
      <c r="V13" s="50">
        <v>0.48</v>
      </c>
      <c r="W13" s="50">
        <v>0.48</v>
      </c>
      <c r="X13" s="50">
        <v>0.48</v>
      </c>
      <c r="Y13" s="50">
        <v>0.48</v>
      </c>
      <c r="Z13" s="50">
        <v>0.48</v>
      </c>
      <c r="AA13" s="50">
        <v>0.48</v>
      </c>
    </row>
    <row r="14" spans="1:27" x14ac:dyDescent="0.3">
      <c r="A14" s="50" t="s">
        <v>65</v>
      </c>
      <c r="B14" s="50"/>
      <c r="C14" s="50"/>
      <c r="D14" s="50"/>
      <c r="E14" s="50"/>
      <c r="F14" s="50"/>
      <c r="G14" s="50"/>
      <c r="H14" s="50"/>
      <c r="I14" s="50"/>
      <c r="J14" s="50"/>
      <c r="K14" s="50"/>
      <c r="L14" s="50"/>
      <c r="M14" s="50"/>
      <c r="N14" s="50"/>
      <c r="O14" s="50"/>
      <c r="P14" s="50"/>
      <c r="Q14" s="50"/>
      <c r="R14" s="50">
        <f>+R12*R13/100</f>
        <v>0.38400000000000001</v>
      </c>
      <c r="S14" s="50">
        <f>+S12*S13/100</f>
        <v>0.38215679999999996</v>
      </c>
      <c r="T14" s="50">
        <f>+T12*T13/100</f>
        <v>0.38032244735999998</v>
      </c>
      <c r="U14" s="50">
        <f>+U12*U13/100</f>
        <v>0.37849689961267197</v>
      </c>
      <c r="V14" s="50">
        <f t="shared" ref="V14:AA14" si="1">+V12*V13/100</f>
        <v>0.37668011449453109</v>
      </c>
      <c r="W14" s="50">
        <f t="shared" si="1"/>
        <v>0.37487204994495743</v>
      </c>
      <c r="X14" s="50">
        <f t="shared" si="1"/>
        <v>0.37307266410522161</v>
      </c>
      <c r="Y14" s="50">
        <f t="shared" si="1"/>
        <v>0.37128191531751653</v>
      </c>
      <c r="Z14" s="50">
        <f t="shared" si="1"/>
        <v>0.36949976212399249</v>
      </c>
      <c r="AA14" s="50">
        <f t="shared" si="1"/>
        <v>0.36772616326579732</v>
      </c>
    </row>
    <row r="15" spans="1:27" x14ac:dyDescent="0.3">
      <c r="A15" s="50" t="s">
        <v>66</v>
      </c>
      <c r="B15" s="50"/>
      <c r="C15" s="50"/>
      <c r="D15" s="50"/>
      <c r="E15" s="50"/>
      <c r="F15" s="50"/>
      <c r="G15" s="50"/>
      <c r="H15" s="50"/>
      <c r="I15" s="50"/>
      <c r="J15" s="50"/>
      <c r="K15" s="50"/>
      <c r="L15" s="50"/>
      <c r="M15" s="50"/>
      <c r="N15" s="50"/>
      <c r="O15" s="50"/>
      <c r="P15" s="50"/>
      <c r="Q15" s="50"/>
      <c r="R15" s="50">
        <f>SUM(R14:AA14)</f>
        <v>3.7581088162246887</v>
      </c>
      <c r="S15" s="50">
        <f>+R15</f>
        <v>3.7581088162246887</v>
      </c>
      <c r="T15" s="50">
        <f>+S15</f>
        <v>3.7581088162246887</v>
      </c>
      <c r="U15" s="50">
        <f t="shared" ref="U15:AA15" si="2">+T15</f>
        <v>3.7581088162246887</v>
      </c>
      <c r="V15" s="50">
        <f t="shared" si="2"/>
        <v>3.7581088162246887</v>
      </c>
      <c r="W15" s="50">
        <f t="shared" si="2"/>
        <v>3.7581088162246887</v>
      </c>
      <c r="X15" s="50">
        <f t="shared" si="2"/>
        <v>3.7581088162246887</v>
      </c>
      <c r="Y15" s="50">
        <f t="shared" si="2"/>
        <v>3.7581088162246887</v>
      </c>
      <c r="Z15" s="50">
        <f t="shared" si="2"/>
        <v>3.7581088162246887</v>
      </c>
      <c r="AA15" s="50">
        <f t="shared" si="2"/>
        <v>3.7581088162246887</v>
      </c>
    </row>
    <row r="16" spans="1:27" x14ac:dyDescent="0.3">
      <c r="A16" s="50" t="s">
        <v>67</v>
      </c>
      <c r="B16" s="50"/>
      <c r="C16" s="50"/>
      <c r="D16" s="50"/>
      <c r="E16" s="50"/>
      <c r="F16" s="50"/>
      <c r="G16" s="50"/>
      <c r="H16" s="50"/>
      <c r="I16" s="50"/>
      <c r="J16" s="50"/>
      <c r="K16" s="50"/>
      <c r="L16" s="50"/>
      <c r="M16" s="50"/>
      <c r="N16" s="50"/>
      <c r="O16" s="50"/>
      <c r="P16" s="50"/>
      <c r="Q16" s="50"/>
      <c r="R16" s="50">
        <f>+R14/R15</f>
        <v>0.1021790530232059</v>
      </c>
      <c r="S16" s="50">
        <f t="shared" ref="S16:AA16" si="3">+S14/S15</f>
        <v>0.10168859356869449</v>
      </c>
      <c r="T16" s="50">
        <f t="shared" si="3"/>
        <v>0.10120048831956477</v>
      </c>
      <c r="U16" s="50">
        <f t="shared" si="3"/>
        <v>0.10071472597563084</v>
      </c>
      <c r="V16" s="50">
        <f t="shared" si="3"/>
        <v>0.10023129529094781</v>
      </c>
      <c r="W16" s="50">
        <f t="shared" si="3"/>
        <v>9.9750185073551281E-2</v>
      </c>
      <c r="X16" s="50">
        <f t="shared" si="3"/>
        <v>9.9271384185198236E-2</v>
      </c>
      <c r="Y16" s="50">
        <f t="shared" si="3"/>
        <v>9.879488154110927E-2</v>
      </c>
      <c r="Z16" s="50">
        <f t="shared" si="3"/>
        <v>9.8320666109711963E-2</v>
      </c>
      <c r="AA16" s="50">
        <f t="shared" si="3"/>
        <v>9.7848726912385345E-2</v>
      </c>
    </row>
    <row r="17" spans="1:27" x14ac:dyDescent="0.3">
      <c r="A17" s="51" t="s">
        <v>68</v>
      </c>
      <c r="B17" s="51"/>
      <c r="C17" s="51"/>
      <c r="D17" s="51"/>
      <c r="E17" s="51"/>
      <c r="F17" s="51"/>
      <c r="G17" s="51"/>
      <c r="H17" s="51"/>
      <c r="I17" s="51"/>
      <c r="J17" s="51"/>
      <c r="K17" s="51"/>
      <c r="L17" s="51"/>
      <c r="M17" s="51"/>
      <c r="N17" s="51"/>
      <c r="O17" s="51"/>
      <c r="P17" s="51"/>
      <c r="Q17" s="51"/>
      <c r="R17" s="51">
        <v>4.8992816985884202</v>
      </c>
      <c r="S17" s="51">
        <f>+R17</f>
        <v>4.8992816985884202</v>
      </c>
      <c r="T17" s="51">
        <f t="shared" ref="T17:Z20" si="4">+S17</f>
        <v>4.8992816985884202</v>
      </c>
      <c r="U17" s="51">
        <f t="shared" si="4"/>
        <v>4.8992816985884202</v>
      </c>
      <c r="V17" s="51">
        <f t="shared" si="4"/>
        <v>4.8992816985884202</v>
      </c>
      <c r="W17" s="51">
        <f t="shared" si="4"/>
        <v>4.8992816985884202</v>
      </c>
      <c r="X17" s="51">
        <f t="shared" si="4"/>
        <v>4.8992816985884202</v>
      </c>
      <c r="Y17" s="51">
        <f t="shared" si="4"/>
        <v>4.8992816985884202</v>
      </c>
      <c r="Z17" s="51">
        <f t="shared" si="4"/>
        <v>4.8992816985884202</v>
      </c>
      <c r="AA17" s="51">
        <f>+Z17</f>
        <v>4.8992816985884202</v>
      </c>
    </row>
    <row r="18" spans="1:27" x14ac:dyDescent="0.3">
      <c r="A18" s="51" t="s">
        <v>69</v>
      </c>
      <c r="B18" s="51"/>
      <c r="C18" s="51"/>
      <c r="D18" s="51"/>
      <c r="E18" s="51"/>
      <c r="F18" s="51"/>
      <c r="G18" s="51"/>
      <c r="H18" s="51"/>
      <c r="I18" s="51"/>
      <c r="J18" s="51"/>
      <c r="K18" s="51"/>
      <c r="L18" s="51"/>
      <c r="M18" s="51"/>
      <c r="N18" s="51"/>
      <c r="O18" s="51"/>
      <c r="P18" s="51"/>
      <c r="Q18" s="51"/>
      <c r="R18" s="51">
        <v>7.5690178666666696</v>
      </c>
      <c r="S18" s="51">
        <f>+R18</f>
        <v>7.5690178666666696</v>
      </c>
      <c r="T18" s="51">
        <f t="shared" si="4"/>
        <v>7.5690178666666696</v>
      </c>
      <c r="U18" s="51">
        <f t="shared" si="4"/>
        <v>7.5690178666666696</v>
      </c>
      <c r="V18" s="51">
        <f t="shared" si="4"/>
        <v>7.5690178666666696</v>
      </c>
      <c r="W18" s="51">
        <f t="shared" si="4"/>
        <v>7.5690178666666696</v>
      </c>
      <c r="X18" s="51">
        <f t="shared" si="4"/>
        <v>7.5690178666666696</v>
      </c>
      <c r="Y18" s="51">
        <f t="shared" si="4"/>
        <v>7.5690178666666696</v>
      </c>
      <c r="Z18" s="51">
        <f t="shared" si="4"/>
        <v>7.5690178666666696</v>
      </c>
      <c r="AA18" s="51">
        <f>+Z18</f>
        <v>7.5690178666666696</v>
      </c>
    </row>
    <row r="19" spans="1:27" x14ac:dyDescent="0.3">
      <c r="A19" s="51" t="s">
        <v>70</v>
      </c>
      <c r="B19" s="51"/>
      <c r="C19" s="51"/>
      <c r="D19" s="51"/>
      <c r="E19" s="51"/>
      <c r="F19" s="51"/>
      <c r="G19" s="51"/>
      <c r="H19" s="51"/>
      <c r="I19" s="51"/>
      <c r="J19" s="51"/>
      <c r="K19" s="51"/>
      <c r="L19" s="51"/>
      <c r="M19" s="51"/>
      <c r="N19" s="51"/>
      <c r="O19" s="51"/>
      <c r="P19" s="51"/>
      <c r="Q19" s="51"/>
      <c r="R19" s="51">
        <v>1.87283630200978</v>
      </c>
      <c r="S19" s="51">
        <f>+R19</f>
        <v>1.87283630200978</v>
      </c>
      <c r="T19" s="51">
        <f t="shared" si="4"/>
        <v>1.87283630200978</v>
      </c>
      <c r="U19" s="51">
        <f t="shared" si="4"/>
        <v>1.87283630200978</v>
      </c>
      <c r="V19" s="51">
        <f t="shared" si="4"/>
        <v>1.87283630200978</v>
      </c>
      <c r="W19" s="51">
        <f t="shared" si="4"/>
        <v>1.87283630200978</v>
      </c>
      <c r="X19" s="51">
        <f t="shared" si="4"/>
        <v>1.87283630200978</v>
      </c>
      <c r="Y19" s="51">
        <f t="shared" si="4"/>
        <v>1.87283630200978</v>
      </c>
      <c r="Z19" s="51">
        <f t="shared" si="4"/>
        <v>1.87283630200978</v>
      </c>
      <c r="AA19" s="51">
        <f>+Z19</f>
        <v>1.87283630200978</v>
      </c>
    </row>
    <row r="20" spans="1:27" x14ac:dyDescent="0.3">
      <c r="A20" s="51" t="s">
        <v>71</v>
      </c>
      <c r="B20" s="51"/>
      <c r="C20" s="51"/>
      <c r="D20" s="51"/>
      <c r="E20" s="51"/>
      <c r="F20" s="51"/>
      <c r="G20" s="51"/>
      <c r="H20" s="51"/>
      <c r="I20" s="51"/>
      <c r="J20" s="51"/>
      <c r="K20" s="51"/>
      <c r="L20" s="51"/>
      <c r="M20" s="51"/>
      <c r="N20" s="51"/>
      <c r="O20" s="51"/>
      <c r="P20" s="51"/>
      <c r="Q20" s="51"/>
      <c r="R20" s="51">
        <v>3.0515407999999993</v>
      </c>
      <c r="S20" s="51">
        <f>+R20</f>
        <v>3.0515407999999993</v>
      </c>
      <c r="T20" s="51">
        <f t="shared" si="4"/>
        <v>3.0515407999999993</v>
      </c>
      <c r="U20" s="51">
        <f t="shared" si="4"/>
        <v>3.0515407999999993</v>
      </c>
      <c r="V20" s="51">
        <f t="shared" si="4"/>
        <v>3.0515407999999993</v>
      </c>
      <c r="W20" s="51">
        <f t="shared" si="4"/>
        <v>3.0515407999999993</v>
      </c>
      <c r="X20" s="51">
        <f t="shared" si="4"/>
        <v>3.0515407999999993</v>
      </c>
      <c r="Y20" s="51">
        <f t="shared" si="4"/>
        <v>3.0515407999999993</v>
      </c>
      <c r="Z20" s="51">
        <f t="shared" si="4"/>
        <v>3.0515407999999993</v>
      </c>
      <c r="AA20" s="51">
        <f>+Z20</f>
        <v>3.0515407999999993</v>
      </c>
    </row>
    <row r="21" spans="1:27" x14ac:dyDescent="0.3">
      <c r="A21" s="52" t="s">
        <v>72</v>
      </c>
      <c r="B21" s="52"/>
      <c r="C21" s="52"/>
      <c r="D21" s="52"/>
      <c r="E21" s="52"/>
      <c r="F21" s="52"/>
      <c r="G21" s="52"/>
      <c r="H21" s="52"/>
      <c r="I21" s="52"/>
      <c r="J21" s="52"/>
      <c r="K21" s="52"/>
      <c r="L21" s="52"/>
      <c r="M21" s="52"/>
      <c r="N21" s="52"/>
      <c r="O21" s="52"/>
      <c r="P21" s="52"/>
      <c r="Q21" s="52"/>
      <c r="R21" s="53">
        <f>+R17*R$16</f>
        <v>0.50060396445568844</v>
      </c>
      <c r="S21" s="53">
        <f t="shared" ref="S21:AA24" si="5">+S17*S$16</f>
        <v>0.49820106542630105</v>
      </c>
      <c r="T21" s="53">
        <f t="shared" si="5"/>
        <v>0.49580970031225485</v>
      </c>
      <c r="U21" s="53">
        <f t="shared" si="5"/>
        <v>0.49342981375075595</v>
      </c>
      <c r="V21" s="53">
        <f t="shared" si="5"/>
        <v>0.49106135064475231</v>
      </c>
      <c r="W21" s="53">
        <f t="shared" si="5"/>
        <v>0.48870425616165758</v>
      </c>
      <c r="X21" s="53">
        <f t="shared" si="5"/>
        <v>0.48635847573208163</v>
      </c>
      <c r="Y21" s="53">
        <f t="shared" si="5"/>
        <v>0.4840239550485676</v>
      </c>
      <c r="Z21" s="53">
        <f t="shared" si="5"/>
        <v>0.48170064006433455</v>
      </c>
      <c r="AA21" s="53">
        <f t="shared" si="5"/>
        <v>0.47938847699202575</v>
      </c>
    </row>
    <row r="22" spans="1:27" x14ac:dyDescent="0.3">
      <c r="A22" s="52" t="s">
        <v>73</v>
      </c>
      <c r="B22" s="52"/>
      <c r="C22" s="52"/>
      <c r="D22" s="52"/>
      <c r="E22" s="52"/>
      <c r="F22" s="52"/>
      <c r="G22" s="52"/>
      <c r="H22" s="52"/>
      <c r="I22" s="52"/>
      <c r="J22" s="52"/>
      <c r="K22" s="52"/>
      <c r="L22" s="52"/>
      <c r="M22" s="52"/>
      <c r="N22" s="52"/>
      <c r="O22" s="52"/>
      <c r="P22" s="52"/>
      <c r="Q22" s="52"/>
      <c r="R22" s="53">
        <f>+R18*R$16</f>
        <v>0.77339507793172646</v>
      </c>
      <c r="S22" s="53">
        <f t="shared" si="5"/>
        <v>0.76968278155765402</v>
      </c>
      <c r="T22" s="53">
        <f t="shared" si="5"/>
        <v>0.76598830420617736</v>
      </c>
      <c r="U22" s="53">
        <f t="shared" si="5"/>
        <v>0.76231156034598757</v>
      </c>
      <c r="V22" s="53">
        <f t="shared" si="5"/>
        <v>0.75865246485632676</v>
      </c>
      <c r="W22" s="53">
        <f t="shared" si="5"/>
        <v>0.75501093302501654</v>
      </c>
      <c r="X22" s="53">
        <f t="shared" si="5"/>
        <v>0.75138688054649649</v>
      </c>
      <c r="Y22" s="53">
        <f t="shared" si="5"/>
        <v>0.74778022351987328</v>
      </c>
      <c r="Z22" s="53">
        <f t="shared" si="5"/>
        <v>0.74419087844697795</v>
      </c>
      <c r="AA22" s="53">
        <f t="shared" si="5"/>
        <v>0.74061876223043244</v>
      </c>
    </row>
    <row r="23" spans="1:27" x14ac:dyDescent="0.3">
      <c r="A23" s="52" t="s">
        <v>74</v>
      </c>
      <c r="B23" s="52"/>
      <c r="C23" s="52"/>
      <c r="D23" s="52"/>
      <c r="E23" s="52"/>
      <c r="F23" s="52"/>
      <c r="G23" s="52"/>
      <c r="H23" s="52"/>
      <c r="I23" s="52"/>
      <c r="J23" s="52"/>
      <c r="K23" s="52"/>
      <c r="L23" s="52"/>
      <c r="M23" s="52"/>
      <c r="N23" s="52"/>
      <c r="O23" s="52"/>
      <c r="P23" s="52"/>
      <c r="Q23" s="52"/>
      <c r="R23" s="53">
        <f>+R19*R$16</f>
        <v>0.19136463980684218</v>
      </c>
      <c r="S23" s="53">
        <f t="shared" si="5"/>
        <v>0.19044608953576928</v>
      </c>
      <c r="T23" s="53">
        <f t="shared" si="5"/>
        <v>0.18953194830599762</v>
      </c>
      <c r="U23" s="53">
        <f t="shared" si="5"/>
        <v>0.1886221949541288</v>
      </c>
      <c r="V23" s="53">
        <f t="shared" si="5"/>
        <v>0.18771680841834898</v>
      </c>
      <c r="W23" s="53">
        <f t="shared" si="5"/>
        <v>0.18681576773794095</v>
      </c>
      <c r="X23" s="53">
        <f t="shared" si="5"/>
        <v>0.18591905205279882</v>
      </c>
      <c r="Y23" s="53">
        <f t="shared" si="5"/>
        <v>0.18502664060294535</v>
      </c>
      <c r="Z23" s="53">
        <f t="shared" si="5"/>
        <v>0.18413851272805126</v>
      </c>
      <c r="AA23" s="53">
        <f t="shared" si="5"/>
        <v>0.18325464786695661</v>
      </c>
    </row>
    <row r="24" spans="1:27" x14ac:dyDescent="0.3">
      <c r="A24" s="52" t="s">
        <v>75</v>
      </c>
      <c r="B24" s="52"/>
      <c r="C24" s="52"/>
      <c r="D24" s="52"/>
      <c r="E24" s="52"/>
      <c r="F24" s="52"/>
      <c r="G24" s="52"/>
      <c r="H24" s="52"/>
      <c r="I24" s="52"/>
      <c r="J24" s="52"/>
      <c r="K24" s="52"/>
      <c r="L24" s="52"/>
      <c r="M24" s="52"/>
      <c r="N24" s="52"/>
      <c r="O24" s="52"/>
      <c r="P24" s="52"/>
      <c r="Q24" s="52"/>
      <c r="R24" s="53">
        <f>+R20*R$16</f>
        <v>0.3118035492056761</v>
      </c>
      <c r="S24" s="53">
        <f t="shared" si="5"/>
        <v>0.31030689216948876</v>
      </c>
      <c r="T24" s="53">
        <f t="shared" si="5"/>
        <v>0.30881741908707527</v>
      </c>
      <c r="U24" s="53">
        <f t="shared" si="5"/>
        <v>0.30733509547545723</v>
      </c>
      <c r="V24" s="53">
        <f t="shared" si="5"/>
        <v>0.30585988701717504</v>
      </c>
      <c r="W24" s="53">
        <f t="shared" si="5"/>
        <v>0.30439175955949266</v>
      </c>
      <c r="X24" s="53">
        <f t="shared" si="5"/>
        <v>0.3029306791136071</v>
      </c>
      <c r="Y24" s="53">
        <f t="shared" si="5"/>
        <v>0.30147661185386176</v>
      </c>
      <c r="Z24" s="53">
        <f t="shared" si="5"/>
        <v>0.30002952411696326</v>
      </c>
      <c r="AA24" s="53">
        <f t="shared" si="5"/>
        <v>0.29858938240120181</v>
      </c>
    </row>
    <row r="25" spans="1:27" x14ac:dyDescent="0.3">
      <c r="A25" s="54" t="s">
        <v>76</v>
      </c>
      <c r="B25" s="55"/>
      <c r="C25" s="55"/>
      <c r="D25" s="55"/>
      <c r="R25" s="56">
        <f>+SUM(R21:R24)</f>
        <v>1.7771672313999332</v>
      </c>
      <c r="S25" s="56">
        <f t="shared" ref="S25:AA25" si="6">+SUM(S21:S24)</f>
        <v>1.7686368286892131</v>
      </c>
      <c r="T25" s="56">
        <f t="shared" si="6"/>
        <v>1.7601473719115051</v>
      </c>
      <c r="U25" s="56">
        <f t="shared" si="6"/>
        <v>1.7516986645263295</v>
      </c>
      <c r="V25" s="56">
        <f t="shared" si="6"/>
        <v>1.7432905109366028</v>
      </c>
      <c r="W25" s="56">
        <f t="shared" si="6"/>
        <v>1.7349227164841079</v>
      </c>
      <c r="X25" s="56">
        <f t="shared" si="6"/>
        <v>1.726595087444984</v>
      </c>
      <c r="Y25" s="56">
        <f t="shared" si="6"/>
        <v>1.7183074310252477</v>
      </c>
      <c r="Z25" s="56">
        <f t="shared" si="6"/>
        <v>1.7100595553563269</v>
      </c>
      <c r="AA25" s="56">
        <f t="shared" si="6"/>
        <v>1.7018512694906165</v>
      </c>
    </row>
    <row r="28" spans="1:27" x14ac:dyDescent="0.3">
      <c r="A28" s="49" t="s">
        <v>200</v>
      </c>
      <c r="D28" t="s">
        <v>77</v>
      </c>
    </row>
    <row r="29" spans="1:27" x14ac:dyDescent="0.3">
      <c r="A29" s="51" t="s">
        <v>78</v>
      </c>
      <c r="B29" s="51"/>
      <c r="C29" s="51"/>
      <c r="D29" s="51"/>
      <c r="E29" s="51"/>
      <c r="F29" s="51"/>
      <c r="G29" s="51"/>
      <c r="H29" s="51"/>
      <c r="I29" s="51"/>
      <c r="J29" s="51"/>
      <c r="K29" s="51"/>
      <c r="L29" s="51"/>
      <c r="M29" s="51"/>
      <c r="N29" s="51"/>
      <c r="O29" s="51"/>
      <c r="P29" s="51"/>
      <c r="Q29" s="51"/>
      <c r="R29" s="57">
        <v>144.09367926027099</v>
      </c>
      <c r="S29" s="57">
        <v>144.09367926027099</v>
      </c>
      <c r="T29" s="57">
        <v>144.09367926027099</v>
      </c>
      <c r="U29" s="57"/>
      <c r="V29" s="57"/>
      <c r="W29" s="57"/>
      <c r="X29" s="57"/>
    </row>
    <row r="30" spans="1:27" x14ac:dyDescent="0.3">
      <c r="A30" s="50" t="s">
        <v>67</v>
      </c>
      <c r="B30" s="50"/>
      <c r="C30" s="50"/>
      <c r="D30" s="50"/>
      <c r="E30" s="50"/>
      <c r="F30" s="50"/>
      <c r="G30" s="50"/>
      <c r="H30" s="50"/>
      <c r="I30" s="50"/>
      <c r="J30" s="50"/>
      <c r="K30" s="50"/>
      <c r="L30" s="50"/>
      <c r="M30" s="50"/>
      <c r="N30" s="50"/>
      <c r="O30" s="50"/>
      <c r="P30" s="50"/>
      <c r="Q30" s="50"/>
      <c r="R30" s="58">
        <v>0.33493846564099777</v>
      </c>
      <c r="S30" s="58">
        <v>0.33333076100591841</v>
      </c>
      <c r="T30" s="58">
        <v>0.33173077335308382</v>
      </c>
      <c r="U30" s="50"/>
      <c r="V30" s="50"/>
      <c r="W30" s="50"/>
      <c r="X30" s="50"/>
    </row>
    <row r="31" spans="1:27" x14ac:dyDescent="0.3">
      <c r="A31" s="52" t="s">
        <v>79</v>
      </c>
      <c r="B31" s="52"/>
      <c r="C31" s="52"/>
      <c r="D31" s="52"/>
      <c r="E31" s="52"/>
      <c r="F31" s="52"/>
      <c r="G31" s="52"/>
      <c r="H31" s="52"/>
      <c r="I31" s="52"/>
      <c r="J31" s="52"/>
      <c r="K31" s="52"/>
      <c r="L31" s="52"/>
      <c r="M31" s="52"/>
      <c r="N31" s="52"/>
      <c r="O31" s="52"/>
      <c r="P31" s="52"/>
      <c r="Q31" s="52"/>
      <c r="R31" s="53">
        <f>+R29*R30</f>
        <v>48.262515840001228</v>
      </c>
      <c r="S31" s="53">
        <f t="shared" ref="S31:T31" si="7">+S29*S30</f>
        <v>48.030855763968852</v>
      </c>
      <c r="T31" s="53">
        <f t="shared" si="7"/>
        <v>47.800307656300909</v>
      </c>
      <c r="U31" s="53"/>
      <c r="V31" s="53"/>
      <c r="W31" s="53"/>
      <c r="X31" s="53"/>
    </row>
    <row r="32" spans="1:27" x14ac:dyDescent="0.3">
      <c r="A32" s="52" t="s">
        <v>80</v>
      </c>
      <c r="B32" s="52"/>
      <c r="C32" s="52"/>
      <c r="D32" s="52"/>
      <c r="E32" s="52"/>
      <c r="F32" s="52"/>
      <c r="G32" s="52"/>
      <c r="H32" s="52"/>
      <c r="I32" s="52"/>
      <c r="J32" s="52"/>
      <c r="K32" s="52"/>
      <c r="L32" s="52"/>
      <c r="M32" s="52"/>
      <c r="N32" s="52"/>
      <c r="O32" s="52"/>
      <c r="P32" s="52"/>
      <c r="Q32" s="52"/>
      <c r="R32" s="53">
        <v>112.61638666666666</v>
      </c>
      <c r="S32" s="53">
        <v>112.61638666666666</v>
      </c>
      <c r="T32" s="53">
        <v>112.61638666666666</v>
      </c>
      <c r="U32" s="53"/>
      <c r="V32" s="53"/>
      <c r="W32" s="53"/>
      <c r="X32" s="53"/>
    </row>
    <row r="34" spans="1:27" x14ac:dyDescent="0.3">
      <c r="A34" s="54" t="s">
        <v>76</v>
      </c>
      <c r="B34" s="55"/>
      <c r="C34" s="55"/>
      <c r="D34" s="55"/>
      <c r="R34" s="56">
        <f>+R31+R32</f>
        <v>160.87890250666788</v>
      </c>
      <c r="S34" s="56">
        <f t="shared" ref="S34:AA34" si="8">+S31+S32</f>
        <v>160.64724243063552</v>
      </c>
      <c r="T34" s="56">
        <f t="shared" si="8"/>
        <v>160.41669432296757</v>
      </c>
      <c r="U34" s="56">
        <f t="shared" si="8"/>
        <v>0</v>
      </c>
      <c r="V34" s="56">
        <f t="shared" si="8"/>
        <v>0</v>
      </c>
      <c r="W34" s="56">
        <f t="shared" si="8"/>
        <v>0</v>
      </c>
      <c r="X34" s="56">
        <f t="shared" si="8"/>
        <v>0</v>
      </c>
      <c r="Y34" s="56">
        <f t="shared" si="8"/>
        <v>0</v>
      </c>
      <c r="Z34" s="56">
        <f t="shared" si="8"/>
        <v>0</v>
      </c>
      <c r="AA34" s="56">
        <f t="shared" si="8"/>
        <v>0</v>
      </c>
    </row>
    <row r="37" spans="1:27" x14ac:dyDescent="0.3">
      <c r="A37" s="48"/>
      <c r="B37" s="48"/>
      <c r="C37" s="48"/>
      <c r="D37" s="48"/>
      <c r="E37" s="48"/>
      <c r="F37" s="48"/>
      <c r="G37" s="48"/>
      <c r="H37" s="48"/>
      <c r="I37" s="48"/>
      <c r="J37" s="48"/>
      <c r="K37" s="48"/>
      <c r="L37" s="48"/>
      <c r="M37" s="48"/>
      <c r="N37" s="48"/>
      <c r="O37" s="48"/>
      <c r="P37" s="48"/>
      <c r="Q37" s="48"/>
      <c r="R37" s="48"/>
      <c r="S37" s="48"/>
      <c r="T37" s="48"/>
      <c r="U37" s="48"/>
      <c r="V37" s="48"/>
      <c r="W37" s="48"/>
      <c r="X37" s="48"/>
      <c r="Y37" s="48"/>
      <c r="Z37" s="48"/>
      <c r="AA37" s="48"/>
    </row>
    <row r="38" spans="1:27" x14ac:dyDescent="0.3">
      <c r="A38" s="49" t="s">
        <v>201</v>
      </c>
    </row>
    <row r="39" spans="1:27" x14ac:dyDescent="0.3">
      <c r="A39" s="54" t="s">
        <v>76</v>
      </c>
      <c r="B39" s="54"/>
      <c r="C39" s="54"/>
      <c r="D39" s="54"/>
      <c r="R39" s="56">
        <f>898.174307882448/1000</f>
        <v>0.89817430788244801</v>
      </c>
      <c r="S39" s="56">
        <f>654.769070446305/1000</f>
        <v>0.65476907044630506</v>
      </c>
      <c r="T39" s="56">
        <f>459.865245635814/1000</f>
        <v>0.45986524563581399</v>
      </c>
      <c r="U39" s="56">
        <f>308.07378760368/1000</f>
        <v>0.30807378760367998</v>
      </c>
      <c r="V39" s="56"/>
      <c r="W39" s="56"/>
      <c r="X39" s="56"/>
      <c r="Y39" s="56"/>
      <c r="Z39" s="56"/>
      <c r="AA39" s="56"/>
    </row>
    <row r="42" spans="1:27" x14ac:dyDescent="0.3">
      <c r="A42" s="49" t="s">
        <v>60</v>
      </c>
    </row>
    <row r="43" spans="1:27" x14ac:dyDescent="0.3">
      <c r="A43" s="51" t="s">
        <v>81</v>
      </c>
      <c r="B43" s="51"/>
      <c r="C43" s="51"/>
      <c r="D43" s="51"/>
      <c r="E43" s="51"/>
      <c r="F43" s="51"/>
      <c r="G43" s="51"/>
      <c r="H43" s="51"/>
      <c r="I43" s="51"/>
      <c r="J43" s="51"/>
      <c r="K43" s="51"/>
      <c r="L43" s="51"/>
      <c r="M43" s="51"/>
      <c r="N43" s="51"/>
      <c r="O43" s="51"/>
      <c r="P43" s="51"/>
      <c r="Q43" s="51"/>
      <c r="R43" s="51">
        <v>424.90613330000002</v>
      </c>
      <c r="S43" s="51">
        <f>+R43</f>
        <v>424.90613330000002</v>
      </c>
      <c r="T43" s="51">
        <f t="shared" ref="T43:AA43" si="9">+S43</f>
        <v>424.90613330000002</v>
      </c>
      <c r="U43" s="51">
        <f t="shared" si="9"/>
        <v>424.90613330000002</v>
      </c>
      <c r="V43" s="51">
        <f t="shared" si="9"/>
        <v>424.90613330000002</v>
      </c>
      <c r="W43" s="51">
        <f t="shared" si="9"/>
        <v>424.90613330000002</v>
      </c>
      <c r="X43" s="51">
        <f t="shared" si="9"/>
        <v>424.90613330000002</v>
      </c>
      <c r="Y43" s="51">
        <f t="shared" si="9"/>
        <v>424.90613330000002</v>
      </c>
      <c r="Z43" s="51">
        <f t="shared" si="9"/>
        <v>424.90613330000002</v>
      </c>
      <c r="AA43" s="51">
        <f t="shared" si="9"/>
        <v>424.90613330000002</v>
      </c>
    </row>
    <row r="44" spans="1:27" x14ac:dyDescent="0.3">
      <c r="A44" s="54" t="s">
        <v>76</v>
      </c>
      <c r="B44" s="55"/>
      <c r="C44" s="55"/>
      <c r="D44" s="55"/>
      <c r="R44" s="56">
        <f>+R43/10</f>
        <v>42.490613330000002</v>
      </c>
      <c r="S44" s="56">
        <f t="shared" ref="S44:AA44" si="10">+S43/10</f>
        <v>42.490613330000002</v>
      </c>
      <c r="T44" s="56">
        <f t="shared" si="10"/>
        <v>42.490613330000002</v>
      </c>
      <c r="U44" s="56">
        <f t="shared" si="10"/>
        <v>42.490613330000002</v>
      </c>
      <c r="V44" s="56">
        <f t="shared" si="10"/>
        <v>42.490613330000002</v>
      </c>
      <c r="W44" s="56">
        <f t="shared" si="10"/>
        <v>42.490613330000002</v>
      </c>
      <c r="X44" s="56">
        <f t="shared" si="10"/>
        <v>42.490613330000002</v>
      </c>
      <c r="Y44" s="56">
        <f t="shared" si="10"/>
        <v>42.490613330000002</v>
      </c>
      <c r="Z44" s="56">
        <f t="shared" si="10"/>
        <v>42.490613330000002</v>
      </c>
      <c r="AA44" s="56">
        <f t="shared" si="10"/>
        <v>42.490613330000002</v>
      </c>
    </row>
    <row r="47" spans="1:27" x14ac:dyDescent="0.3">
      <c r="A47" s="49" t="s">
        <v>202</v>
      </c>
    </row>
    <row r="48" spans="1:27" x14ac:dyDescent="0.3">
      <c r="A48" s="59" t="s">
        <v>82</v>
      </c>
      <c r="B48" s="59"/>
      <c r="C48" s="59"/>
      <c r="D48" s="59"/>
      <c r="E48" s="59"/>
      <c r="F48" s="59"/>
      <c r="G48" s="59"/>
      <c r="H48" s="59"/>
      <c r="I48" s="59"/>
      <c r="J48" s="59"/>
      <c r="K48" s="59"/>
      <c r="L48" s="59"/>
      <c r="M48" s="59"/>
      <c r="N48" s="59"/>
      <c r="O48" s="59"/>
      <c r="P48" s="59"/>
      <c r="Q48" s="59"/>
      <c r="R48" s="59">
        <v>54629.208942999998</v>
      </c>
      <c r="S48" s="59">
        <f>+R48-R50</f>
        <v>54514.487604219699</v>
      </c>
      <c r="T48" s="59">
        <f t="shared" ref="T48:AA48" si="11">+S48-S50</f>
        <v>54400.007180250839</v>
      </c>
      <c r="U48" s="59">
        <f t="shared" si="11"/>
        <v>54285.767165172314</v>
      </c>
      <c r="V48" s="59">
        <f t="shared" si="11"/>
        <v>54171.767054125456</v>
      </c>
      <c r="W48" s="59">
        <f t="shared" si="11"/>
        <v>54058.00634331179</v>
      </c>
      <c r="X48" s="59">
        <f t="shared" si="11"/>
        <v>53944.484529990834</v>
      </c>
      <c r="Y48" s="59">
        <f t="shared" si="11"/>
        <v>53831.201112477851</v>
      </c>
      <c r="Z48" s="59">
        <f t="shared" si="11"/>
        <v>53718.15559014165</v>
      </c>
      <c r="AA48" s="59">
        <f t="shared" si="11"/>
        <v>53605.347463402351</v>
      </c>
    </row>
    <row r="49" spans="1:27" x14ac:dyDescent="0.3">
      <c r="A49" s="50" t="s">
        <v>83</v>
      </c>
      <c r="B49" s="50"/>
      <c r="C49" s="50"/>
      <c r="D49" s="50"/>
      <c r="E49" s="50"/>
      <c r="F49" s="50"/>
      <c r="G49" s="50"/>
      <c r="H49" s="50"/>
      <c r="I49" s="50"/>
      <c r="J49" s="50"/>
      <c r="K49" s="50"/>
      <c r="L49" s="50"/>
      <c r="M49" s="50"/>
      <c r="N49" s="50"/>
      <c r="O49" s="50"/>
      <c r="P49" s="50"/>
      <c r="Q49" s="50"/>
      <c r="R49" s="50">
        <v>0.21</v>
      </c>
      <c r="S49" s="50">
        <v>0.21</v>
      </c>
      <c r="T49" s="50">
        <v>0.21</v>
      </c>
      <c r="U49" s="50">
        <v>0.21</v>
      </c>
      <c r="V49" s="50">
        <v>0.21</v>
      </c>
      <c r="W49" s="50">
        <v>0.21</v>
      </c>
      <c r="X49" s="50">
        <v>0.21</v>
      </c>
      <c r="Y49" s="50">
        <v>0.21</v>
      </c>
      <c r="Z49" s="50">
        <v>0.21</v>
      </c>
      <c r="AA49" s="50">
        <v>0.21</v>
      </c>
    </row>
    <row r="50" spans="1:27" x14ac:dyDescent="0.3">
      <c r="A50" s="50" t="s">
        <v>84</v>
      </c>
      <c r="B50" s="50"/>
      <c r="C50" s="50"/>
      <c r="D50" s="50"/>
      <c r="E50" s="50"/>
      <c r="F50" s="50"/>
      <c r="G50" s="50"/>
      <c r="H50" s="50"/>
      <c r="I50" s="50"/>
      <c r="J50" s="50"/>
      <c r="K50" s="50"/>
      <c r="L50" s="50"/>
      <c r="M50" s="50"/>
      <c r="N50" s="50"/>
      <c r="O50" s="50"/>
      <c r="P50" s="50"/>
      <c r="Q50" s="50"/>
      <c r="R50" s="50">
        <f>+R48*R49/100</f>
        <v>114.72133878029999</v>
      </c>
      <c r="S50" s="50">
        <f t="shared" ref="S50:AA50" si="12">+S48*S49/100</f>
        <v>114.48042396886136</v>
      </c>
      <c r="T50" s="50">
        <f t="shared" si="12"/>
        <v>114.24001507852675</v>
      </c>
      <c r="U50" s="50">
        <f t="shared" si="12"/>
        <v>114.00011104686186</v>
      </c>
      <c r="V50" s="50">
        <f t="shared" si="12"/>
        <v>113.76071081366345</v>
      </c>
      <c r="W50" s="50">
        <f t="shared" si="12"/>
        <v>113.52181332095475</v>
      </c>
      <c r="X50" s="50">
        <f t="shared" si="12"/>
        <v>113.28341751298075</v>
      </c>
      <c r="Y50" s="50">
        <f t="shared" si="12"/>
        <v>113.04552233620349</v>
      </c>
      <c r="Z50" s="50">
        <f t="shared" si="12"/>
        <v>112.80812673929746</v>
      </c>
      <c r="AA50" s="50">
        <f t="shared" si="12"/>
        <v>112.57122967314494</v>
      </c>
    </row>
    <row r="51" spans="1:27" x14ac:dyDescent="0.3">
      <c r="A51" s="50" t="s">
        <v>85</v>
      </c>
      <c r="B51" s="50"/>
      <c r="C51" s="50"/>
      <c r="D51" s="50"/>
      <c r="E51" s="50"/>
      <c r="F51" s="50"/>
      <c r="G51" s="50"/>
      <c r="H51" s="50"/>
      <c r="I51" s="50"/>
      <c r="J51" s="50"/>
      <c r="K51" s="50"/>
      <c r="L51" s="50"/>
      <c r="M51" s="50"/>
      <c r="N51" s="50"/>
      <c r="O51" s="50"/>
      <c r="P51" s="50"/>
      <c r="Q51" s="50"/>
      <c r="R51" s="50">
        <v>1136.4327092708045</v>
      </c>
      <c r="S51" s="50">
        <v>1136.4327092708045</v>
      </c>
      <c r="T51" s="50">
        <v>1136.4327092708045</v>
      </c>
      <c r="U51" s="50">
        <v>1136.4327092708045</v>
      </c>
      <c r="V51" s="50">
        <v>1136.4327092708045</v>
      </c>
      <c r="W51" s="50">
        <v>1136.4327092708045</v>
      </c>
      <c r="X51" s="50">
        <v>1136.4327092708045</v>
      </c>
      <c r="Y51" s="50">
        <v>1136.4327092708045</v>
      </c>
      <c r="Z51" s="50">
        <v>1136.4327092708045</v>
      </c>
      <c r="AA51" s="50">
        <v>1136.4327092708045</v>
      </c>
    </row>
    <row r="52" spans="1:27" x14ac:dyDescent="0.3">
      <c r="A52" s="50" t="s">
        <v>67</v>
      </c>
      <c r="B52" s="50"/>
      <c r="C52" s="50"/>
      <c r="D52" s="50"/>
      <c r="E52" s="50"/>
      <c r="F52" s="50"/>
      <c r="G52" s="50"/>
      <c r="H52" s="50"/>
      <c r="I52" s="50"/>
      <c r="J52" s="50"/>
      <c r="K52" s="50"/>
      <c r="L52" s="50"/>
      <c r="M52" s="50"/>
      <c r="N52" s="50"/>
      <c r="O52" s="50"/>
      <c r="P52" s="50"/>
      <c r="Q52" s="50"/>
      <c r="R52" s="50">
        <f>+R50/R51</f>
        <v>0.10094864204842474</v>
      </c>
      <c r="S52" s="50">
        <f t="shared" ref="S52:AA52" si="13">+S50/S51</f>
        <v>0.10073664990012306</v>
      </c>
      <c r="T52" s="50">
        <f t="shared" si="13"/>
        <v>0.1005251029353328</v>
      </c>
      <c r="U52" s="50">
        <f t="shared" si="13"/>
        <v>0.10031400021916861</v>
      </c>
      <c r="V52" s="50">
        <f t="shared" si="13"/>
        <v>0.10010334081870836</v>
      </c>
      <c r="W52" s="50">
        <f t="shared" si="13"/>
        <v>9.9893123802989064E-2</v>
      </c>
      <c r="X52" s="50">
        <f t="shared" si="13"/>
        <v>9.968334824300279E-2</v>
      </c>
      <c r="Y52" s="50">
        <f t="shared" si="13"/>
        <v>9.9474013211692483E-2</v>
      </c>
      <c r="Z52" s="50">
        <f t="shared" si="13"/>
        <v>9.9265117783947934E-2</v>
      </c>
      <c r="AA52" s="50">
        <f t="shared" si="13"/>
        <v>9.9056661036601643E-2</v>
      </c>
    </row>
    <row r="53" spans="1:27" x14ac:dyDescent="0.3">
      <c r="A53" s="51" t="s">
        <v>86</v>
      </c>
      <c r="B53" s="51"/>
      <c r="C53" s="51"/>
      <c r="D53" s="51"/>
      <c r="E53" s="51"/>
      <c r="F53" s="51"/>
      <c r="G53" s="51"/>
      <c r="H53" s="51"/>
      <c r="I53" s="51"/>
      <c r="J53" s="51"/>
      <c r="K53" s="51"/>
      <c r="L53" s="51"/>
      <c r="M53" s="51"/>
      <c r="N53" s="51"/>
      <c r="O53" s="51"/>
      <c r="P53" s="51"/>
      <c r="Q53" s="51"/>
      <c r="R53" s="51">
        <v>903.3810616269559</v>
      </c>
      <c r="S53" s="51">
        <f>+R53</f>
        <v>903.3810616269559</v>
      </c>
      <c r="T53" s="51">
        <f t="shared" ref="T53:AA54" si="14">+S53</f>
        <v>903.3810616269559</v>
      </c>
      <c r="U53" s="51">
        <f t="shared" si="14"/>
        <v>903.3810616269559</v>
      </c>
      <c r="V53" s="51">
        <f t="shared" si="14"/>
        <v>903.3810616269559</v>
      </c>
      <c r="W53" s="51">
        <f t="shared" si="14"/>
        <v>903.3810616269559</v>
      </c>
      <c r="X53" s="51">
        <f t="shared" si="14"/>
        <v>903.3810616269559</v>
      </c>
      <c r="Y53" s="51">
        <f t="shared" si="14"/>
        <v>903.3810616269559</v>
      </c>
      <c r="Z53" s="51">
        <f t="shared" si="14"/>
        <v>903.3810616269559</v>
      </c>
      <c r="AA53" s="51">
        <f t="shared" si="14"/>
        <v>903.3810616269559</v>
      </c>
    </row>
    <row r="54" spans="1:27" x14ac:dyDescent="0.3">
      <c r="A54" s="51" t="s">
        <v>87</v>
      </c>
      <c r="B54" s="51"/>
      <c r="C54" s="51"/>
      <c r="D54" s="51"/>
      <c r="E54" s="51"/>
      <c r="F54" s="51"/>
      <c r="G54" s="51"/>
      <c r="H54" s="51"/>
      <c r="I54" s="51"/>
      <c r="J54" s="51"/>
      <c r="K54" s="51"/>
      <c r="L54" s="51"/>
      <c r="M54" s="51"/>
      <c r="N54" s="51"/>
      <c r="O54" s="51"/>
      <c r="P54" s="51"/>
      <c r="Q54" s="51"/>
      <c r="R54" s="51">
        <v>6246.4951011161666</v>
      </c>
      <c r="S54" s="51">
        <f>+R54</f>
        <v>6246.4951011161666</v>
      </c>
      <c r="T54" s="51">
        <f t="shared" si="14"/>
        <v>6246.4951011161666</v>
      </c>
      <c r="U54" s="51">
        <f t="shared" si="14"/>
        <v>6246.4951011161666</v>
      </c>
      <c r="V54" s="51">
        <f t="shared" si="14"/>
        <v>6246.4951011161666</v>
      </c>
      <c r="W54" s="51">
        <f t="shared" si="14"/>
        <v>6246.4951011161666</v>
      </c>
      <c r="X54" s="51">
        <f t="shared" si="14"/>
        <v>6246.4951011161666</v>
      </c>
      <c r="Y54" s="51">
        <f t="shared" si="14"/>
        <v>6246.4951011161666</v>
      </c>
      <c r="Z54" s="51">
        <f t="shared" si="14"/>
        <v>6246.4951011161666</v>
      </c>
      <c r="AA54" s="51">
        <f t="shared" si="14"/>
        <v>6246.4951011161666</v>
      </c>
    </row>
    <row r="55" spans="1:27" x14ac:dyDescent="0.3">
      <c r="A55" s="52" t="s">
        <v>88</v>
      </c>
      <c r="B55" s="52"/>
      <c r="C55" s="52"/>
      <c r="D55" s="52"/>
      <c r="E55" s="52"/>
      <c r="F55" s="52"/>
      <c r="G55" s="52"/>
      <c r="H55" s="52"/>
      <c r="I55" s="52"/>
      <c r="J55" s="52"/>
      <c r="K55" s="52"/>
      <c r="L55" s="52"/>
      <c r="M55" s="52"/>
      <c r="N55" s="52"/>
      <c r="O55" s="52"/>
      <c r="P55" s="52"/>
      <c r="Q55" s="52"/>
      <c r="R55" s="53">
        <f>+R53*R$52</f>
        <v>91.195091423505502</v>
      </c>
      <c r="S55" s="53">
        <f t="shared" ref="S55:AA55" si="15">+S53*S$52</f>
        <v>91.003581731516149</v>
      </c>
      <c r="T55" s="53">
        <f t="shared" si="15"/>
        <v>90.812474209879966</v>
      </c>
      <c r="U55" s="53">
        <f t="shared" si="15"/>
        <v>90.621768014039233</v>
      </c>
      <c r="V55" s="53">
        <f t="shared" si="15"/>
        <v>90.431462301209748</v>
      </c>
      <c r="W55" s="53">
        <f t="shared" si="15"/>
        <v>90.241556230377199</v>
      </c>
      <c r="X55" s="53">
        <f t="shared" si="15"/>
        <v>90.052048962293412</v>
      </c>
      <c r="Y55" s="53">
        <f t="shared" si="15"/>
        <v>89.862939659472588</v>
      </c>
      <c r="Z55" s="53">
        <f t="shared" si="15"/>
        <v>89.674227486187704</v>
      </c>
      <c r="AA55" s="53">
        <f t="shared" si="15"/>
        <v>89.485911608466708</v>
      </c>
    </row>
    <row r="56" spans="1:27" x14ac:dyDescent="0.3">
      <c r="A56" s="52" t="s">
        <v>89</v>
      </c>
      <c r="B56" s="52"/>
      <c r="C56" s="52"/>
      <c r="D56" s="52"/>
      <c r="E56" s="52"/>
      <c r="F56" s="52"/>
      <c r="G56" s="52"/>
      <c r="H56" s="52"/>
      <c r="I56" s="52"/>
      <c r="J56" s="52"/>
      <c r="K56" s="52"/>
      <c r="L56" s="52"/>
      <c r="M56" s="52"/>
      <c r="N56" s="52"/>
      <c r="O56" s="52"/>
      <c r="P56" s="52"/>
      <c r="Q56" s="52"/>
      <c r="R56" s="53">
        <f>+R54/10</f>
        <v>624.64951011161668</v>
      </c>
      <c r="S56" s="53">
        <f t="shared" ref="S56:AA56" si="16">+S54/10</f>
        <v>624.64951011161668</v>
      </c>
      <c r="T56" s="53">
        <f t="shared" si="16"/>
        <v>624.64951011161668</v>
      </c>
      <c r="U56" s="53">
        <f t="shared" si="16"/>
        <v>624.64951011161668</v>
      </c>
      <c r="V56" s="53">
        <f t="shared" si="16"/>
        <v>624.64951011161668</v>
      </c>
      <c r="W56" s="53">
        <f t="shared" si="16"/>
        <v>624.64951011161668</v>
      </c>
      <c r="X56" s="53">
        <f t="shared" si="16"/>
        <v>624.64951011161668</v>
      </c>
      <c r="Y56" s="53">
        <f t="shared" si="16"/>
        <v>624.64951011161668</v>
      </c>
      <c r="Z56" s="53">
        <f t="shared" si="16"/>
        <v>624.64951011161668</v>
      </c>
      <c r="AA56" s="53">
        <f t="shared" si="16"/>
        <v>624.64951011161668</v>
      </c>
    </row>
    <row r="58" spans="1:27" x14ac:dyDescent="0.3">
      <c r="A58" s="60" t="s">
        <v>90</v>
      </c>
      <c r="B58" s="60"/>
      <c r="C58" s="60"/>
      <c r="D58" s="60"/>
      <c r="E58" s="60"/>
      <c r="F58" s="60"/>
      <c r="G58" s="60"/>
      <c r="H58" s="60"/>
      <c r="I58" s="60"/>
      <c r="J58" s="60"/>
      <c r="K58" s="60"/>
      <c r="L58" s="60"/>
      <c r="M58" s="60"/>
      <c r="N58" s="60"/>
      <c r="O58" s="60"/>
      <c r="P58" s="60"/>
      <c r="Q58" s="60"/>
      <c r="R58" s="60"/>
      <c r="S58" s="60"/>
      <c r="T58" s="60"/>
      <c r="U58" s="60"/>
      <c r="V58" s="60"/>
      <c r="W58" s="60"/>
      <c r="X58" s="60"/>
      <c r="Y58" s="60"/>
      <c r="Z58" s="60"/>
      <c r="AA58" s="60"/>
    </row>
    <row r="59" spans="1:27" x14ac:dyDescent="0.3">
      <c r="A59" s="61"/>
      <c r="B59" s="61"/>
      <c r="C59" s="61"/>
      <c r="D59" s="61"/>
      <c r="E59" s="61"/>
      <c r="F59" s="61"/>
      <c r="G59" s="61"/>
      <c r="H59" s="61"/>
      <c r="I59" s="61"/>
      <c r="J59" s="61"/>
      <c r="K59" s="61"/>
      <c r="L59" s="61"/>
      <c r="M59" s="61"/>
      <c r="N59" s="61"/>
      <c r="O59" s="61"/>
      <c r="P59" s="61"/>
      <c r="Q59" s="61"/>
      <c r="R59" s="61">
        <v>3776.8573020018098</v>
      </c>
      <c r="S59" s="59">
        <f>+R59-R61</f>
        <v>3758.7283869522012</v>
      </c>
      <c r="T59" s="59">
        <f t="shared" ref="T59:AA59" si="17">+S59-S61</f>
        <v>3740.6864906948308</v>
      </c>
      <c r="U59" s="59">
        <f t="shared" si="17"/>
        <v>3722.7311955394957</v>
      </c>
      <c r="V59" s="59">
        <f t="shared" si="17"/>
        <v>3704.8620858009062</v>
      </c>
      <c r="W59" s="59">
        <f t="shared" si="17"/>
        <v>3687.0787477890617</v>
      </c>
      <c r="X59" s="59">
        <f t="shared" si="17"/>
        <v>3669.380769799674</v>
      </c>
      <c r="Y59" s="59">
        <f t="shared" si="17"/>
        <v>3651.7677421046355</v>
      </c>
      <c r="Z59" s="59">
        <f t="shared" si="17"/>
        <v>3634.2392569425333</v>
      </c>
      <c r="AA59" s="59">
        <f t="shared" si="17"/>
        <v>3616.7949085092091</v>
      </c>
    </row>
    <row r="60" spans="1:27" x14ac:dyDescent="0.3">
      <c r="A60" s="50" t="s">
        <v>91</v>
      </c>
      <c r="B60" s="50"/>
      <c r="C60" s="50"/>
      <c r="D60" s="50"/>
      <c r="E60" s="50"/>
      <c r="F60" s="50"/>
      <c r="G60" s="50"/>
      <c r="H60" s="50"/>
      <c r="I60" s="50"/>
      <c r="J60" s="50"/>
      <c r="K60" s="50"/>
      <c r="L60" s="50"/>
      <c r="M60" s="50"/>
      <c r="N60" s="50"/>
      <c r="O60" s="50"/>
      <c r="P60" s="50"/>
      <c r="Q60" s="50"/>
      <c r="R60" s="50">
        <v>0.48</v>
      </c>
      <c r="S60" s="50">
        <v>0.48</v>
      </c>
      <c r="T60" s="50">
        <v>0.48</v>
      </c>
      <c r="U60" s="50">
        <v>0.48</v>
      </c>
      <c r="V60" s="50">
        <v>0.48</v>
      </c>
      <c r="W60" s="50">
        <v>0.48</v>
      </c>
      <c r="X60" s="50">
        <v>0.48</v>
      </c>
      <c r="Y60" s="50">
        <v>0.48</v>
      </c>
      <c r="Z60" s="50">
        <v>0.48</v>
      </c>
      <c r="AA60" s="50">
        <v>0.48</v>
      </c>
    </row>
    <row r="61" spans="1:27" x14ac:dyDescent="0.3">
      <c r="A61" s="50" t="s">
        <v>92</v>
      </c>
      <c r="B61" s="50"/>
      <c r="C61" s="50"/>
      <c r="D61" s="50"/>
      <c r="E61" s="50"/>
      <c r="F61" s="50"/>
      <c r="G61" s="50"/>
      <c r="H61" s="50"/>
      <c r="I61" s="50"/>
      <c r="J61" s="50"/>
      <c r="K61" s="50"/>
      <c r="L61" s="50"/>
      <c r="M61" s="50"/>
      <c r="N61" s="50"/>
      <c r="O61" s="50"/>
      <c r="P61" s="50"/>
      <c r="Q61" s="50"/>
      <c r="R61" s="50">
        <f>+R59*R60/100</f>
        <v>18.128915049608686</v>
      </c>
      <c r="S61" s="50">
        <f t="shared" ref="S61:AA61" si="18">+S59*S60/100</f>
        <v>18.041896257370567</v>
      </c>
      <c r="T61" s="50">
        <f t="shared" si="18"/>
        <v>17.955295155335186</v>
      </c>
      <c r="U61" s="50">
        <f t="shared" si="18"/>
        <v>17.869109738589579</v>
      </c>
      <c r="V61" s="50">
        <f t="shared" si="18"/>
        <v>17.78333801184435</v>
      </c>
      <c r="W61" s="50">
        <f t="shared" si="18"/>
        <v>17.697977989387496</v>
      </c>
      <c r="X61" s="50">
        <f t="shared" si="18"/>
        <v>17.613027695038433</v>
      </c>
      <c r="Y61" s="50">
        <f t="shared" si="18"/>
        <v>17.52848516210225</v>
      </c>
      <c r="Z61" s="50">
        <f t="shared" si="18"/>
        <v>17.444348433324159</v>
      </c>
      <c r="AA61" s="50">
        <f t="shared" si="18"/>
        <v>17.360615560844202</v>
      </c>
    </row>
    <row r="62" spans="1:27" x14ac:dyDescent="0.3">
      <c r="A62" s="50" t="s">
        <v>93</v>
      </c>
      <c r="B62" s="50"/>
      <c r="C62" s="50"/>
      <c r="D62" s="50"/>
      <c r="E62" s="50"/>
      <c r="F62" s="50"/>
      <c r="G62" s="50"/>
      <c r="H62" s="50"/>
      <c r="I62" s="50"/>
      <c r="J62" s="50"/>
      <c r="K62" s="50"/>
      <c r="L62" s="50"/>
      <c r="M62" s="50"/>
      <c r="N62" s="50"/>
      <c r="O62" s="50"/>
      <c r="P62" s="50"/>
      <c r="Q62" s="50"/>
      <c r="R62" s="50">
        <v>177.42300905344655</v>
      </c>
      <c r="S62" s="50">
        <f>+R62</f>
        <v>177.42300905344655</v>
      </c>
      <c r="T62" s="50">
        <f t="shared" ref="T62:Z62" si="19">+S62</f>
        <v>177.42300905344655</v>
      </c>
      <c r="U62" s="50">
        <f t="shared" si="19"/>
        <v>177.42300905344655</v>
      </c>
      <c r="V62" s="50">
        <f t="shared" si="19"/>
        <v>177.42300905344655</v>
      </c>
      <c r="W62" s="50">
        <f t="shared" si="19"/>
        <v>177.42300905344655</v>
      </c>
      <c r="X62" s="50">
        <f t="shared" si="19"/>
        <v>177.42300905344655</v>
      </c>
      <c r="Y62" s="50">
        <f t="shared" si="19"/>
        <v>177.42300905344655</v>
      </c>
      <c r="Z62" s="50">
        <f t="shared" si="19"/>
        <v>177.42300905344655</v>
      </c>
      <c r="AA62" s="50">
        <f>+Z62</f>
        <v>177.42300905344655</v>
      </c>
    </row>
    <row r="63" spans="1:27" x14ac:dyDescent="0.3">
      <c r="A63" s="62" t="s">
        <v>94</v>
      </c>
      <c r="B63" s="62"/>
      <c r="C63" s="62"/>
      <c r="D63" s="62"/>
      <c r="E63" s="62"/>
      <c r="F63" s="62"/>
      <c r="G63" s="62"/>
      <c r="H63" s="62"/>
      <c r="I63" s="62"/>
      <c r="J63" s="62"/>
      <c r="K63" s="62"/>
      <c r="L63" s="62"/>
      <c r="M63" s="62"/>
      <c r="N63" s="62"/>
      <c r="O63" s="62"/>
      <c r="P63" s="62"/>
      <c r="Q63" s="62"/>
      <c r="R63" s="62">
        <f>+R61/R62</f>
        <v>0.10217905302320494</v>
      </c>
      <c r="S63" s="62">
        <f t="shared" ref="S63:AA63" si="20">+S61/S62</f>
        <v>0.10168859356869357</v>
      </c>
      <c r="T63" s="62">
        <f t="shared" si="20"/>
        <v>0.10120048831956384</v>
      </c>
      <c r="U63" s="62">
        <f t="shared" si="20"/>
        <v>0.10071472597562994</v>
      </c>
      <c r="V63" s="62">
        <f t="shared" si="20"/>
        <v>0.10023129529094692</v>
      </c>
      <c r="W63" s="62">
        <f t="shared" si="20"/>
        <v>9.9750185073550365E-2</v>
      </c>
      <c r="X63" s="62">
        <f t="shared" si="20"/>
        <v>9.9271384185197306E-2</v>
      </c>
      <c r="Y63" s="62">
        <f t="shared" si="20"/>
        <v>9.8794881541108368E-2</v>
      </c>
      <c r="Z63" s="62">
        <f t="shared" si="20"/>
        <v>9.8320666109711047E-2</v>
      </c>
      <c r="AA63" s="62">
        <f t="shared" si="20"/>
        <v>9.7848726912384429E-2</v>
      </c>
    </row>
    <row r="64" spans="1:27" x14ac:dyDescent="0.3">
      <c r="A64" s="61"/>
      <c r="B64" s="61"/>
      <c r="C64" s="61"/>
      <c r="D64" s="61"/>
      <c r="E64" s="61"/>
      <c r="F64" s="61"/>
      <c r="G64" s="61"/>
      <c r="H64" s="61"/>
      <c r="I64" s="61"/>
      <c r="J64" s="61"/>
      <c r="K64" s="61"/>
      <c r="L64" s="61"/>
      <c r="M64" s="61"/>
      <c r="N64" s="61"/>
      <c r="O64" s="61"/>
      <c r="P64" s="61"/>
      <c r="Q64" s="61"/>
      <c r="R64" s="61">
        <v>5095.0658723417073</v>
      </c>
      <c r="S64" s="59">
        <f>+R64-R66</f>
        <v>5076.7236352012769</v>
      </c>
      <c r="T64" s="59">
        <f t="shared" ref="T64:AA64" si="21">+S64-S66</f>
        <v>5058.4474301145519</v>
      </c>
      <c r="U64" s="59">
        <f t="shared" si="21"/>
        <v>5040.23701936614</v>
      </c>
      <c r="V64" s="59">
        <f t="shared" si="21"/>
        <v>5022.0921660964223</v>
      </c>
      <c r="W64" s="59">
        <f t="shared" si="21"/>
        <v>5004.0126342984749</v>
      </c>
      <c r="X64" s="59">
        <f t="shared" si="21"/>
        <v>4985.9981888150005</v>
      </c>
      <c r="Y64" s="59">
        <f t="shared" si="21"/>
        <v>4968.0485953352663</v>
      </c>
      <c r="Z64" s="59">
        <f t="shared" si="21"/>
        <v>4950.1636203920598</v>
      </c>
      <c r="AA64" s="59">
        <f t="shared" si="21"/>
        <v>4932.3430313586487</v>
      </c>
    </row>
    <row r="65" spans="1:27" x14ac:dyDescent="0.3">
      <c r="A65" s="50" t="s">
        <v>95</v>
      </c>
      <c r="B65" s="50"/>
      <c r="C65" s="50"/>
      <c r="D65" s="50"/>
      <c r="E65" s="50"/>
      <c r="F65" s="50"/>
      <c r="G65" s="50"/>
      <c r="H65" s="50"/>
      <c r="I65" s="50"/>
      <c r="J65" s="50"/>
      <c r="K65" s="50"/>
      <c r="L65" s="50"/>
      <c r="M65" s="50"/>
      <c r="N65" s="50"/>
      <c r="O65" s="50"/>
      <c r="P65" s="50"/>
      <c r="Q65" s="50"/>
      <c r="R65" s="50">
        <v>0.36</v>
      </c>
      <c r="S65" s="50">
        <v>0.36</v>
      </c>
      <c r="T65" s="50">
        <v>0.36</v>
      </c>
      <c r="U65" s="50">
        <v>0.36</v>
      </c>
      <c r="V65" s="50">
        <v>0.36</v>
      </c>
      <c r="W65" s="50">
        <v>0.36</v>
      </c>
      <c r="X65" s="50">
        <v>0.36</v>
      </c>
      <c r="Y65" s="50">
        <v>0.36</v>
      </c>
      <c r="Z65" s="50">
        <v>0.36</v>
      </c>
      <c r="AA65" s="50">
        <v>0.36</v>
      </c>
    </row>
    <row r="66" spans="1:27" x14ac:dyDescent="0.3">
      <c r="A66" s="50" t="s">
        <v>96</v>
      </c>
      <c r="B66" s="50"/>
      <c r="C66" s="50"/>
      <c r="D66" s="50"/>
      <c r="E66" s="50"/>
      <c r="F66" s="50"/>
      <c r="G66" s="50"/>
      <c r="H66" s="50"/>
      <c r="I66" s="50"/>
      <c r="J66" s="50"/>
      <c r="K66" s="50"/>
      <c r="L66" s="50"/>
      <c r="M66" s="50"/>
      <c r="N66" s="50"/>
      <c r="O66" s="50"/>
      <c r="P66" s="50"/>
      <c r="Q66" s="50"/>
      <c r="R66" s="50">
        <f>+R64*R65/100</f>
        <v>18.342237140430147</v>
      </c>
      <c r="S66" s="50">
        <f t="shared" ref="S66:AA66" si="22">+S64*S65/100</f>
        <v>18.276205086724598</v>
      </c>
      <c r="T66" s="50">
        <f t="shared" si="22"/>
        <v>18.210410748412386</v>
      </c>
      <c r="U66" s="50">
        <f t="shared" si="22"/>
        <v>18.144853269718102</v>
      </c>
      <c r="V66" s="50">
        <f t="shared" si="22"/>
        <v>18.079531797947119</v>
      </c>
      <c r="W66" s="50">
        <f t="shared" si="22"/>
        <v>18.01444548347451</v>
      </c>
      <c r="X66" s="50">
        <f t="shared" si="22"/>
        <v>17.949593479734002</v>
      </c>
      <c r="Y66" s="50">
        <f t="shared" si="22"/>
        <v>17.884974943206956</v>
      </c>
      <c r="Z66" s="50">
        <f t="shared" si="22"/>
        <v>17.820589033411416</v>
      </c>
      <c r="AA66" s="50">
        <f t="shared" si="22"/>
        <v>17.756434912891134</v>
      </c>
    </row>
    <row r="67" spans="1:27" x14ac:dyDescent="0.3">
      <c r="A67" s="50" t="s">
        <v>97</v>
      </c>
      <c r="B67" s="50"/>
      <c r="C67" s="50"/>
      <c r="D67" s="50"/>
      <c r="E67" s="50"/>
      <c r="F67" s="50"/>
      <c r="G67" s="50"/>
      <c r="H67" s="50"/>
      <c r="I67" s="50"/>
      <c r="J67" s="50"/>
      <c r="K67" s="50"/>
      <c r="L67" s="50"/>
      <c r="M67" s="50"/>
      <c r="N67" s="50"/>
      <c r="O67" s="50"/>
      <c r="P67" s="50"/>
      <c r="Q67" s="50"/>
      <c r="R67" s="50">
        <v>180.47927589595383</v>
      </c>
      <c r="S67" s="50">
        <f>+R67</f>
        <v>180.47927589595383</v>
      </c>
      <c r="T67" s="50">
        <f t="shared" ref="T67:Z67" si="23">+S67</f>
        <v>180.47927589595383</v>
      </c>
      <c r="U67" s="50">
        <f t="shared" si="23"/>
        <v>180.47927589595383</v>
      </c>
      <c r="V67" s="50">
        <f t="shared" si="23"/>
        <v>180.47927589595383</v>
      </c>
      <c r="W67" s="50">
        <f t="shared" si="23"/>
        <v>180.47927589595383</v>
      </c>
      <c r="X67" s="50">
        <f t="shared" si="23"/>
        <v>180.47927589595383</v>
      </c>
      <c r="Y67" s="50">
        <f t="shared" si="23"/>
        <v>180.47927589595383</v>
      </c>
      <c r="Z67" s="50">
        <f t="shared" si="23"/>
        <v>180.47927589595383</v>
      </c>
      <c r="AA67" s="50">
        <f>+Z67</f>
        <v>180.47927589595383</v>
      </c>
    </row>
    <row r="68" spans="1:27" x14ac:dyDescent="0.3">
      <c r="A68" s="62" t="s">
        <v>98</v>
      </c>
      <c r="B68" s="62"/>
      <c r="C68" s="62"/>
      <c r="D68" s="62"/>
      <c r="E68" s="62"/>
      <c r="F68" s="62"/>
      <c r="G68" s="62"/>
      <c r="H68" s="62"/>
      <c r="I68" s="62"/>
      <c r="J68" s="62"/>
      <c r="K68" s="62"/>
      <c r="L68" s="62"/>
      <c r="M68" s="62"/>
      <c r="N68" s="62"/>
      <c r="O68" s="62"/>
      <c r="P68" s="62"/>
      <c r="Q68" s="62"/>
      <c r="R68" s="62">
        <f>+R66/R67</f>
        <v>0.10163071105739827</v>
      </c>
      <c r="S68" s="62">
        <f t="shared" ref="S68:AA68" si="24">+S66/S67</f>
        <v>0.10126484049759163</v>
      </c>
      <c r="T68" s="62">
        <f t="shared" si="24"/>
        <v>0.10090028707180028</v>
      </c>
      <c r="U68" s="62">
        <f t="shared" si="24"/>
        <v>0.10053704603834179</v>
      </c>
      <c r="V68" s="62">
        <f t="shared" si="24"/>
        <v>0.10017511267260379</v>
      </c>
      <c r="W68" s="62">
        <f t="shared" si="24"/>
        <v>9.9814482266982418E-2</v>
      </c>
      <c r="X68" s="62">
        <f t="shared" si="24"/>
        <v>9.9455150130821277E-2</v>
      </c>
      <c r="Y68" s="62">
        <f t="shared" si="24"/>
        <v>9.9097111590350298E-2</v>
      </c>
      <c r="Z68" s="62">
        <f t="shared" si="24"/>
        <v>9.8740361988625069E-2</v>
      </c>
      <c r="AA68" s="62">
        <f t="shared" si="24"/>
        <v>9.8384896685466017E-2</v>
      </c>
    </row>
    <row r="69" spans="1:27" x14ac:dyDescent="0.3">
      <c r="A69" s="61"/>
      <c r="B69" s="61"/>
      <c r="C69" s="61"/>
      <c r="D69" s="61"/>
      <c r="E69" s="61"/>
      <c r="F69" s="61"/>
      <c r="G69" s="61"/>
      <c r="H69" s="61"/>
      <c r="I69" s="61"/>
      <c r="J69" s="61"/>
      <c r="K69" s="61"/>
      <c r="L69" s="61"/>
      <c r="M69" s="61"/>
      <c r="N69" s="61"/>
      <c r="O69" s="61"/>
      <c r="P69" s="61"/>
      <c r="Q69" s="61"/>
      <c r="R69" s="61">
        <v>12190.360460156488</v>
      </c>
      <c r="S69" s="59">
        <f>+R69-R71</f>
        <v>12164.760703190159</v>
      </c>
      <c r="T69" s="59">
        <f t="shared" ref="T69:AA69" si="25">+S69-S71</f>
        <v>12139.214705713459</v>
      </c>
      <c r="U69" s="59">
        <f t="shared" si="25"/>
        <v>12113.722354831461</v>
      </c>
      <c r="V69" s="59">
        <f t="shared" si="25"/>
        <v>12088.283537886315</v>
      </c>
      <c r="W69" s="59">
        <f t="shared" si="25"/>
        <v>12062.898142456754</v>
      </c>
      <c r="X69" s="59">
        <f t="shared" si="25"/>
        <v>12037.566056357595</v>
      </c>
      <c r="Y69" s="59">
        <f t="shared" si="25"/>
        <v>12012.287167639244</v>
      </c>
      <c r="Z69" s="59">
        <f t="shared" si="25"/>
        <v>11987.061364587202</v>
      </c>
      <c r="AA69" s="59">
        <f t="shared" si="25"/>
        <v>11961.888535721569</v>
      </c>
    </row>
    <row r="70" spans="1:27" x14ac:dyDescent="0.3">
      <c r="A70" s="50" t="s">
        <v>99</v>
      </c>
      <c r="B70" s="50"/>
      <c r="C70" s="50"/>
      <c r="D70" s="50"/>
      <c r="E70" s="50"/>
      <c r="F70" s="50"/>
      <c r="G70" s="50"/>
      <c r="H70" s="50"/>
      <c r="I70" s="50"/>
      <c r="J70" s="50"/>
      <c r="K70" s="50"/>
      <c r="L70" s="50"/>
      <c r="M70" s="50"/>
      <c r="N70" s="50"/>
      <c r="O70" s="50"/>
      <c r="P70" s="50"/>
      <c r="Q70" s="50"/>
      <c r="R70" s="50">
        <v>0.21</v>
      </c>
      <c r="S70" s="50">
        <v>0.21</v>
      </c>
      <c r="T70" s="50">
        <v>0.21</v>
      </c>
      <c r="U70" s="50">
        <v>0.21</v>
      </c>
      <c r="V70" s="50">
        <v>0.21</v>
      </c>
      <c r="W70" s="50">
        <v>0.21</v>
      </c>
      <c r="X70" s="50">
        <v>0.21</v>
      </c>
      <c r="Y70" s="50">
        <v>0.21</v>
      </c>
      <c r="Z70" s="50">
        <v>0.21</v>
      </c>
      <c r="AA70" s="50">
        <v>0.21</v>
      </c>
    </row>
    <row r="71" spans="1:27" x14ac:dyDescent="0.3">
      <c r="A71" s="50" t="s">
        <v>100</v>
      </c>
      <c r="B71" s="50"/>
      <c r="C71" s="50"/>
      <c r="D71" s="50"/>
      <c r="E71" s="50"/>
      <c r="F71" s="50"/>
      <c r="G71" s="50"/>
      <c r="H71" s="50"/>
      <c r="I71" s="50"/>
      <c r="J71" s="50"/>
      <c r="K71" s="50"/>
      <c r="L71" s="50"/>
      <c r="M71" s="50"/>
      <c r="N71" s="50"/>
      <c r="O71" s="50"/>
      <c r="P71" s="50"/>
      <c r="Q71" s="50"/>
      <c r="R71" s="50">
        <f>+R69*R70/100</f>
        <v>25.599756966328624</v>
      </c>
      <c r="S71" s="50">
        <f>+S69*S70/100</f>
        <v>25.545997476699331</v>
      </c>
      <c r="T71" s="50">
        <f t="shared" ref="T71:AA71" si="26">+T69*T70/100</f>
        <v>25.492350881998263</v>
      </c>
      <c r="U71" s="50">
        <f t="shared" si="26"/>
        <v>25.438816945146069</v>
      </c>
      <c r="V71" s="50">
        <f t="shared" si="26"/>
        <v>25.385395429561257</v>
      </c>
      <c r="W71" s="50">
        <f t="shared" si="26"/>
        <v>25.332086099159184</v>
      </c>
      <c r="X71" s="50">
        <f t="shared" si="26"/>
        <v>25.278888718350949</v>
      </c>
      <c r="Y71" s="50">
        <f t="shared" si="26"/>
        <v>25.225803052042412</v>
      </c>
      <c r="Z71" s="50">
        <f t="shared" si="26"/>
        <v>25.172828865633122</v>
      </c>
      <c r="AA71" s="50">
        <f t="shared" si="26"/>
        <v>25.119965925015293</v>
      </c>
    </row>
    <row r="72" spans="1:27" x14ac:dyDescent="0.3">
      <c r="A72" s="50" t="s">
        <v>101</v>
      </c>
      <c r="B72" s="50"/>
      <c r="C72" s="50"/>
      <c r="D72" s="50"/>
      <c r="E72" s="50"/>
      <c r="F72" s="50"/>
      <c r="G72" s="50"/>
      <c r="H72" s="50"/>
      <c r="I72" s="50"/>
      <c r="J72" s="50"/>
      <c r="K72" s="50"/>
      <c r="L72" s="50"/>
      <c r="M72" s="50"/>
      <c r="N72" s="50"/>
      <c r="O72" s="50"/>
      <c r="P72" s="50"/>
      <c r="Q72" s="50"/>
      <c r="R72" s="50">
        <v>253.59189035993768</v>
      </c>
      <c r="S72" s="50">
        <f>+R72</f>
        <v>253.59189035993768</v>
      </c>
      <c r="T72" s="50">
        <f t="shared" ref="T72:Z72" si="27">+S72</f>
        <v>253.59189035993768</v>
      </c>
      <c r="U72" s="50">
        <f t="shared" si="27"/>
        <v>253.59189035993768</v>
      </c>
      <c r="V72" s="50">
        <f t="shared" si="27"/>
        <v>253.59189035993768</v>
      </c>
      <c r="W72" s="50">
        <f t="shared" si="27"/>
        <v>253.59189035993768</v>
      </c>
      <c r="X72" s="50">
        <f t="shared" si="27"/>
        <v>253.59189035993768</v>
      </c>
      <c r="Y72" s="50">
        <f t="shared" si="27"/>
        <v>253.59189035993768</v>
      </c>
      <c r="Z72" s="50">
        <f t="shared" si="27"/>
        <v>253.59189035993768</v>
      </c>
      <c r="AA72" s="50">
        <f>+Z72</f>
        <v>253.59189035993768</v>
      </c>
    </row>
    <row r="73" spans="1:27" x14ac:dyDescent="0.3">
      <c r="A73" s="50" t="s">
        <v>102</v>
      </c>
      <c r="B73" s="50"/>
      <c r="C73" s="50"/>
      <c r="D73" s="50"/>
      <c r="E73" s="50"/>
      <c r="F73" s="50"/>
      <c r="G73" s="50"/>
      <c r="H73" s="50"/>
      <c r="I73" s="50"/>
      <c r="J73" s="50"/>
      <c r="K73" s="50"/>
      <c r="L73" s="50"/>
      <c r="M73" s="50"/>
      <c r="N73" s="50"/>
      <c r="O73" s="50"/>
      <c r="P73" s="50"/>
      <c r="Q73" s="50"/>
      <c r="R73" s="50">
        <f>+R71/R72</f>
        <v>0.10094864204842435</v>
      </c>
      <c r="S73" s="50">
        <f t="shared" ref="S73:AA73" si="28">+S71/S72</f>
        <v>0.10073664990012265</v>
      </c>
      <c r="T73" s="50">
        <f t="shared" si="28"/>
        <v>0.1005251029353324</v>
      </c>
      <c r="U73" s="50">
        <f t="shared" si="28"/>
        <v>0.10031400021916821</v>
      </c>
      <c r="V73" s="50">
        <f t="shared" si="28"/>
        <v>0.10010334081870793</v>
      </c>
      <c r="W73" s="50">
        <f t="shared" si="28"/>
        <v>9.9893123802988676E-2</v>
      </c>
      <c r="X73" s="50">
        <f t="shared" si="28"/>
        <v>9.9683348243002387E-2</v>
      </c>
      <c r="Y73" s="50">
        <f t="shared" si="28"/>
        <v>9.9474013211692094E-2</v>
      </c>
      <c r="Z73" s="50">
        <f t="shared" si="28"/>
        <v>9.9265117783947532E-2</v>
      </c>
      <c r="AA73" s="50">
        <f t="shared" si="28"/>
        <v>9.905666103660124E-2</v>
      </c>
    </row>
    <row r="74" spans="1:27" x14ac:dyDescent="0.3">
      <c r="A74" s="51" t="s">
        <v>103</v>
      </c>
      <c r="B74" s="51"/>
      <c r="C74" s="51"/>
      <c r="D74" s="51"/>
      <c r="E74" s="51"/>
      <c r="F74" s="51"/>
      <c r="G74" s="51"/>
      <c r="H74" s="51"/>
      <c r="I74" s="51"/>
      <c r="J74" s="51"/>
      <c r="K74" s="51"/>
      <c r="L74" s="51"/>
      <c r="M74" s="51"/>
      <c r="N74" s="51"/>
      <c r="O74" s="51"/>
      <c r="P74" s="51"/>
      <c r="Q74" s="51"/>
      <c r="R74" s="51">
        <v>57.740964283205898</v>
      </c>
      <c r="S74" s="51">
        <f>+R74</f>
        <v>57.740964283205898</v>
      </c>
      <c r="T74" s="51">
        <f t="shared" ref="T74:AA77" si="29">+S74</f>
        <v>57.740964283205898</v>
      </c>
      <c r="U74" s="51">
        <f t="shared" si="29"/>
        <v>57.740964283205898</v>
      </c>
      <c r="V74" s="51">
        <f t="shared" si="29"/>
        <v>57.740964283205898</v>
      </c>
      <c r="W74" s="51">
        <f t="shared" si="29"/>
        <v>57.740964283205898</v>
      </c>
      <c r="X74" s="51">
        <f t="shared" si="29"/>
        <v>57.740964283205898</v>
      </c>
      <c r="Y74" s="51">
        <f t="shared" si="29"/>
        <v>57.740964283205898</v>
      </c>
      <c r="Z74" s="51">
        <f t="shared" si="29"/>
        <v>57.740964283205898</v>
      </c>
      <c r="AA74" s="51">
        <f t="shared" si="29"/>
        <v>57.740964283205898</v>
      </c>
    </row>
    <row r="75" spans="1:27" x14ac:dyDescent="0.3">
      <c r="A75" s="51" t="s">
        <v>104</v>
      </c>
      <c r="B75" s="51"/>
      <c r="C75" s="51"/>
      <c r="D75" s="51"/>
      <c r="E75" s="51"/>
      <c r="F75" s="51"/>
      <c r="G75" s="51"/>
      <c r="H75" s="51"/>
      <c r="I75" s="51"/>
      <c r="J75" s="51"/>
      <c r="K75" s="51"/>
      <c r="L75" s="51"/>
      <c r="M75" s="51"/>
      <c r="N75" s="51"/>
      <c r="O75" s="51"/>
      <c r="P75" s="51"/>
      <c r="Q75" s="51"/>
      <c r="R75" s="51">
        <v>55.757380421668699</v>
      </c>
      <c r="S75" s="51">
        <f>+R75</f>
        <v>55.757380421668699</v>
      </c>
      <c r="T75" s="51">
        <f t="shared" si="29"/>
        <v>55.757380421668699</v>
      </c>
      <c r="U75" s="51">
        <f t="shared" si="29"/>
        <v>55.757380421668699</v>
      </c>
      <c r="V75" s="51">
        <f t="shared" si="29"/>
        <v>55.757380421668699</v>
      </c>
      <c r="W75" s="51">
        <f t="shared" si="29"/>
        <v>55.757380421668699</v>
      </c>
      <c r="X75" s="51">
        <f t="shared" si="29"/>
        <v>55.757380421668699</v>
      </c>
      <c r="Y75" s="51">
        <f t="shared" si="29"/>
        <v>55.757380421668699</v>
      </c>
      <c r="Z75" s="51">
        <f t="shared" si="29"/>
        <v>55.757380421668699</v>
      </c>
      <c r="AA75" s="51">
        <f t="shared" si="29"/>
        <v>55.757380421668699</v>
      </c>
    </row>
    <row r="76" spans="1:27" x14ac:dyDescent="0.3">
      <c r="A76" s="51" t="s">
        <v>105</v>
      </c>
      <c r="B76" s="51"/>
      <c r="C76" s="51"/>
      <c r="D76" s="51"/>
      <c r="E76" s="51"/>
      <c r="F76" s="51"/>
      <c r="G76" s="51"/>
      <c r="H76" s="51"/>
      <c r="I76" s="51"/>
      <c r="J76" s="51"/>
      <c r="K76" s="51"/>
      <c r="L76" s="51"/>
      <c r="M76" s="51"/>
      <c r="N76" s="51"/>
      <c r="O76" s="51"/>
      <c r="P76" s="51"/>
      <c r="Q76" s="51"/>
      <c r="R76" s="51">
        <v>82.112791834880014</v>
      </c>
      <c r="S76" s="51">
        <f>+R76</f>
        <v>82.112791834880014</v>
      </c>
      <c r="T76" s="51">
        <f t="shared" si="29"/>
        <v>82.112791834880014</v>
      </c>
      <c r="U76" s="51">
        <f t="shared" si="29"/>
        <v>82.112791834880014</v>
      </c>
      <c r="V76" s="51">
        <f t="shared" si="29"/>
        <v>82.112791834880014</v>
      </c>
      <c r="W76" s="51">
        <f t="shared" si="29"/>
        <v>82.112791834880014</v>
      </c>
      <c r="X76" s="51">
        <f t="shared" si="29"/>
        <v>82.112791834880014</v>
      </c>
      <c r="Y76" s="51">
        <f t="shared" si="29"/>
        <v>82.112791834880014</v>
      </c>
      <c r="Z76" s="51">
        <f t="shared" si="29"/>
        <v>82.112791834880014</v>
      </c>
      <c r="AA76" s="51">
        <f t="shared" si="29"/>
        <v>82.112791834880014</v>
      </c>
    </row>
    <row r="77" spans="1:27" x14ac:dyDescent="0.3">
      <c r="A77" s="51" t="s">
        <v>106</v>
      </c>
      <c r="B77" s="51"/>
      <c r="C77" s="51"/>
      <c r="D77" s="51"/>
      <c r="E77" s="51"/>
      <c r="F77" s="51"/>
      <c r="G77" s="51"/>
      <c r="H77" s="51"/>
      <c r="I77" s="51"/>
      <c r="J77" s="51"/>
      <c r="K77" s="51"/>
      <c r="L77" s="51"/>
      <c r="M77" s="51"/>
      <c r="N77" s="51"/>
      <c r="O77" s="51"/>
      <c r="P77" s="51"/>
      <c r="Q77" s="51"/>
      <c r="R77" s="51">
        <v>1432.9043269042418</v>
      </c>
      <c r="S77" s="51">
        <f>+R77</f>
        <v>1432.9043269042418</v>
      </c>
      <c r="T77" s="51">
        <f t="shared" si="29"/>
        <v>1432.9043269042418</v>
      </c>
      <c r="U77" s="51">
        <f t="shared" si="29"/>
        <v>1432.9043269042418</v>
      </c>
      <c r="V77" s="51">
        <f t="shared" si="29"/>
        <v>1432.9043269042418</v>
      </c>
      <c r="W77" s="51">
        <f t="shared" si="29"/>
        <v>1432.9043269042418</v>
      </c>
      <c r="X77" s="51">
        <f t="shared" si="29"/>
        <v>1432.9043269042418</v>
      </c>
      <c r="Y77" s="51">
        <f t="shared" si="29"/>
        <v>1432.9043269042418</v>
      </c>
      <c r="Z77" s="51">
        <f t="shared" si="29"/>
        <v>1432.9043269042418</v>
      </c>
      <c r="AA77" s="51">
        <f t="shared" si="29"/>
        <v>1432.9043269042418</v>
      </c>
    </row>
    <row r="78" spans="1:27" x14ac:dyDescent="0.3">
      <c r="A78" s="52" t="s">
        <v>107</v>
      </c>
      <c r="B78" s="52"/>
      <c r="C78" s="52"/>
      <c r="D78" s="52"/>
      <c r="E78" s="52"/>
      <c r="F78" s="52"/>
      <c r="G78" s="52"/>
      <c r="H78" s="52"/>
      <c r="I78" s="52"/>
      <c r="J78" s="52"/>
      <c r="K78" s="52"/>
      <c r="L78" s="52"/>
      <c r="M78" s="52"/>
      <c r="N78" s="52"/>
      <c r="O78" s="52"/>
      <c r="P78" s="52"/>
      <c r="Q78" s="52"/>
      <c r="R78" s="53">
        <f>+(R74*R$63)+(R75*R$68)+(R76*R$73)</f>
        <v>19.855754100592812</v>
      </c>
      <c r="S78" s="53">
        <f t="shared" ref="S78:AA78" si="30">+(S74*S$63)+(S75*S68)+(S76*S73)</f>
        <v>19.789627247615154</v>
      </c>
      <c r="T78" s="53">
        <f t="shared" si="30"/>
        <v>19.723746323929717</v>
      </c>
      <c r="U78" s="53">
        <f t="shared" si="30"/>
        <v>19.658110335903029</v>
      </c>
      <c r="V78" s="53">
        <f t="shared" si="30"/>
        <v>19.592718294146536</v>
      </c>
      <c r="W78" s="53">
        <f t="shared" si="30"/>
        <v>19.527569213497799</v>
      </c>
      <c r="X78" s="53">
        <f t="shared" si="30"/>
        <v>19.46266211300177</v>
      </c>
      <c r="Y78" s="53">
        <f t="shared" si="30"/>
        <v>19.39799601589219</v>
      </c>
      <c r="Z78" s="53">
        <f t="shared" si="30"/>
        <v>19.333569949573011</v>
      </c>
      <c r="AA78" s="53">
        <f t="shared" si="30"/>
        <v>19.269382945599965</v>
      </c>
    </row>
    <row r="79" spans="1:27" x14ac:dyDescent="0.3">
      <c r="A79" s="52" t="s">
        <v>108</v>
      </c>
      <c r="B79" s="52"/>
      <c r="C79" s="52"/>
      <c r="D79" s="52"/>
      <c r="E79" s="52"/>
      <c r="F79" s="52"/>
      <c r="G79" s="52"/>
      <c r="H79" s="52"/>
      <c r="I79" s="52"/>
      <c r="J79" s="52"/>
      <c r="K79" s="52"/>
      <c r="L79" s="52"/>
      <c r="M79" s="52"/>
      <c r="N79" s="52"/>
      <c r="O79" s="52"/>
      <c r="P79" s="52"/>
      <c r="Q79" s="52"/>
      <c r="R79" s="53">
        <f>+R77/10</f>
        <v>143.29043269042418</v>
      </c>
      <c r="S79" s="53">
        <f t="shared" ref="S79:AA79" si="31">+S77/10</f>
        <v>143.29043269042418</v>
      </c>
      <c r="T79" s="53">
        <f t="shared" si="31"/>
        <v>143.29043269042418</v>
      </c>
      <c r="U79" s="53">
        <f t="shared" si="31"/>
        <v>143.29043269042418</v>
      </c>
      <c r="V79" s="53">
        <f t="shared" si="31"/>
        <v>143.29043269042418</v>
      </c>
      <c r="W79" s="53">
        <f t="shared" si="31"/>
        <v>143.29043269042418</v>
      </c>
      <c r="X79" s="53">
        <f t="shared" si="31"/>
        <v>143.29043269042418</v>
      </c>
      <c r="Y79" s="53">
        <f t="shared" si="31"/>
        <v>143.29043269042418</v>
      </c>
      <c r="Z79" s="53">
        <f t="shared" si="31"/>
        <v>143.29043269042418</v>
      </c>
      <c r="AA79" s="53">
        <f t="shared" si="31"/>
        <v>143.29043269042418</v>
      </c>
    </row>
    <row r="80" spans="1:27" x14ac:dyDescent="0.3">
      <c r="A80" s="51" t="s">
        <v>109</v>
      </c>
      <c r="B80" s="51"/>
      <c r="C80" s="51"/>
      <c r="D80" s="51"/>
      <c r="E80" s="51"/>
      <c r="F80" s="51"/>
      <c r="G80" s="51"/>
      <c r="H80" s="51"/>
      <c r="I80" s="51"/>
      <c r="J80" s="51"/>
      <c r="K80" s="51"/>
      <c r="L80" s="51"/>
      <c r="M80" s="51"/>
      <c r="N80" s="51"/>
      <c r="O80" s="51"/>
      <c r="P80" s="51"/>
      <c r="Q80" s="51"/>
      <c r="R80" s="51">
        <v>9.5246739516017698</v>
      </c>
      <c r="S80" s="51">
        <f>+R80</f>
        <v>9.5246739516017698</v>
      </c>
      <c r="T80" s="51">
        <f t="shared" ref="T80:AA83" si="32">+S80</f>
        <v>9.5246739516017698</v>
      </c>
      <c r="U80" s="51">
        <f t="shared" si="32"/>
        <v>9.5246739516017698</v>
      </c>
      <c r="V80" s="51">
        <f t="shared" si="32"/>
        <v>9.5246739516017698</v>
      </c>
      <c r="W80" s="51">
        <f t="shared" si="32"/>
        <v>9.5246739516017698</v>
      </c>
      <c r="X80" s="51">
        <f t="shared" si="32"/>
        <v>9.5246739516017698</v>
      </c>
      <c r="Y80" s="51">
        <f t="shared" si="32"/>
        <v>9.5246739516017698</v>
      </c>
      <c r="Z80" s="51">
        <f t="shared" si="32"/>
        <v>9.5246739516017698</v>
      </c>
      <c r="AA80" s="51">
        <f t="shared" si="32"/>
        <v>9.5246739516017698</v>
      </c>
    </row>
    <row r="81" spans="1:27" x14ac:dyDescent="0.3">
      <c r="A81" s="51" t="s">
        <v>110</v>
      </c>
      <c r="B81" s="51"/>
      <c r="C81" s="51"/>
      <c r="D81" s="51"/>
      <c r="E81" s="51"/>
      <c r="F81" s="51"/>
      <c r="G81" s="51"/>
      <c r="H81" s="51"/>
      <c r="I81" s="51"/>
      <c r="J81" s="51"/>
      <c r="K81" s="51"/>
      <c r="L81" s="51"/>
      <c r="M81" s="51"/>
      <c r="N81" s="51"/>
      <c r="O81" s="51"/>
      <c r="P81" s="51"/>
      <c r="Q81" s="51"/>
      <c r="R81" s="51">
        <v>13.760933898775956</v>
      </c>
      <c r="S81" s="51">
        <f>+R81</f>
        <v>13.760933898775956</v>
      </c>
      <c r="T81" s="51">
        <f t="shared" si="32"/>
        <v>13.760933898775956</v>
      </c>
      <c r="U81" s="51">
        <f t="shared" si="32"/>
        <v>13.760933898775956</v>
      </c>
      <c r="V81" s="51">
        <f t="shared" si="32"/>
        <v>13.760933898775956</v>
      </c>
      <c r="W81" s="51">
        <f t="shared" si="32"/>
        <v>13.760933898775956</v>
      </c>
      <c r="X81" s="51">
        <f t="shared" si="32"/>
        <v>13.760933898775956</v>
      </c>
      <c r="Y81" s="51">
        <f t="shared" si="32"/>
        <v>13.760933898775956</v>
      </c>
      <c r="Z81" s="51">
        <f t="shared" si="32"/>
        <v>13.760933898775956</v>
      </c>
      <c r="AA81" s="51">
        <f t="shared" si="32"/>
        <v>13.760933898775956</v>
      </c>
    </row>
    <row r="82" spans="1:27" x14ac:dyDescent="0.3">
      <c r="A82" s="51" t="s">
        <v>111</v>
      </c>
      <c r="B82" s="51"/>
      <c r="C82" s="51"/>
      <c r="D82" s="51"/>
      <c r="E82" s="51"/>
      <c r="F82" s="51"/>
      <c r="G82" s="51"/>
      <c r="H82" s="51"/>
      <c r="I82" s="51"/>
      <c r="J82" s="51"/>
      <c r="K82" s="51"/>
      <c r="L82" s="51"/>
      <c r="M82" s="51"/>
      <c r="N82" s="51"/>
      <c r="O82" s="51"/>
      <c r="P82" s="51"/>
      <c r="Q82" s="51"/>
      <c r="R82" s="51">
        <v>22.79039879563036</v>
      </c>
      <c r="S82" s="51">
        <f>+R82</f>
        <v>22.79039879563036</v>
      </c>
      <c r="T82" s="51">
        <f t="shared" si="32"/>
        <v>22.79039879563036</v>
      </c>
      <c r="U82" s="51">
        <f t="shared" si="32"/>
        <v>22.79039879563036</v>
      </c>
      <c r="V82" s="51">
        <f t="shared" si="32"/>
        <v>22.79039879563036</v>
      </c>
      <c r="W82" s="51">
        <f t="shared" si="32"/>
        <v>22.79039879563036</v>
      </c>
      <c r="X82" s="51">
        <f t="shared" si="32"/>
        <v>22.79039879563036</v>
      </c>
      <c r="Y82" s="51">
        <f t="shared" si="32"/>
        <v>22.79039879563036</v>
      </c>
      <c r="Z82" s="51">
        <f t="shared" si="32"/>
        <v>22.79039879563036</v>
      </c>
      <c r="AA82" s="51">
        <f t="shared" si="32"/>
        <v>22.79039879563036</v>
      </c>
    </row>
    <row r="83" spans="1:27" x14ac:dyDescent="0.3">
      <c r="A83" s="51" t="s">
        <v>112</v>
      </c>
      <c r="B83" s="51"/>
      <c r="C83" s="51"/>
      <c r="D83" s="51"/>
      <c r="E83" s="51"/>
      <c r="F83" s="51"/>
      <c r="G83" s="51"/>
      <c r="H83" s="51"/>
      <c r="I83" s="51"/>
      <c r="J83" s="51"/>
      <c r="K83" s="51"/>
      <c r="L83" s="51"/>
      <c r="M83" s="51"/>
      <c r="N83" s="51"/>
      <c r="O83" s="51"/>
      <c r="P83" s="51"/>
      <c r="Q83" s="51"/>
      <c r="R83" s="51">
        <v>191.1721807571513</v>
      </c>
      <c r="S83" s="51">
        <f>+R83</f>
        <v>191.1721807571513</v>
      </c>
      <c r="T83" s="51">
        <f t="shared" si="32"/>
        <v>191.1721807571513</v>
      </c>
      <c r="U83" s="51">
        <f t="shared" si="32"/>
        <v>191.1721807571513</v>
      </c>
      <c r="V83" s="51">
        <f t="shared" si="32"/>
        <v>191.1721807571513</v>
      </c>
      <c r="W83" s="51">
        <f t="shared" si="32"/>
        <v>191.1721807571513</v>
      </c>
      <c r="X83" s="51">
        <f t="shared" si="32"/>
        <v>191.1721807571513</v>
      </c>
      <c r="Y83" s="51">
        <f t="shared" si="32"/>
        <v>191.1721807571513</v>
      </c>
      <c r="Z83" s="51">
        <f t="shared" si="32"/>
        <v>191.1721807571513</v>
      </c>
      <c r="AA83" s="51">
        <f t="shared" si="32"/>
        <v>191.1721807571513</v>
      </c>
    </row>
    <row r="84" spans="1:27" x14ac:dyDescent="0.3">
      <c r="A84" s="52" t="s">
        <v>113</v>
      </c>
      <c r="B84" s="52"/>
      <c r="C84" s="52"/>
      <c r="D84" s="52"/>
      <c r="E84" s="52"/>
      <c r="F84" s="52"/>
      <c r="G84" s="52"/>
      <c r="H84" s="52"/>
      <c r="I84" s="52"/>
      <c r="J84" s="52"/>
      <c r="K84" s="52"/>
      <c r="L84" s="52"/>
      <c r="M84" s="52"/>
      <c r="N84" s="52"/>
      <c r="O84" s="52"/>
      <c r="P84" s="52"/>
      <c r="Q84" s="52"/>
      <c r="R84" s="53">
        <f>+(R80*R$63)+(R81*R$68)+(R82*R$73)</f>
        <v>4.6724154718368434</v>
      </c>
      <c r="S84" s="53">
        <f t="shared" ref="S84:AA84" si="33">+(S80*S$63)+(S81*S$68)+(S82*S$73)</f>
        <v>4.6578778992557961</v>
      </c>
      <c r="T84" s="53">
        <f t="shared" si="33"/>
        <v>4.6433910206173081</v>
      </c>
      <c r="U84" s="53">
        <f t="shared" si="33"/>
        <v>4.6289546417344045</v>
      </c>
      <c r="V84" s="53">
        <f t="shared" si="33"/>
        <v>4.6145685692163783</v>
      </c>
      <c r="W84" s="53">
        <f t="shared" si="33"/>
        <v>4.6002326104653779</v>
      </c>
      <c r="X84" s="53">
        <f t="shared" si="33"/>
        <v>4.5859465736729943</v>
      </c>
      <c r="Y84" s="53">
        <f t="shared" si="33"/>
        <v>4.5717102678168784</v>
      </c>
      <c r="Z84" s="53">
        <f t="shared" si="33"/>
        <v>4.5575235026573626</v>
      </c>
      <c r="AA84" s="53">
        <f t="shared" si="33"/>
        <v>4.5433860887341044</v>
      </c>
    </row>
    <row r="85" spans="1:27" x14ac:dyDescent="0.3">
      <c r="A85" s="52" t="s">
        <v>114</v>
      </c>
      <c r="B85" s="52"/>
      <c r="C85" s="52"/>
      <c r="D85" s="52"/>
      <c r="E85" s="52"/>
      <c r="F85" s="52"/>
      <c r="G85" s="52"/>
      <c r="H85" s="52"/>
      <c r="I85" s="52"/>
      <c r="J85" s="52"/>
      <c r="K85" s="52"/>
      <c r="L85" s="52"/>
      <c r="M85" s="52"/>
      <c r="N85" s="52"/>
      <c r="O85" s="52"/>
      <c r="P85" s="52"/>
      <c r="Q85" s="52"/>
      <c r="R85" s="53">
        <f>+R83/10</f>
        <v>19.11721807571513</v>
      </c>
      <c r="S85" s="53">
        <f t="shared" ref="S85:AA85" si="34">+S83/10</f>
        <v>19.11721807571513</v>
      </c>
      <c r="T85" s="53">
        <f t="shared" si="34"/>
        <v>19.11721807571513</v>
      </c>
      <c r="U85" s="53">
        <f t="shared" si="34"/>
        <v>19.11721807571513</v>
      </c>
      <c r="V85" s="53">
        <f t="shared" si="34"/>
        <v>19.11721807571513</v>
      </c>
      <c r="W85" s="53">
        <f t="shared" si="34"/>
        <v>19.11721807571513</v>
      </c>
      <c r="X85" s="53">
        <f t="shared" si="34"/>
        <v>19.11721807571513</v>
      </c>
      <c r="Y85" s="53">
        <f t="shared" si="34"/>
        <v>19.11721807571513</v>
      </c>
      <c r="Z85" s="53">
        <f t="shared" si="34"/>
        <v>19.11721807571513</v>
      </c>
      <c r="AA85" s="53">
        <f t="shared" si="34"/>
        <v>19.11721807571513</v>
      </c>
    </row>
    <row r="87" spans="1:27" x14ac:dyDescent="0.3">
      <c r="A87" s="54" t="s">
        <v>76</v>
      </c>
      <c r="B87" s="55"/>
      <c r="C87" s="55"/>
      <c r="D87" s="55"/>
      <c r="R87" s="56">
        <f>+R85+R84+R79+R78+R56+R55</f>
        <v>902.78042187369113</v>
      </c>
      <c r="S87" s="56">
        <f t="shared" ref="S87:AA87" si="35">+S85+S84+S79+S78+S56+S55</f>
        <v>902.50824775614308</v>
      </c>
      <c r="T87" s="56">
        <f t="shared" si="35"/>
        <v>902.23677243218299</v>
      </c>
      <c r="U87" s="56">
        <f t="shared" si="35"/>
        <v>901.96599386943274</v>
      </c>
      <c r="V87" s="56">
        <f t="shared" si="35"/>
        <v>901.69591004232859</v>
      </c>
      <c r="W87" s="56">
        <f t="shared" si="35"/>
        <v>901.42651893209643</v>
      </c>
      <c r="X87" s="56">
        <f t="shared" si="35"/>
        <v>901.15781852672421</v>
      </c>
      <c r="Y87" s="56">
        <f t="shared" si="35"/>
        <v>900.88980682093768</v>
      </c>
      <c r="Z87" s="56">
        <f t="shared" si="35"/>
        <v>900.62248181617406</v>
      </c>
      <c r="AA87" s="56">
        <f t="shared" si="35"/>
        <v>900.35584152055685</v>
      </c>
    </row>
    <row r="90" spans="1:27" x14ac:dyDescent="0.3">
      <c r="A90" s="49" t="s">
        <v>203</v>
      </c>
    </row>
    <row r="91" spans="1:27" x14ac:dyDescent="0.3">
      <c r="A91" t="s">
        <v>79</v>
      </c>
    </row>
    <row r="92" spans="1:27" x14ac:dyDescent="0.3">
      <c r="A92" s="51" t="s">
        <v>78</v>
      </c>
      <c r="B92" s="51"/>
      <c r="C92" s="51"/>
      <c r="D92" s="51"/>
      <c r="E92" s="51"/>
      <c r="F92" s="51"/>
      <c r="G92" s="51"/>
      <c r="H92" s="51"/>
      <c r="I92" s="51"/>
      <c r="J92" s="51"/>
      <c r="K92" s="51"/>
      <c r="L92" s="51"/>
      <c r="M92" s="51"/>
      <c r="N92" s="51"/>
      <c r="O92" s="51"/>
      <c r="P92" s="51"/>
      <c r="Q92" s="51"/>
      <c r="R92" s="57">
        <v>2773.9218407580502</v>
      </c>
      <c r="S92" s="57">
        <f>+R92</f>
        <v>2773.9218407580502</v>
      </c>
      <c r="T92" s="57">
        <f t="shared" ref="T92:AA92" si="36">+S92</f>
        <v>2773.9218407580502</v>
      </c>
      <c r="U92" s="57">
        <f t="shared" si="36"/>
        <v>2773.9218407580502</v>
      </c>
      <c r="V92" s="57">
        <f t="shared" si="36"/>
        <v>2773.9218407580502</v>
      </c>
      <c r="W92" s="57">
        <f t="shared" si="36"/>
        <v>2773.9218407580502</v>
      </c>
      <c r="X92" s="57">
        <f t="shared" si="36"/>
        <v>2773.9218407580502</v>
      </c>
      <c r="Y92" s="57">
        <f t="shared" si="36"/>
        <v>2773.9218407580502</v>
      </c>
      <c r="Z92" s="57">
        <f t="shared" si="36"/>
        <v>2773.9218407580502</v>
      </c>
      <c r="AA92" s="57">
        <f t="shared" si="36"/>
        <v>2773.9218407580502</v>
      </c>
    </row>
    <row r="93" spans="1:27" x14ac:dyDescent="0.3">
      <c r="A93" s="52" t="s">
        <v>79</v>
      </c>
      <c r="B93" s="52"/>
      <c r="C93" s="52"/>
      <c r="D93" s="52"/>
      <c r="E93" s="52"/>
      <c r="F93" s="52"/>
      <c r="G93" s="52"/>
      <c r="H93" s="52"/>
      <c r="I93" s="52"/>
      <c r="J93" s="52"/>
      <c r="K93" s="52"/>
      <c r="L93" s="52"/>
      <c r="M93" s="52"/>
      <c r="N93" s="52"/>
      <c r="O93" s="52"/>
      <c r="P93" s="52"/>
      <c r="Q93" s="52"/>
      <c r="R93" s="53">
        <f>+R92/10</f>
        <v>277.39218407580501</v>
      </c>
      <c r="S93" s="53">
        <f t="shared" ref="S93:AA93" si="37">+S92/10</f>
        <v>277.39218407580501</v>
      </c>
      <c r="T93" s="53">
        <f t="shared" si="37"/>
        <v>277.39218407580501</v>
      </c>
      <c r="U93" s="53">
        <f t="shared" si="37"/>
        <v>277.39218407580501</v>
      </c>
      <c r="V93" s="53">
        <f t="shared" si="37"/>
        <v>277.39218407580501</v>
      </c>
      <c r="W93" s="53">
        <f t="shared" si="37"/>
        <v>277.39218407580501</v>
      </c>
      <c r="X93" s="53">
        <f t="shared" si="37"/>
        <v>277.39218407580501</v>
      </c>
      <c r="Y93" s="53">
        <f t="shared" si="37"/>
        <v>277.39218407580501</v>
      </c>
      <c r="Z93" s="53">
        <f t="shared" si="37"/>
        <v>277.39218407580501</v>
      </c>
      <c r="AA93" s="53">
        <f t="shared" si="37"/>
        <v>277.39218407580501</v>
      </c>
    </row>
    <row r="94" spans="1:27" x14ac:dyDescent="0.3">
      <c r="A94" s="52" t="s">
        <v>80</v>
      </c>
      <c r="B94" s="52"/>
      <c r="C94" s="52"/>
      <c r="D94" s="52"/>
      <c r="E94" s="52"/>
      <c r="F94" s="52"/>
      <c r="G94" s="52"/>
      <c r="H94" s="52"/>
      <c r="I94" s="52"/>
      <c r="J94" s="52"/>
      <c r="K94" s="52"/>
      <c r="L94" s="52"/>
      <c r="M94" s="52"/>
      <c r="N94" s="52"/>
      <c r="O94" s="52"/>
      <c r="P94" s="52"/>
      <c r="Q94" s="52"/>
      <c r="R94" s="56">
        <v>294.64</v>
      </c>
      <c r="S94" s="56">
        <v>589.27</v>
      </c>
      <c r="T94" s="56">
        <v>883.91</v>
      </c>
      <c r="U94" s="56">
        <v>1178.54</v>
      </c>
      <c r="V94" s="56">
        <v>1473.18</v>
      </c>
      <c r="W94" s="56">
        <v>1767.81</v>
      </c>
      <c r="X94" s="56">
        <v>2062.4499999999998</v>
      </c>
      <c r="Y94" s="56">
        <v>2357.08</v>
      </c>
      <c r="Z94" s="56">
        <v>2651.72</v>
      </c>
      <c r="AA94" s="56">
        <v>2946.35</v>
      </c>
    </row>
    <row r="96" spans="1:27" x14ac:dyDescent="0.3">
      <c r="A96" s="54" t="s">
        <v>76</v>
      </c>
      <c r="B96" s="55"/>
      <c r="C96" s="55"/>
      <c r="D96" s="55"/>
      <c r="R96" s="56">
        <f>R94+R93</f>
        <v>572.03218407580493</v>
      </c>
      <c r="S96" s="56">
        <f t="shared" ref="S96:AA96" si="38">S94+S93</f>
        <v>866.66218407580504</v>
      </c>
      <c r="T96" s="56">
        <f t="shared" si="38"/>
        <v>1161.3021840758049</v>
      </c>
      <c r="U96" s="56">
        <f t="shared" si="38"/>
        <v>1455.932184075805</v>
      </c>
      <c r="V96" s="56">
        <f t="shared" si="38"/>
        <v>1750.5721840758051</v>
      </c>
      <c r="W96" s="56">
        <f t="shared" si="38"/>
        <v>2045.202184075805</v>
      </c>
      <c r="X96" s="56">
        <f t="shared" si="38"/>
        <v>2339.8421840758047</v>
      </c>
      <c r="Y96" s="56">
        <f t="shared" si="38"/>
        <v>2634.4721840758048</v>
      </c>
      <c r="Z96" s="56">
        <f t="shared" si="38"/>
        <v>2929.1121840758046</v>
      </c>
      <c r="AA96" s="56">
        <f t="shared" si="38"/>
        <v>3223.7421840758047</v>
      </c>
    </row>
    <row r="100" spans="1:30" x14ac:dyDescent="0.3">
      <c r="A100" s="49" t="s">
        <v>115</v>
      </c>
    </row>
    <row r="101" spans="1:30" x14ac:dyDescent="0.3">
      <c r="A101" s="63" t="s">
        <v>116</v>
      </c>
      <c r="B101" s="63">
        <v>2010</v>
      </c>
      <c r="C101" s="63">
        <v>2011</v>
      </c>
      <c r="D101" s="63">
        <v>2012</v>
      </c>
      <c r="E101" s="63">
        <v>2013</v>
      </c>
      <c r="F101" s="63">
        <v>2014</v>
      </c>
      <c r="G101" s="63">
        <v>2015</v>
      </c>
      <c r="H101" s="63">
        <v>2016</v>
      </c>
      <c r="I101" s="63">
        <v>2017</v>
      </c>
      <c r="J101" s="63">
        <v>2018</v>
      </c>
      <c r="K101" s="63">
        <v>2019</v>
      </c>
      <c r="L101" s="63">
        <v>2020</v>
      </c>
      <c r="M101" s="63">
        <v>2021</v>
      </c>
      <c r="N101" s="63">
        <v>2022</v>
      </c>
      <c r="O101" s="431">
        <v>2023</v>
      </c>
      <c r="P101" s="431">
        <v>2024</v>
      </c>
      <c r="Q101" s="431">
        <v>2025</v>
      </c>
      <c r="R101" s="431">
        <v>2026</v>
      </c>
      <c r="S101" s="431">
        <v>2027</v>
      </c>
      <c r="T101" s="431">
        <v>2028</v>
      </c>
      <c r="U101" s="431">
        <v>2029</v>
      </c>
      <c r="V101" s="431">
        <v>2030</v>
      </c>
      <c r="W101" s="431">
        <v>2031</v>
      </c>
      <c r="X101" s="431">
        <v>2032</v>
      </c>
      <c r="Y101" s="431">
        <v>2033</v>
      </c>
      <c r="Z101" s="431">
        <v>2034</v>
      </c>
      <c r="AA101" s="431">
        <v>2035</v>
      </c>
    </row>
    <row r="102" spans="1:30" x14ac:dyDescent="0.3">
      <c r="A102" t="s">
        <v>117</v>
      </c>
      <c r="B102" s="64">
        <v>44000</v>
      </c>
      <c r="C102" s="64">
        <v>44001</v>
      </c>
      <c r="D102" s="64">
        <v>44002</v>
      </c>
      <c r="E102" s="64">
        <v>44003</v>
      </c>
      <c r="F102" s="64">
        <v>44004</v>
      </c>
      <c r="G102" s="64">
        <v>44005</v>
      </c>
      <c r="H102" s="64">
        <v>44006</v>
      </c>
      <c r="I102" s="64">
        <v>44007</v>
      </c>
      <c r="J102" s="64">
        <v>44008</v>
      </c>
      <c r="K102" s="64">
        <v>44009</v>
      </c>
      <c r="L102" s="64">
        <v>44010</v>
      </c>
      <c r="M102" s="64">
        <v>44011</v>
      </c>
      <c r="N102" s="64">
        <v>44012</v>
      </c>
      <c r="O102" s="64">
        <v>44013</v>
      </c>
      <c r="P102" s="64">
        <v>44014</v>
      </c>
      <c r="Q102" s="64">
        <v>44015</v>
      </c>
      <c r="R102" s="64">
        <v>44016</v>
      </c>
      <c r="S102" s="64">
        <v>44017</v>
      </c>
      <c r="T102" s="64">
        <v>44018</v>
      </c>
      <c r="U102" s="64">
        <v>44019</v>
      </c>
      <c r="V102" s="64">
        <v>44020</v>
      </c>
      <c r="W102" s="64">
        <v>44021</v>
      </c>
      <c r="X102" s="64">
        <v>44022</v>
      </c>
      <c r="Y102" s="64">
        <v>44023</v>
      </c>
      <c r="Z102" s="64">
        <v>44024</v>
      </c>
      <c r="AA102" s="64">
        <v>44025</v>
      </c>
    </row>
    <row r="103" spans="1:30" x14ac:dyDescent="0.3">
      <c r="A103" t="s">
        <v>118</v>
      </c>
      <c r="B103" s="64">
        <v>27190.782999999989</v>
      </c>
      <c r="C103" s="64">
        <v>26080.732999999993</v>
      </c>
      <c r="D103" s="64">
        <v>24902.372999999989</v>
      </c>
      <c r="E103" s="64">
        <v>26712.152999999991</v>
      </c>
      <c r="F103" s="64">
        <v>28650.532999999992</v>
      </c>
      <c r="G103" s="64">
        <v>28012.085799999993</v>
      </c>
      <c r="H103" s="64">
        <v>26102.09740000001</v>
      </c>
      <c r="I103" s="64">
        <v>20560.940999999995</v>
      </c>
      <c r="J103" s="64">
        <v>15369.819500000001</v>
      </c>
      <c r="K103" s="64">
        <v>14306.655824000003</v>
      </c>
      <c r="L103" s="64">
        <v>16879.949505976241</v>
      </c>
      <c r="M103" s="64">
        <v>16924.265848987325</v>
      </c>
      <c r="N103" s="64">
        <v>16638.825556090305</v>
      </c>
      <c r="O103" s="64">
        <v>16303.66063034083</v>
      </c>
      <c r="P103" s="64">
        <v>16033.232174792949</v>
      </c>
      <c r="Q103" s="64">
        <v>15677.515092499307</v>
      </c>
      <c r="R103" s="64">
        <v>15354.888086510982</v>
      </c>
      <c r="S103" s="64">
        <v>15130.404059877605</v>
      </c>
      <c r="T103" s="64">
        <v>14814.497215647267</v>
      </c>
      <c r="U103" s="64">
        <v>14449.42585686659</v>
      </c>
      <c r="V103" s="64">
        <v>14193.890786580732</v>
      </c>
      <c r="W103" s="64">
        <v>13984.1543078333</v>
      </c>
      <c r="X103" s="64">
        <v>13640.482823666463</v>
      </c>
      <c r="Y103" s="64">
        <v>13409.009237120872</v>
      </c>
      <c r="Z103" s="64">
        <v>13090.478251235685</v>
      </c>
      <c r="AA103" s="64">
        <v>12830.637969048577</v>
      </c>
    </row>
    <row r="104" spans="1:30" x14ac:dyDescent="0.3">
      <c r="O104" s="64"/>
      <c r="P104" s="64"/>
      <c r="Q104" s="64"/>
      <c r="R104" s="64"/>
      <c r="S104" s="64"/>
      <c r="T104" s="64"/>
      <c r="U104" s="64"/>
      <c r="V104" s="64"/>
      <c r="W104" s="64"/>
      <c r="X104" s="64"/>
      <c r="Y104" s="64"/>
      <c r="Z104" s="64"/>
      <c r="AA104" s="64"/>
    </row>
    <row r="105" spans="1:30" x14ac:dyDescent="0.3">
      <c r="A105" s="52" t="s">
        <v>119</v>
      </c>
      <c r="B105" s="357">
        <f>+(EMISIONES_FOR!C179+EMISIONES_FOR!C180+EMISIONES_CUL!C55+EMISIONES_CUL!C56+EMISIONES_PAS!C52+EMISIONES_PAS!C53+EMISIONES_HUM!C49+EMISIONES_HUM!C50+EMISIONES_ASE!C49+EMISIONES_ASE!C50+EMISIONES_OTI!C49+EMISIONES_OTI!C50)/1000</f>
        <v>35.102131374327925</v>
      </c>
      <c r="C105" s="357">
        <f>+(EMISIONES_FOR!D179+EMISIONES_FOR!D180+EMISIONES_CUL!D55+EMISIONES_CUL!D56+EMISIONES_PAS!D52+EMISIONES_PAS!D53+EMISIONES_HUM!D49+EMISIONES_HUM!D50+EMISIONES_ASE!D49+EMISIONES_ASE!D50+EMISIONES_OTI!D49+EMISIONES_OTI!D50)/1000</f>
        <v>33.854392618995291</v>
      </c>
      <c r="D105" s="357">
        <f>+(EMISIONES_FOR!E179+EMISIONES_FOR!E180+EMISIONES_CUL!E55+EMISIONES_CUL!E56+EMISIONES_PAS!E52+EMISIONES_PAS!E53+EMISIONES_HUM!E49+EMISIONES_HUM!E50+EMISIONES_ASE!E49+EMISIONES_ASE!E50+EMISIONES_OTI!E49+EMISIONES_OTI!E50)/1000</f>
        <v>32.606653863662657</v>
      </c>
      <c r="E105" s="357">
        <f>+(EMISIONES_FOR!F179+EMISIONES_FOR!F180+EMISIONES_CUL!F55+EMISIONES_CUL!F56+EMISIONES_PAS!F52+EMISIONES_PAS!F53+EMISIONES_HUM!F49+EMISIONES_HUM!F50+EMISIONES_ASE!F49+EMISIONES_ASE!F50+EMISIONES_OTI!F49+EMISIONES_OTI!F50)/1000</f>
        <v>31.782293290209672</v>
      </c>
      <c r="F105" s="357">
        <f>+(EMISIONES_FOR!G179+EMISIONES_FOR!G180+EMISIONES_CUL!G55+EMISIONES_CUL!G56+EMISIONES_PAS!G52+EMISIONES_PAS!G53+EMISIONES_HUM!G49+EMISIONES_HUM!G50+EMISIONES_ASE!G49+EMISIONES_ASE!G50+EMISIONES_OTI!G49+EMISIONES_OTI!G50)/1000</f>
        <v>30.95793271675668</v>
      </c>
      <c r="G105" s="357">
        <f>+(EMISIONES_FOR!H179+EMISIONES_FOR!H180+EMISIONES_CUL!H55+EMISIONES_CUL!H56+EMISIONES_PAS!H52+EMISIONES_PAS!H53+EMISIONES_HUM!H49+EMISIONES_HUM!H50+EMISIONES_ASE!H49+EMISIONES_ASE!H50+EMISIONES_OTI!H49+EMISIONES_OTI!H50)/1000</f>
        <v>29.49887918865377</v>
      </c>
      <c r="H105" s="357">
        <f>+(EMISIONES_FOR!I179+EMISIONES_FOR!I180+EMISIONES_CUL!I55+EMISIONES_CUL!I56+EMISIONES_PAS!I52+EMISIONES_PAS!I53+EMISIONES_HUM!I49+EMISIONES_HUM!I50+EMISIONES_ASE!I49+EMISIONES_ASE!I50+EMISIONES_OTI!I49+EMISIONES_OTI!I50)/1000</f>
        <v>28.03982566055085</v>
      </c>
      <c r="I105" s="357">
        <f>+(EMISIONES_FOR!J179+EMISIONES_FOR!J180+EMISIONES_CUL!J55+EMISIONES_CUL!J56+EMISIONES_PAS!J52+EMISIONES_PAS!J53+EMISIONES_HUM!J49+EMISIONES_HUM!J50+EMISIONES_ASE!J49+EMISIONES_ASE!J50+EMISIONES_OTI!J49+EMISIONES_OTI!J50)/1000</f>
        <v>24.158167148490794</v>
      </c>
      <c r="J105" s="357">
        <f>+(EMISIONES_FOR!K179+EMISIONES_FOR!K180+EMISIONES_CUL!K55+EMISIONES_CUL!K56+EMISIONES_PAS!K52+EMISIONES_PAS!K53+EMISIONES_HUM!K49+EMISIONES_HUM!K50+EMISIONES_ASE!K49+EMISIONES_ASE!K50+EMISIONES_OTI!K49+EMISIONES_OTI!K50)/1000</f>
        <v>20.276508636430744</v>
      </c>
      <c r="K105" s="357">
        <f>+(EMISIONES_FOR!L179+EMISIONES_FOR!L180+EMISIONES_CUL!L55+EMISIONES_CUL!L56+EMISIONES_PAS!L52+EMISIONES_PAS!L53+EMISIONES_HUM!L49+EMISIONES_HUM!L50+EMISIONES_ASE!L49+EMISIONES_ASE!L50+EMISIONES_OTI!L49+EMISIONES_OTI!L50)/1000</f>
        <v>19.895157447153593</v>
      </c>
      <c r="L105" s="357">
        <f>+(EMISIONES_FOR!M179+EMISIONES_FOR!M180+EMISIONES_CUL!M55+EMISIONES_CUL!M56+EMISIONES_PAS!M52+EMISIONES_PAS!M53+EMISIONES_HUM!M49+EMISIONES_HUM!M50+EMISIONES_ASE!M49+EMISIONES_ASE!M50+EMISIONES_OTI!M49+EMISIONES_OTI!M50)/1000</f>
        <v>20.296883819064696</v>
      </c>
      <c r="M105" s="357">
        <f>+(EMISIONES_FOR!N179+EMISIONES_FOR!N180+EMISIONES_CUL!N55+EMISIONES_CUL!N56+EMISIONES_PAS!N52+EMISIONES_PAS!N53+EMISIONES_HUM!N49+EMISIONES_HUM!N50+EMISIONES_ASE!N49+EMISIONES_ASE!N50+EMISIONES_OTI!N49+EMISIONES_OTI!N50)/1000</f>
        <v>24.581417410139871</v>
      </c>
      <c r="N105" s="357">
        <f>+(EMISIONES_FOR!O179+EMISIONES_FOR!O180+EMISIONES_CUL!O55+EMISIONES_CUL!O56+EMISIONES_PAS!O52+EMISIONES_PAS!O53+EMISIONES_HUM!O49+EMISIONES_HUM!O50+EMISIONES_ASE!O49+EMISIONES_ASE!O50+EMISIONES_OTI!O49+EMISIONES_OTI!O50)/1000</f>
        <v>25.795119254906808</v>
      </c>
      <c r="O105" s="357">
        <f>+(EMISIONES_FOR!P179+EMISIONES_FOR!P180+EMISIONES_CUL!P55+EMISIONES_CUL!P56+EMISIONES_PAS!P52+EMISIONES_PAS!P53+EMISIONES_HUM!P49+EMISIONES_HUM!P50+EMISIONES_ASE!P49+EMISIONES_ASE!P50+EMISIONES_OTI!P49+EMISIONES_OTI!P50)/1000</f>
        <v>22.970665031179355</v>
      </c>
      <c r="P105" s="357">
        <f>+(EMISIONES_FOR!Q179+EMISIONES_FOR!Q180+EMISIONES_CUL!Q55+EMISIONES_CUL!Q56+EMISIONES_PAS!Q52+EMISIONES_PAS!Q53+EMISIONES_HUM!Q49+EMISIONES_HUM!Q50+EMISIONES_ASE!Q49+EMISIONES_ASE!Q50+EMISIONES_OTI!Q49+EMISIONES_OTI!Q50)/1000</f>
        <v>22.73719220112956</v>
      </c>
      <c r="Q105" s="357">
        <f>+(EMISIONES_FOR!R179+EMISIONES_FOR!R180+EMISIONES_CUL!R55+EMISIONES_CUL!R56+EMISIONES_PAS!R52+EMISIONES_PAS!R53+EMISIONES_HUM!R49+EMISIONES_HUM!R50+EMISIONES_ASE!R49+EMISIONES_ASE!R50+EMISIONES_OTI!R49+EMISIONES_OTI!R50)/1000</f>
        <v>22.505536692382705</v>
      </c>
      <c r="R105" s="357">
        <f>+(EMISIONES_FOR!S179+EMISIONES_FOR!S180+EMISIONES_CUL!S55+EMISIONES_CUL!S56+EMISIONES_PAS!S52+EMISIONES_PAS!S53+EMISIONES_HUM!S49+EMISIONES_HUM!S50+EMISIONES_ASE!S49+EMISIONES_ASE!S50+EMISIONES_OTI!S49+EMISIONES_OTI!S50)/1000</f>
        <v>22.27568476260695</v>
      </c>
      <c r="S105" s="357">
        <f>+(EMISIONES_FOR!T179+EMISIONES_FOR!T180+EMISIONES_CUL!T55+EMISIONES_CUL!T56+EMISIONES_PAS!T52+EMISIONES_PAS!T53+EMISIONES_HUM!T49+EMISIONES_HUM!T50+EMISIONES_ASE!T49+EMISIONES_ASE!T50+EMISIONES_OTI!T49+EMISIONES_OTI!T50)/1000</f>
        <v>22.047622773219221</v>
      </c>
      <c r="T105" s="357">
        <f>+(EMISIONES_FOR!U179+EMISIONES_FOR!U180+EMISIONES_CUL!U55+EMISIONES_CUL!U56+EMISIONES_PAS!U52+EMISIONES_PAS!U53+EMISIONES_HUM!U49+EMISIONES_HUM!U50+EMISIONES_ASE!U49+EMISIONES_ASE!U50+EMISIONES_OTI!U49+EMISIONES_OTI!U50)/1000</f>
        <v>21.821367216325108</v>
      </c>
      <c r="U105" s="357">
        <f>+(EMISIONES_FOR!V179+EMISIONES_FOR!V180+EMISIONES_CUL!V55+EMISIONES_CUL!V56+EMISIONES_PAS!V52+EMISIONES_PAS!V53+EMISIONES_HUM!V49+EMISIONES_HUM!V50+EMISIONES_ASE!V49+EMISIONES_ASE!V50+EMISIONES_OTI!V49+EMISIONES_OTI!V50)/1000</f>
        <v>21.596814348915327</v>
      </c>
      <c r="V105" s="357">
        <f>+(EMISIONES_FOR!W179+EMISIONES_FOR!W180+EMISIONES_CUL!W55+EMISIONES_CUL!W56+EMISIONES_PAS!W52+EMISIONES_PAS!W53+EMISIONES_HUM!W49+EMISIONES_HUM!W50+EMISIONES_ASE!W49+EMISIONES_ASE!W50+EMISIONES_OTI!W49+EMISIONES_OTI!W50)/1000</f>
        <v>21.374011814583046</v>
      </c>
      <c r="W105" s="357">
        <f>+(EMISIONES_FOR!X179+EMISIONES_FOR!X180+EMISIONES_CUL!X55+EMISIONES_CUL!X56+EMISIONES_PAS!X52+EMISIONES_PAS!X53+EMISIONES_HUM!X49+EMISIONES_HUM!X50+EMISIONES_ASE!X49+EMISIONES_ASE!X50+EMISIONES_OTI!X49+EMISIONES_OTI!X50)/1000</f>
        <v>21.153034367384443</v>
      </c>
      <c r="X105" s="357">
        <f>+(EMISIONES_FOR!Y179+EMISIONES_FOR!Y180+EMISIONES_CUL!Y55+EMISIONES_CUL!Y56+EMISIONES_PAS!Y52+EMISIONES_PAS!Y53+EMISIONES_HUM!Y49+EMISIONES_HUM!Y50+EMISIONES_ASE!Y49+EMISIONES_ASE!Y50+EMISIONES_OTI!Y49+EMISIONES_OTI!Y50)/1000</f>
        <v>20.933720628411802</v>
      </c>
      <c r="Y105" s="357">
        <f>+(EMISIONES_FOR!Z179+EMISIONES_FOR!Z180+EMISIONES_CUL!Z55+EMISIONES_CUL!Z56+EMISIONES_PAS!Z52+EMISIONES_PAS!Z53+EMISIONES_HUM!Z49+EMISIONES_HUM!Z50+EMISIONES_ASE!Z49+EMISIONES_ASE!Z50+EMISIONES_OTI!Z49+EMISIONES_OTI!Z50)/1000</f>
        <v>20.716117138780078</v>
      </c>
      <c r="Z105" s="357">
        <f>+(EMISIONES_FOR!AA179+EMISIONES_FOR!AA180+EMISIONES_CUL!AA55+EMISIONES_CUL!AA56+EMISIONES_PAS!AA52+EMISIONES_PAS!AA53+EMISIONES_HUM!AA49+EMISIONES_HUM!AA50+EMISIONES_ASE!AA49+EMISIONES_ASE!AA50+EMISIONES_OTI!AA49+EMISIONES_OTI!AA50)/1000</f>
        <v>20.500210964510941</v>
      </c>
      <c r="AA105" s="357">
        <f>+(EMISIONES_FOR!AB179+EMISIONES_FOR!AB180+EMISIONES_CUL!AB55+EMISIONES_CUL!AB56+EMISIONES_PAS!AB52+EMISIONES_PAS!AB53+EMISIONES_HUM!AB49+EMISIONES_HUM!AB50+EMISIONES_ASE!AB49+EMISIONES_ASE!AB50+EMISIONES_OTI!AB49+EMISIONES_OTI!AB50)/1000</f>
        <v>20.286017697870815</v>
      </c>
      <c r="AB105" s="356"/>
    </row>
    <row r="106" spans="1:30" x14ac:dyDescent="0.3">
      <c r="A106" t="s">
        <v>120</v>
      </c>
      <c r="B106" s="64">
        <f>+B105*1000</f>
        <v>35102.131374327924</v>
      </c>
      <c r="C106" s="64">
        <f t="shared" ref="C106:N106" si="39">+C105*1000</f>
        <v>33854.392618995291</v>
      </c>
      <c r="D106" s="64">
        <f t="shared" si="39"/>
        <v>32606.653863662657</v>
      </c>
      <c r="E106" s="64">
        <f t="shared" si="39"/>
        <v>31782.293290209673</v>
      </c>
      <c r="F106" s="64">
        <f t="shared" si="39"/>
        <v>30957.932716756681</v>
      </c>
      <c r="G106" s="64">
        <f t="shared" si="39"/>
        <v>29498.879188653769</v>
      </c>
      <c r="H106" s="64">
        <f t="shared" si="39"/>
        <v>28039.82566055085</v>
      </c>
      <c r="I106" s="64">
        <f t="shared" si="39"/>
        <v>24158.167148490793</v>
      </c>
      <c r="J106" s="64">
        <f t="shared" si="39"/>
        <v>20276.508636430743</v>
      </c>
      <c r="K106" s="64">
        <f t="shared" si="39"/>
        <v>19895.157447153593</v>
      </c>
      <c r="L106" s="64">
        <f t="shared" si="39"/>
        <v>20296.883819064697</v>
      </c>
      <c r="M106" s="64">
        <f t="shared" si="39"/>
        <v>24581.417410139871</v>
      </c>
      <c r="N106" s="64">
        <f t="shared" si="39"/>
        <v>25795.119254906807</v>
      </c>
      <c r="O106" s="64">
        <f>+O105*1000</f>
        <v>22970.665031179353</v>
      </c>
      <c r="P106" s="64">
        <f t="shared" ref="P106:Z106" si="40">+P105*1000</f>
        <v>22737.192201129561</v>
      </c>
      <c r="Q106" s="64">
        <f t="shared" si="40"/>
        <v>22505.536692382706</v>
      </c>
      <c r="R106" s="64">
        <f t="shared" si="40"/>
        <v>22275.68476260695</v>
      </c>
      <c r="S106" s="64">
        <f t="shared" si="40"/>
        <v>22047.62277321922</v>
      </c>
      <c r="T106" s="64">
        <f t="shared" si="40"/>
        <v>21821.367216325107</v>
      </c>
      <c r="U106" s="64">
        <f t="shared" si="40"/>
        <v>21596.814348915326</v>
      </c>
      <c r="V106" s="64">
        <f t="shared" si="40"/>
        <v>21374.011814583046</v>
      </c>
      <c r="W106" s="64">
        <f t="shared" si="40"/>
        <v>21153.034367384444</v>
      </c>
      <c r="X106" s="64">
        <f t="shared" si="40"/>
        <v>20933.7206284118</v>
      </c>
      <c r="Y106" s="64">
        <f t="shared" si="40"/>
        <v>20716.117138780079</v>
      </c>
      <c r="Z106" s="64">
        <f t="shared" si="40"/>
        <v>20500.210964510941</v>
      </c>
      <c r="AA106" s="64">
        <f>+AA105*1000</f>
        <v>20286.017697870815</v>
      </c>
      <c r="AC106" s="64"/>
    </row>
    <row r="107" spans="1:30" x14ac:dyDescent="0.3">
      <c r="A107" s="52" t="s">
        <v>121</v>
      </c>
      <c r="B107" s="65">
        <f t="shared" ref="B107:Z107" si="41">+B106-B25-B34</f>
        <v>35102.131374327924</v>
      </c>
      <c r="C107" s="65">
        <f t="shared" si="41"/>
        <v>33854.392618995291</v>
      </c>
      <c r="D107" s="65">
        <f t="shared" si="41"/>
        <v>32606.653863662657</v>
      </c>
      <c r="E107" s="65">
        <f t="shared" si="41"/>
        <v>31782.293290209673</v>
      </c>
      <c r="F107" s="65">
        <f t="shared" si="41"/>
        <v>30957.932716756681</v>
      </c>
      <c r="G107" s="65">
        <f t="shared" si="41"/>
        <v>29498.879188653769</v>
      </c>
      <c r="H107" s="65">
        <f t="shared" si="41"/>
        <v>28039.82566055085</v>
      </c>
      <c r="I107" s="65">
        <f t="shared" si="41"/>
        <v>24158.167148490793</v>
      </c>
      <c r="J107" s="65">
        <f t="shared" si="41"/>
        <v>20276.508636430743</v>
      </c>
      <c r="K107" s="65">
        <f t="shared" si="41"/>
        <v>19895.157447153593</v>
      </c>
      <c r="L107" s="65">
        <f t="shared" si="41"/>
        <v>20296.883819064697</v>
      </c>
      <c r="M107" s="65">
        <f t="shared" si="41"/>
        <v>24581.417410139871</v>
      </c>
      <c r="N107" s="65">
        <f t="shared" si="41"/>
        <v>25795.119254906807</v>
      </c>
      <c r="O107" s="65">
        <f t="shared" si="41"/>
        <v>22970.665031179353</v>
      </c>
      <c r="P107" s="65">
        <f t="shared" si="41"/>
        <v>22737.192201129561</v>
      </c>
      <c r="Q107" s="65">
        <f t="shared" si="41"/>
        <v>22505.536692382706</v>
      </c>
      <c r="R107" s="65">
        <f t="shared" si="41"/>
        <v>22113.02869286888</v>
      </c>
      <c r="S107" s="65">
        <f t="shared" si="41"/>
        <v>21885.206893959898</v>
      </c>
      <c r="T107" s="65">
        <f t="shared" si="41"/>
        <v>21659.190374630227</v>
      </c>
      <c r="U107" s="65">
        <f t="shared" si="41"/>
        <v>21595.062650250798</v>
      </c>
      <c r="V107" s="65">
        <f t="shared" si="41"/>
        <v>21372.268524072108</v>
      </c>
      <c r="W107" s="65">
        <f t="shared" si="41"/>
        <v>21151.299444667959</v>
      </c>
      <c r="X107" s="65">
        <f t="shared" si="41"/>
        <v>20931.994033324354</v>
      </c>
      <c r="Y107" s="65">
        <f t="shared" si="41"/>
        <v>20714.398831349052</v>
      </c>
      <c r="Z107" s="65">
        <f t="shared" si="41"/>
        <v>20498.500904955585</v>
      </c>
      <c r="AA107" s="65">
        <f>+AA106-AA25-AA34</f>
        <v>20284.315846601323</v>
      </c>
      <c r="AC107" s="64"/>
      <c r="AD107" s="64"/>
    </row>
    <row r="108" spans="1:30" x14ac:dyDescent="0.3">
      <c r="A108" s="66" t="s">
        <v>122</v>
      </c>
      <c r="B108" s="67">
        <f t="shared" ref="B108:Q108" si="42">+B106-B39-B44-B87-B96</f>
        <v>35102.131374327924</v>
      </c>
      <c r="C108" s="67">
        <f t="shared" si="42"/>
        <v>33854.392618995291</v>
      </c>
      <c r="D108" s="67">
        <f t="shared" si="42"/>
        <v>32606.653863662657</v>
      </c>
      <c r="E108" s="67">
        <f t="shared" si="42"/>
        <v>31782.293290209673</v>
      </c>
      <c r="F108" s="67">
        <f t="shared" si="42"/>
        <v>30957.932716756681</v>
      </c>
      <c r="G108" s="67">
        <f t="shared" si="42"/>
        <v>29498.879188653769</v>
      </c>
      <c r="H108" s="67">
        <f t="shared" si="42"/>
        <v>28039.82566055085</v>
      </c>
      <c r="I108" s="67">
        <f t="shared" si="42"/>
        <v>24158.167148490793</v>
      </c>
      <c r="J108" s="67">
        <f t="shared" si="42"/>
        <v>20276.508636430743</v>
      </c>
      <c r="K108" s="67">
        <f t="shared" si="42"/>
        <v>19895.157447153593</v>
      </c>
      <c r="L108" s="67">
        <f t="shared" si="42"/>
        <v>20296.883819064697</v>
      </c>
      <c r="M108" s="67">
        <f t="shared" si="42"/>
        <v>24581.417410139871</v>
      </c>
      <c r="N108" s="67">
        <f t="shared" si="42"/>
        <v>25795.119254906807</v>
      </c>
      <c r="O108" s="67">
        <f t="shared" si="42"/>
        <v>22970.665031179353</v>
      </c>
      <c r="P108" s="67">
        <f t="shared" si="42"/>
        <v>22737.192201129561</v>
      </c>
      <c r="Q108" s="67">
        <f t="shared" si="42"/>
        <v>22505.536692382706</v>
      </c>
      <c r="R108" s="67">
        <f>+R106-R39-R44-R87-R96</f>
        <v>20757.48336901957</v>
      </c>
      <c r="S108" s="67">
        <f t="shared" ref="S108:Z108" si="43">+S106-S39-S44-S87-S96</f>
        <v>20235.306958986825</v>
      </c>
      <c r="T108" s="67">
        <f t="shared" si="43"/>
        <v>19714.877781241481</v>
      </c>
      <c r="U108" s="67">
        <f t="shared" si="43"/>
        <v>19196.117483852486</v>
      </c>
      <c r="V108" s="67">
        <f t="shared" si="43"/>
        <v>18679.253107134911</v>
      </c>
      <c r="W108" s="67">
        <f t="shared" si="43"/>
        <v>18163.915051046541</v>
      </c>
      <c r="X108" s="67">
        <f t="shared" si="43"/>
        <v>17650.230012479271</v>
      </c>
      <c r="Y108" s="67">
        <f t="shared" si="43"/>
        <v>17138.264534553338</v>
      </c>
      <c r="Z108" s="67">
        <f t="shared" si="43"/>
        <v>16627.985685288961</v>
      </c>
      <c r="AA108" s="67">
        <f>+AA106-AA39-AA44-AA87-AA96</f>
        <v>16119.429058944455</v>
      </c>
      <c r="AB108" s="64"/>
      <c r="AC108" s="64"/>
      <c r="AD108" s="64"/>
    </row>
    <row r="109" spans="1:30" x14ac:dyDescent="0.3">
      <c r="A109" s="52" t="s">
        <v>123</v>
      </c>
      <c r="B109" s="65">
        <f t="shared" ref="B109:Q109" si="44">+B106-B25-B39-B44-B87-B96-B34</f>
        <v>35102.131374327924</v>
      </c>
      <c r="C109" s="65">
        <f t="shared" si="44"/>
        <v>33854.392618995291</v>
      </c>
      <c r="D109" s="65">
        <f t="shared" si="44"/>
        <v>32606.653863662657</v>
      </c>
      <c r="E109" s="65">
        <f t="shared" si="44"/>
        <v>31782.293290209673</v>
      </c>
      <c r="F109" s="65">
        <f t="shared" si="44"/>
        <v>30957.932716756681</v>
      </c>
      <c r="G109" s="65">
        <f t="shared" si="44"/>
        <v>29498.879188653769</v>
      </c>
      <c r="H109" s="65">
        <f t="shared" si="44"/>
        <v>28039.82566055085</v>
      </c>
      <c r="I109" s="65">
        <f t="shared" si="44"/>
        <v>24158.167148490793</v>
      </c>
      <c r="J109" s="65">
        <f t="shared" si="44"/>
        <v>20276.508636430743</v>
      </c>
      <c r="K109" s="65">
        <f t="shared" si="44"/>
        <v>19895.157447153593</v>
      </c>
      <c r="L109" s="65">
        <f t="shared" si="44"/>
        <v>20296.883819064697</v>
      </c>
      <c r="M109" s="65">
        <f t="shared" si="44"/>
        <v>24581.417410139871</v>
      </c>
      <c r="N109" s="65">
        <f t="shared" si="44"/>
        <v>25795.119254906807</v>
      </c>
      <c r="O109" s="65">
        <f t="shared" si="44"/>
        <v>22970.665031179353</v>
      </c>
      <c r="P109" s="65">
        <f t="shared" si="44"/>
        <v>22737.192201129561</v>
      </c>
      <c r="Q109" s="65">
        <f t="shared" si="44"/>
        <v>22505.536692382706</v>
      </c>
      <c r="R109" s="65">
        <f>+R106-R25-R39-R44-R87-R96-R34</f>
        <v>20594.8272992815</v>
      </c>
      <c r="S109" s="65">
        <f t="shared" ref="S109:Z109" si="45">+S106-S25-S39-S44-S87-S96-S34</f>
        <v>20072.891079727502</v>
      </c>
      <c r="T109" s="65">
        <f t="shared" si="45"/>
        <v>19552.700939546601</v>
      </c>
      <c r="U109" s="65">
        <f t="shared" si="45"/>
        <v>19194.365785187958</v>
      </c>
      <c r="V109" s="65">
        <f t="shared" si="45"/>
        <v>18677.509816623973</v>
      </c>
      <c r="W109" s="65">
        <f t="shared" si="45"/>
        <v>18162.180128330056</v>
      </c>
      <c r="X109" s="65">
        <f t="shared" si="45"/>
        <v>17648.503417391825</v>
      </c>
      <c r="Y109" s="65">
        <f t="shared" si="45"/>
        <v>17136.546227122308</v>
      </c>
      <c r="Z109" s="65">
        <f t="shared" si="45"/>
        <v>16626.275625733604</v>
      </c>
      <c r="AA109" s="65">
        <f>+AA106-AA25-AA39-AA44-AA87-AA96-AA34</f>
        <v>16117.727207674963</v>
      </c>
      <c r="AB109" s="64"/>
      <c r="AC109" s="64"/>
      <c r="AD109" s="64"/>
    </row>
    <row r="110" spans="1:30" x14ac:dyDescent="0.3">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c r="AA110" s="64"/>
    </row>
    <row r="114" spans="1:29" x14ac:dyDescent="0.3">
      <c r="A114" s="11" t="s">
        <v>124</v>
      </c>
      <c r="B114" s="63">
        <v>2010</v>
      </c>
      <c r="C114" s="63">
        <v>2011</v>
      </c>
      <c r="D114" s="63">
        <v>2012</v>
      </c>
      <c r="E114" s="63">
        <v>2013</v>
      </c>
      <c r="F114" s="63">
        <v>2014</v>
      </c>
      <c r="G114" s="63">
        <v>2015</v>
      </c>
      <c r="H114" s="63">
        <v>2016</v>
      </c>
      <c r="I114" s="63">
        <v>2017</v>
      </c>
      <c r="J114" s="63">
        <v>2018</v>
      </c>
      <c r="K114" s="63">
        <v>2019</v>
      </c>
      <c r="L114" s="63">
        <v>2020</v>
      </c>
      <c r="M114" s="63">
        <v>2021</v>
      </c>
      <c r="N114" s="63">
        <v>2022</v>
      </c>
      <c r="O114" s="63">
        <v>2023</v>
      </c>
      <c r="P114" s="63">
        <v>2024</v>
      </c>
      <c r="Q114" s="63">
        <v>2025</v>
      </c>
      <c r="R114" s="63">
        <v>2026</v>
      </c>
      <c r="S114" s="63">
        <v>2027</v>
      </c>
      <c r="T114" s="63">
        <v>2028</v>
      </c>
      <c r="U114" s="63">
        <v>2029</v>
      </c>
      <c r="V114" s="63">
        <v>2030</v>
      </c>
      <c r="W114" s="63">
        <v>2031</v>
      </c>
      <c r="X114" s="63">
        <v>2032</v>
      </c>
      <c r="Y114" s="63">
        <v>2033</v>
      </c>
      <c r="Z114" s="63">
        <v>2034</v>
      </c>
      <c r="AA114" s="63">
        <v>2035</v>
      </c>
    </row>
    <row r="115" spans="1:29" x14ac:dyDescent="0.3">
      <c r="A115" t="s">
        <v>125</v>
      </c>
      <c r="B115" s="37">
        <f>(B107-B$106)/B$106</f>
        <v>0</v>
      </c>
      <c r="C115" s="37">
        <f t="shared" ref="C115:AA117" si="46">(C107-C$106)/C$106</f>
        <v>0</v>
      </c>
      <c r="D115" s="37">
        <f t="shared" si="46"/>
        <v>0</v>
      </c>
      <c r="E115" s="37">
        <f t="shared" si="46"/>
        <v>0</v>
      </c>
      <c r="F115" s="37">
        <f t="shared" si="46"/>
        <v>0</v>
      </c>
      <c r="G115" s="37">
        <f t="shared" si="46"/>
        <v>0</v>
      </c>
      <c r="H115" s="37">
        <f t="shared" si="46"/>
        <v>0</v>
      </c>
      <c r="I115" s="37">
        <f t="shared" si="46"/>
        <v>0</v>
      </c>
      <c r="J115" s="37">
        <f t="shared" si="46"/>
        <v>0</v>
      </c>
      <c r="K115" s="37">
        <f t="shared" si="46"/>
        <v>0</v>
      </c>
      <c r="L115" s="37">
        <f t="shared" si="46"/>
        <v>0</v>
      </c>
      <c r="M115" s="37">
        <f t="shared" si="46"/>
        <v>0</v>
      </c>
      <c r="N115" s="37">
        <f t="shared" si="46"/>
        <v>0</v>
      </c>
      <c r="O115" s="37">
        <f t="shared" si="46"/>
        <v>0</v>
      </c>
      <c r="P115" s="37">
        <f t="shared" si="46"/>
        <v>0</v>
      </c>
      <c r="Q115" s="37">
        <f t="shared" si="46"/>
        <v>0</v>
      </c>
      <c r="R115" s="37">
        <f t="shared" si="46"/>
        <v>-7.3019559879529483E-3</v>
      </c>
      <c r="S115" s="37">
        <f t="shared" si="46"/>
        <v>-7.3665937108015863E-3</v>
      </c>
      <c r="T115" s="37">
        <f t="shared" si="46"/>
        <v>-7.4320201886136318E-3</v>
      </c>
      <c r="U115" s="37">
        <f t="shared" si="46"/>
        <v>-8.1109122680205416E-5</v>
      </c>
      <c r="V115" s="37">
        <f t="shared" si="46"/>
        <v>-8.1561221452525087E-5</v>
      </c>
      <c r="W115" s="37">
        <f t="shared" si="46"/>
        <v>-8.2017675873493996E-5</v>
      </c>
      <c r="X115" s="37">
        <f t="shared" si="46"/>
        <v>-8.2479131067737875E-5</v>
      </c>
      <c r="Y115" s="37">
        <f>(Y107-Y$106)/Y$106</f>
        <v>-8.294543902777438E-5</v>
      </c>
      <c r="Z115" s="37">
        <f t="shared" si="46"/>
        <v>-8.3416680848648092E-5</v>
      </c>
      <c r="AA115" s="37">
        <f>(AA107-AA$106)/AA$106</f>
        <v>-8.3892821885431189E-5</v>
      </c>
    </row>
    <row r="116" spans="1:29" x14ac:dyDescent="0.3">
      <c r="A116" s="66" t="s">
        <v>126</v>
      </c>
      <c r="B116" s="68">
        <f>(B108-B$106)/B$106</f>
        <v>0</v>
      </c>
      <c r="C116" s="68">
        <f t="shared" si="46"/>
        <v>0</v>
      </c>
      <c r="D116" s="68">
        <f t="shared" si="46"/>
        <v>0</v>
      </c>
      <c r="E116" s="68">
        <f t="shared" si="46"/>
        <v>0</v>
      </c>
      <c r="F116" s="68">
        <f t="shared" si="46"/>
        <v>0</v>
      </c>
      <c r="G116" s="68">
        <f t="shared" si="46"/>
        <v>0</v>
      </c>
      <c r="H116" s="68">
        <f t="shared" si="46"/>
        <v>0</v>
      </c>
      <c r="I116" s="68">
        <f t="shared" si="46"/>
        <v>0</v>
      </c>
      <c r="J116" s="68">
        <f t="shared" si="46"/>
        <v>0</v>
      </c>
      <c r="K116" s="68">
        <f t="shared" si="46"/>
        <v>0</v>
      </c>
      <c r="L116" s="68">
        <f t="shared" si="46"/>
        <v>0</v>
      </c>
      <c r="M116" s="68">
        <f t="shared" si="46"/>
        <v>0</v>
      </c>
      <c r="N116" s="68">
        <f t="shared" si="46"/>
        <v>0</v>
      </c>
      <c r="O116" s="68">
        <f t="shared" si="46"/>
        <v>0</v>
      </c>
      <c r="P116" s="68">
        <f t="shared" si="46"/>
        <v>0</v>
      </c>
      <c r="Q116" s="68">
        <f t="shared" si="46"/>
        <v>0</v>
      </c>
      <c r="R116" s="69">
        <f t="shared" si="46"/>
        <v>-6.8155094209983932E-2</v>
      </c>
      <c r="S116" s="69">
        <f t="shared" si="46"/>
        <v>-8.2200055437894062E-2</v>
      </c>
      <c r="T116" s="69">
        <f t="shared" si="46"/>
        <v>-9.653333882341289E-2</v>
      </c>
      <c r="U116" s="69">
        <f t="shared" si="46"/>
        <v>-0.11115976765264977</v>
      </c>
      <c r="V116" s="69">
        <f t="shared" si="46"/>
        <v>-0.12607641143014417</v>
      </c>
      <c r="W116" s="69">
        <f t="shared" si="46"/>
        <v>-0.14130924502003281</v>
      </c>
      <c r="X116" s="69">
        <f t="shared" si="46"/>
        <v>-0.15685174528774826</v>
      </c>
      <c r="Y116" s="69">
        <f>(Y108-Y$106)/Y$106</f>
        <v>-0.17270864903196967</v>
      </c>
      <c r="Z116" s="69">
        <f t="shared" si="46"/>
        <v>-0.18888709418285526</v>
      </c>
      <c r="AA116" s="69">
        <f>(AA108-AA$106)/AA$106</f>
        <v>-0.20539214255756455</v>
      </c>
    </row>
    <row r="117" spans="1:29" x14ac:dyDescent="0.3">
      <c r="A117" s="66" t="s">
        <v>127</v>
      </c>
      <c r="B117" s="68">
        <f>(B109-B$106)/B$106</f>
        <v>0</v>
      </c>
      <c r="C117" s="68">
        <f t="shared" si="46"/>
        <v>0</v>
      </c>
      <c r="D117" s="68">
        <f t="shared" si="46"/>
        <v>0</v>
      </c>
      <c r="E117" s="68">
        <f t="shared" si="46"/>
        <v>0</v>
      </c>
      <c r="F117" s="68">
        <f t="shared" si="46"/>
        <v>0</v>
      </c>
      <c r="G117" s="68">
        <f t="shared" si="46"/>
        <v>0</v>
      </c>
      <c r="H117" s="68">
        <f t="shared" si="46"/>
        <v>0</v>
      </c>
      <c r="I117" s="68">
        <f t="shared" si="46"/>
        <v>0</v>
      </c>
      <c r="J117" s="68">
        <f t="shared" si="46"/>
        <v>0</v>
      </c>
      <c r="K117" s="68">
        <f t="shared" si="46"/>
        <v>0</v>
      </c>
      <c r="L117" s="68">
        <f t="shared" si="46"/>
        <v>0</v>
      </c>
      <c r="M117" s="68">
        <f t="shared" si="46"/>
        <v>0</v>
      </c>
      <c r="N117" s="68">
        <f t="shared" si="46"/>
        <v>0</v>
      </c>
      <c r="O117" s="68">
        <f t="shared" si="46"/>
        <v>0</v>
      </c>
      <c r="P117" s="68">
        <f t="shared" si="46"/>
        <v>0</v>
      </c>
      <c r="Q117" s="68">
        <f t="shared" si="46"/>
        <v>0</v>
      </c>
      <c r="R117" s="69">
        <f t="shared" si="46"/>
        <v>-7.5457050197936873E-2</v>
      </c>
      <c r="S117" s="69">
        <f t="shared" si="46"/>
        <v>-8.9566649148695651E-2</v>
      </c>
      <c r="T117" s="69">
        <f t="shared" si="46"/>
        <v>-0.10396535901202653</v>
      </c>
      <c r="U117" s="69">
        <f t="shared" si="46"/>
        <v>-0.11124087677532998</v>
      </c>
      <c r="V117" s="69">
        <f t="shared" si="46"/>
        <v>-0.1261579726515967</v>
      </c>
      <c r="W117" s="69">
        <f t="shared" si="46"/>
        <v>-0.14139126269590629</v>
      </c>
      <c r="X117" s="69">
        <f t="shared" si="46"/>
        <v>-0.15693422441881599</v>
      </c>
      <c r="Y117" s="69">
        <f>(Y109-Y$106)/Y$106</f>
        <v>-0.17279159447099762</v>
      </c>
      <c r="Z117" s="69">
        <f t="shared" si="46"/>
        <v>-0.18897051086370392</v>
      </c>
      <c r="AA117" s="69">
        <f t="shared" si="46"/>
        <v>-0.20547603537944997</v>
      </c>
    </row>
    <row r="126" spans="1:29" x14ac:dyDescent="0.3">
      <c r="Z126" s="11" t="s">
        <v>124</v>
      </c>
      <c r="AA126" s="63">
        <v>2025</v>
      </c>
      <c r="AB126" s="63">
        <v>2030</v>
      </c>
      <c r="AC126" s="63">
        <v>2035</v>
      </c>
    </row>
    <row r="127" spans="1:29" x14ac:dyDescent="0.3">
      <c r="Z127" t="s">
        <v>125</v>
      </c>
      <c r="AA127" s="37">
        <f>+Q115</f>
        <v>0</v>
      </c>
      <c r="AB127" s="37">
        <f>+V115</f>
        <v>-8.1561221452525087E-5</v>
      </c>
      <c r="AC127" s="37">
        <f>+AA115</f>
        <v>-8.3892821885431189E-5</v>
      </c>
    </row>
    <row r="128" spans="1:29" x14ac:dyDescent="0.3">
      <c r="Z128" s="66" t="s">
        <v>126</v>
      </c>
      <c r="AA128" s="68">
        <f t="shared" ref="AA128:AA129" si="47">+Q116</f>
        <v>0</v>
      </c>
      <c r="AB128" s="69">
        <f t="shared" ref="AB128:AB129" si="48">+V116</f>
        <v>-0.12607641143014417</v>
      </c>
      <c r="AC128" s="69">
        <f t="shared" ref="AC128:AC129" si="49">+AA116</f>
        <v>-0.20539214255756455</v>
      </c>
    </row>
    <row r="129" spans="26:29" x14ac:dyDescent="0.3">
      <c r="Z129" s="66" t="s">
        <v>127</v>
      </c>
      <c r="AA129" s="68">
        <f t="shared" si="47"/>
        <v>0</v>
      </c>
      <c r="AB129" s="69">
        <f t="shared" si="48"/>
        <v>-0.1261579726515967</v>
      </c>
      <c r="AC129" s="69">
        <f t="shared" si="49"/>
        <v>-0.20547603537944997</v>
      </c>
    </row>
  </sheetData>
  <phoneticPr fontId="45"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A0496-6B6B-4BC1-A240-CA74FECA421E}">
  <sheetPr>
    <tabColor theme="5"/>
  </sheetPr>
  <dimension ref="A1:BJ44"/>
  <sheetViews>
    <sheetView workbookViewId="0">
      <selection activeCell="B10" sqref="B10"/>
    </sheetView>
  </sheetViews>
  <sheetFormatPr baseColWidth="10" defaultColWidth="11.44140625" defaultRowHeight="14.4" x14ac:dyDescent="0.3"/>
  <cols>
    <col min="1" max="1" width="19.109375" customWidth="1"/>
    <col min="2" max="2" width="35.109375" customWidth="1"/>
  </cols>
  <sheetData>
    <row r="1" spans="1:62" ht="14.4" customHeight="1" x14ac:dyDescent="0.3">
      <c r="A1" s="500" t="s">
        <v>17</v>
      </c>
      <c r="B1" s="500"/>
      <c r="C1" s="498" t="s">
        <v>46</v>
      </c>
      <c r="D1" s="499"/>
      <c r="E1" s="499"/>
      <c r="F1" s="499"/>
      <c r="G1" s="499"/>
      <c r="H1" s="499"/>
      <c r="I1" s="499"/>
      <c r="J1" s="499"/>
      <c r="K1" s="499"/>
      <c r="L1" s="499"/>
      <c r="M1" s="499"/>
      <c r="N1" s="499"/>
      <c r="O1" s="499"/>
    </row>
    <row r="2" spans="1:62" ht="29.4" customHeight="1" x14ac:dyDescent="0.3">
      <c r="A2" s="10" t="s">
        <v>18</v>
      </c>
      <c r="B2" s="9" t="s">
        <v>19</v>
      </c>
      <c r="C2" s="9">
        <v>2010</v>
      </c>
      <c r="D2" s="9">
        <v>2011</v>
      </c>
      <c r="E2" s="9">
        <v>2012</v>
      </c>
      <c r="F2" s="9">
        <v>2013</v>
      </c>
      <c r="G2" s="9">
        <v>2014</v>
      </c>
      <c r="H2" s="9">
        <v>2015</v>
      </c>
      <c r="I2" s="9">
        <v>2016</v>
      </c>
      <c r="J2" s="9">
        <v>2017</v>
      </c>
      <c r="K2" s="9">
        <v>2018</v>
      </c>
      <c r="L2" s="9">
        <v>2019</v>
      </c>
      <c r="M2" s="9">
        <v>2020</v>
      </c>
      <c r="N2" s="9">
        <v>2021</v>
      </c>
      <c r="O2" s="9">
        <v>2022</v>
      </c>
    </row>
    <row r="3" spans="1:62" s="7" customFormat="1" x14ac:dyDescent="0.3">
      <c r="A3" s="7" t="s">
        <v>20</v>
      </c>
      <c r="B3" s="7" t="s">
        <v>20</v>
      </c>
      <c r="C3" s="7">
        <v>-14847231.389105996</v>
      </c>
      <c r="D3" s="7">
        <f>+(C3+E3)/2</f>
        <v>-16094970.144438628</v>
      </c>
      <c r="E3" s="7">
        <v>-17342708.899771258</v>
      </c>
      <c r="F3" s="7">
        <f>+(E3+G3)/2</f>
        <v>-18167069.473224245</v>
      </c>
      <c r="G3" s="7">
        <v>-18991430.046677236</v>
      </c>
      <c r="H3" s="7">
        <f>+(G3+I3)/2</f>
        <v>-18595446.144527189</v>
      </c>
      <c r="I3" s="7">
        <v>-18199462.242377147</v>
      </c>
      <c r="J3" s="7">
        <f>+(I3+K3)/2</f>
        <v>-19541652.593002707</v>
      </c>
      <c r="K3" s="7">
        <v>-20883842.943628263</v>
      </c>
      <c r="L3" s="7">
        <v>-21497471.59225541</v>
      </c>
      <c r="M3" s="7">
        <v>-21095745.220344305</v>
      </c>
      <c r="N3" s="7">
        <v>-18176499.946502555</v>
      </c>
      <c r="O3" s="7">
        <v>-16962798.101735618</v>
      </c>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row>
    <row r="4" spans="1:62" s="7" customFormat="1" x14ac:dyDescent="0.3">
      <c r="A4" s="7" t="s">
        <v>21</v>
      </c>
      <c r="B4" s="7" t="s">
        <v>20</v>
      </c>
      <c r="C4" s="7">
        <v>-268167.72367916664</v>
      </c>
      <c r="D4" s="7">
        <f t="shared" ref="D4:F44" si="0">+(C4+E4)/2</f>
        <v>-268167.72367916664</v>
      </c>
      <c r="E4" s="7">
        <v>-268167.72367916664</v>
      </c>
      <c r="F4" s="7">
        <f t="shared" si="0"/>
        <v>-268167.72367916664</v>
      </c>
      <c r="G4" s="7">
        <v>-268167.72367916664</v>
      </c>
      <c r="H4" s="7">
        <f t="shared" ref="H4" si="1">+(G4+I4)/2</f>
        <v>-189543.63078749998</v>
      </c>
      <c r="I4" s="7">
        <v>-110919.53789583333</v>
      </c>
      <c r="J4" s="7">
        <f t="shared" ref="J4" si="2">+(I4+K4)/2</f>
        <v>-156969.64154483331</v>
      </c>
      <c r="K4" s="7">
        <v>-203019.74519383328</v>
      </c>
      <c r="L4" s="7">
        <v>-7794.5750758333334</v>
      </c>
      <c r="M4" s="7">
        <v>-7794.5750758333334</v>
      </c>
      <c r="N4" s="7">
        <v>-49090.560279749996</v>
      </c>
      <c r="O4" s="7">
        <v>-49090.560279749996</v>
      </c>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row>
    <row r="5" spans="1:62" s="7" customFormat="1" x14ac:dyDescent="0.3">
      <c r="A5" s="7" t="s">
        <v>15</v>
      </c>
      <c r="B5" s="7" t="s">
        <v>20</v>
      </c>
      <c r="C5" s="7">
        <v>-38403.915914833335</v>
      </c>
      <c r="D5" s="7">
        <f t="shared" si="0"/>
        <v>-38403.915914833335</v>
      </c>
      <c r="E5" s="7">
        <v>-38403.915914833335</v>
      </c>
      <c r="F5" s="7">
        <f t="shared" si="0"/>
        <v>-38403.915914833335</v>
      </c>
      <c r="G5" s="7">
        <v>-38403.915914833335</v>
      </c>
      <c r="H5" s="7">
        <f t="shared" ref="H5" si="3">+(G5+I5)/2</f>
        <v>-52355.92972408334</v>
      </c>
      <c r="I5" s="7">
        <v>-66307.943533333339</v>
      </c>
      <c r="J5" s="7">
        <f t="shared" ref="J5" si="4">+(I5+K5)/2</f>
        <v>-62503.186102041669</v>
      </c>
      <c r="K5" s="7">
        <v>-58698.42867075</v>
      </c>
      <c r="L5" s="7">
        <v>-1501.4679157499997</v>
      </c>
      <c r="M5" s="7">
        <v>-1501.4679157499997</v>
      </c>
      <c r="N5" s="7">
        <v>-1198.121793</v>
      </c>
      <c r="O5" s="7">
        <v>-1198.121793</v>
      </c>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row>
    <row r="6" spans="1:62" s="7" customFormat="1" x14ac:dyDescent="0.3">
      <c r="A6" s="7" t="s">
        <v>16</v>
      </c>
      <c r="B6" s="7" t="s">
        <v>20</v>
      </c>
      <c r="C6" s="7">
        <v>-787.72480233333329</v>
      </c>
      <c r="D6" s="7">
        <f t="shared" si="0"/>
        <v>-787.72480233333329</v>
      </c>
      <c r="E6" s="7">
        <v>-787.72480233333329</v>
      </c>
      <c r="F6" s="7">
        <f t="shared" si="0"/>
        <v>-787.72480233333329</v>
      </c>
      <c r="G6" s="7">
        <v>-787.72480233333329</v>
      </c>
      <c r="H6" s="7">
        <f t="shared" ref="H6" si="5">+(G6+I6)/2</f>
        <v>-833.72487824999985</v>
      </c>
      <c r="I6" s="7">
        <v>-879.72495416666652</v>
      </c>
      <c r="J6" s="7">
        <f t="shared" ref="J6" si="6">+(I6+K6)/2</f>
        <v>-872.51756899999987</v>
      </c>
      <c r="K6" s="7">
        <v>-865.31018383333333</v>
      </c>
      <c r="L6" s="7">
        <v>-20.986209749999997</v>
      </c>
      <c r="M6" s="7">
        <v>-20.986209749999997</v>
      </c>
      <c r="N6" s="7">
        <v>-257.55802875000001</v>
      </c>
      <c r="O6" s="7">
        <v>-257.55802875000001</v>
      </c>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row>
    <row r="7" spans="1:62" s="7" customFormat="1" x14ac:dyDescent="0.3">
      <c r="A7" s="7" t="s">
        <v>13</v>
      </c>
      <c r="B7" s="7" t="s">
        <v>20</v>
      </c>
      <c r="C7" s="7">
        <v>0</v>
      </c>
      <c r="D7" s="7">
        <f t="shared" si="0"/>
        <v>0</v>
      </c>
      <c r="E7" s="7">
        <v>0</v>
      </c>
      <c r="F7" s="7">
        <f t="shared" si="0"/>
        <v>0</v>
      </c>
      <c r="G7" s="7">
        <v>0</v>
      </c>
      <c r="H7" s="7">
        <f t="shared" ref="H7" si="7">+(G7+I7)/2</f>
        <v>0</v>
      </c>
      <c r="I7" s="7">
        <v>0</v>
      </c>
      <c r="J7" s="7">
        <f t="shared" ref="J7" si="8">+(I7+K7)/2</f>
        <v>0</v>
      </c>
      <c r="K7" s="7">
        <v>0</v>
      </c>
      <c r="L7" s="7">
        <v>0</v>
      </c>
      <c r="M7" s="7">
        <v>0</v>
      </c>
      <c r="N7" s="7">
        <v>0</v>
      </c>
      <c r="O7" s="7">
        <v>0</v>
      </c>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row>
    <row r="8" spans="1:62" s="7" customFormat="1" x14ac:dyDescent="0.3">
      <c r="A8" s="7" t="s">
        <v>22</v>
      </c>
      <c r="B8" s="7" t="s">
        <v>20</v>
      </c>
      <c r="C8" s="7">
        <v>-165.98184074999998</v>
      </c>
      <c r="D8" s="7">
        <f t="shared" si="0"/>
        <v>-165.98184074999998</v>
      </c>
      <c r="E8" s="7">
        <v>-165.98184074999998</v>
      </c>
      <c r="F8" s="7">
        <f t="shared" si="0"/>
        <v>-165.98184074999998</v>
      </c>
      <c r="G8" s="7">
        <v>-165.98184074999998</v>
      </c>
      <c r="H8" s="7">
        <f t="shared" ref="H8" si="9">+(G8+I8)/2</f>
        <v>-326.77012454166663</v>
      </c>
      <c r="I8" s="7">
        <v>-487.55840833333326</v>
      </c>
      <c r="J8" s="7">
        <f t="shared" ref="J8" si="10">+(I8+K8)/2</f>
        <v>-1330.2925180416667</v>
      </c>
      <c r="K8" s="7">
        <v>-2173.02662775</v>
      </c>
      <c r="L8" s="7">
        <v>-49.603768499999994</v>
      </c>
      <c r="M8" s="7">
        <v>-49.603768499999994</v>
      </c>
      <c r="N8" s="7">
        <v>-809.98290358333338</v>
      </c>
      <c r="O8" s="7">
        <v>-809.98290358333338</v>
      </c>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row>
    <row r="9" spans="1:62" s="8" customFormat="1" x14ac:dyDescent="0.3">
      <c r="B9" s="8" t="s">
        <v>23</v>
      </c>
      <c r="C9" s="8">
        <v>-15154756.735343101</v>
      </c>
      <c r="D9" s="8">
        <f t="shared" si="0"/>
        <v>-16402495.490675721</v>
      </c>
      <c r="E9" s="8">
        <v>-17650234.24600834</v>
      </c>
      <c r="F9" s="8">
        <f t="shared" si="0"/>
        <v>-18474594.819461331</v>
      </c>
      <c r="G9" s="8">
        <v>-19298955.392914318</v>
      </c>
      <c r="H9" s="8">
        <f t="shared" ref="H9" si="11">+(G9+I9)/2</f>
        <v>-18838506.200041566</v>
      </c>
      <c r="I9" s="8">
        <v>-18378057.007168815</v>
      </c>
      <c r="J9" s="8">
        <f t="shared" ref="J9" si="12">+(I9+K9)/2</f>
        <v>-19763328.230736621</v>
      </c>
      <c r="K9" s="8">
        <v>-21148599.454304427</v>
      </c>
      <c r="L9" s="8">
        <v>-21506838.225225247</v>
      </c>
      <c r="M9" s="8">
        <v>-21105111.853314143</v>
      </c>
      <c r="N9" s="8">
        <v>-18227856.169507638</v>
      </c>
      <c r="O9" s="8">
        <v>-17014154.3247407</v>
      </c>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row>
    <row r="10" spans="1:62" s="7" customFormat="1" x14ac:dyDescent="0.3">
      <c r="A10" s="7" t="s">
        <v>24</v>
      </c>
      <c r="B10" s="7" t="s">
        <v>24</v>
      </c>
      <c r="C10" s="7">
        <v>0</v>
      </c>
      <c r="D10" s="7">
        <f t="shared" si="0"/>
        <v>0</v>
      </c>
      <c r="E10" s="7">
        <v>0</v>
      </c>
      <c r="F10" s="7">
        <f t="shared" si="0"/>
        <v>0</v>
      </c>
      <c r="G10" s="7">
        <v>0</v>
      </c>
      <c r="H10" s="7">
        <f t="shared" ref="H10" si="13">+(G10+I10)/2</f>
        <v>0</v>
      </c>
      <c r="I10" s="7">
        <v>0</v>
      </c>
      <c r="J10" s="7">
        <f t="shared" ref="J10" si="14">+(I10+K10)/2</f>
        <v>0</v>
      </c>
      <c r="K10" s="7">
        <v>0</v>
      </c>
      <c r="L10" s="7">
        <v>0</v>
      </c>
      <c r="M10" s="7">
        <v>0</v>
      </c>
      <c r="N10" s="7">
        <v>0</v>
      </c>
      <c r="O10" s="7">
        <v>0</v>
      </c>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row>
    <row r="11" spans="1:62" s="7" customFormat="1" x14ac:dyDescent="0.3">
      <c r="A11" s="7" t="s">
        <v>20</v>
      </c>
      <c r="B11" s="7" t="s">
        <v>24</v>
      </c>
      <c r="C11" s="7">
        <v>36493567.754299998</v>
      </c>
      <c r="D11" s="7">
        <f t="shared" si="0"/>
        <v>36493567.754299998</v>
      </c>
      <c r="E11" s="7">
        <v>36493567.754299998</v>
      </c>
      <c r="F11" s="7">
        <f t="shared" si="0"/>
        <v>36493567.754299998</v>
      </c>
      <c r="G11" s="7">
        <v>36493567.754299998</v>
      </c>
      <c r="H11" s="7">
        <f t="shared" ref="H11" si="15">+(G11+I11)/2</f>
        <v>36130516.526950002</v>
      </c>
      <c r="I11" s="7">
        <v>35767465.299599998</v>
      </c>
      <c r="J11" s="7">
        <f t="shared" ref="J11" si="16">+(I11+K11)/2</f>
        <v>33486562.845341668</v>
      </c>
      <c r="K11" s="7">
        <v>31205660.391083337</v>
      </c>
      <c r="L11" s="7">
        <v>32707711.579233337</v>
      </c>
      <c r="M11" s="7">
        <v>32707711.579233337</v>
      </c>
      <c r="N11" s="7">
        <v>35423802.290166676</v>
      </c>
      <c r="O11" s="7">
        <v>35423802.290166676</v>
      </c>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row>
    <row r="12" spans="1:62" s="7" customFormat="1" x14ac:dyDescent="0.3">
      <c r="A12" s="7" t="s">
        <v>15</v>
      </c>
      <c r="B12" s="7" t="s">
        <v>24</v>
      </c>
      <c r="C12" s="7">
        <v>2402090.8511709999</v>
      </c>
      <c r="D12" s="7">
        <f t="shared" si="0"/>
        <v>2402090.8511709999</v>
      </c>
      <c r="E12" s="7">
        <v>2402090.8511709999</v>
      </c>
      <c r="F12" s="7">
        <f t="shared" si="0"/>
        <v>2402090.8511709999</v>
      </c>
      <c r="G12" s="7">
        <v>2402090.8511709999</v>
      </c>
      <c r="H12" s="7">
        <f t="shared" ref="H12" si="17">+(G12+I12)/2</f>
        <v>4191604.2975839996</v>
      </c>
      <c r="I12" s="7">
        <v>5981117.7439969992</v>
      </c>
      <c r="J12" s="7">
        <f t="shared" ref="J12" si="18">+(I12+K12)/2</f>
        <v>3778452.3664378328</v>
      </c>
      <c r="K12" s="7">
        <v>1575786.9888786662</v>
      </c>
      <c r="L12" s="7">
        <v>3938833.2734226664</v>
      </c>
      <c r="M12" s="7">
        <v>3938833.2734226664</v>
      </c>
      <c r="N12" s="7">
        <v>1418412.805656</v>
      </c>
      <c r="O12" s="7">
        <v>1418412.805656</v>
      </c>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row>
    <row r="13" spans="1:62" s="7" customFormat="1" x14ac:dyDescent="0.3">
      <c r="A13" s="7" t="s">
        <v>16</v>
      </c>
      <c r="B13" s="7" t="s">
        <v>24</v>
      </c>
      <c r="C13" s="7">
        <v>-99146.666666666657</v>
      </c>
      <c r="D13" s="7">
        <f t="shared" si="0"/>
        <v>-99146.666666666657</v>
      </c>
      <c r="E13" s="7">
        <v>-99146.666666666657</v>
      </c>
      <c r="F13" s="7">
        <f t="shared" si="0"/>
        <v>-99146.666666666657</v>
      </c>
      <c r="G13" s="7">
        <v>-99146.666666666657</v>
      </c>
      <c r="H13" s="7">
        <f t="shared" ref="H13" si="19">+(G13+I13)/2</f>
        <v>-110446.16916666666</v>
      </c>
      <c r="I13" s="7">
        <v>-121745.67166666665</v>
      </c>
      <c r="J13" s="7">
        <f t="shared" ref="J13" si="20">+(I13+K13)/2</f>
        <v>-100977.42416666666</v>
      </c>
      <c r="K13" s="7">
        <v>-80209.176666666666</v>
      </c>
      <c r="L13" s="7">
        <v>-9478.2783333333336</v>
      </c>
      <c r="M13" s="7">
        <v>-9478.2783333333336</v>
      </c>
      <c r="N13" s="7">
        <v>-30542.118749999994</v>
      </c>
      <c r="O13" s="7">
        <v>-30542.118749999994</v>
      </c>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row>
    <row r="14" spans="1:62" s="7" customFormat="1" x14ac:dyDescent="0.3">
      <c r="A14" s="7" t="s">
        <v>13</v>
      </c>
      <c r="B14" s="7" t="s">
        <v>24</v>
      </c>
      <c r="C14" s="7">
        <v>0</v>
      </c>
      <c r="D14" s="7">
        <f t="shared" si="0"/>
        <v>0</v>
      </c>
      <c r="E14" s="7">
        <v>0</v>
      </c>
      <c r="F14" s="7">
        <f t="shared" si="0"/>
        <v>0</v>
      </c>
      <c r="G14" s="7">
        <v>0</v>
      </c>
      <c r="H14" s="7">
        <f t="shared" ref="H14" si="21">+(G14+I14)/2</f>
        <v>0</v>
      </c>
      <c r="I14" s="7">
        <v>0</v>
      </c>
      <c r="J14" s="7">
        <f t="shared" ref="J14" si="22">+(I14+K14)/2</f>
        <v>0</v>
      </c>
      <c r="K14" s="7">
        <v>0</v>
      </c>
      <c r="L14" s="7">
        <v>0</v>
      </c>
      <c r="M14" s="7">
        <v>0</v>
      </c>
      <c r="N14" s="7">
        <v>-3126.3375000000001</v>
      </c>
      <c r="O14" s="7">
        <v>-3126.3375000000001</v>
      </c>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row>
    <row r="15" spans="1:62" s="7" customFormat="1" x14ac:dyDescent="0.3">
      <c r="A15" s="7" t="s">
        <v>22</v>
      </c>
      <c r="B15" s="7" t="s">
        <v>24</v>
      </c>
      <c r="C15" s="7">
        <v>-15259.529999999997</v>
      </c>
      <c r="D15" s="7">
        <f t="shared" si="0"/>
        <v>-15259.529999999997</v>
      </c>
      <c r="E15" s="7">
        <v>-15259.529999999997</v>
      </c>
      <c r="F15" s="7">
        <f t="shared" si="0"/>
        <v>-15259.529999999997</v>
      </c>
      <c r="G15" s="7">
        <v>-15259.529999999997</v>
      </c>
      <c r="H15" s="7">
        <f t="shared" ref="H15" si="23">+(G15+I15)/2</f>
        <v>-62620.325624999998</v>
      </c>
      <c r="I15" s="7">
        <v>-109981.12125</v>
      </c>
      <c r="J15" s="7">
        <f t="shared" ref="J15" si="24">+(I15+K15)/2</f>
        <v>-64228.301041666666</v>
      </c>
      <c r="K15" s="7">
        <v>-18475.480833333331</v>
      </c>
      <c r="L15" s="7">
        <v>-7253.9133333333339</v>
      </c>
      <c r="M15" s="7">
        <v>-7253.9133333333339</v>
      </c>
      <c r="N15" s="7">
        <v>-40077.716249999998</v>
      </c>
      <c r="O15" s="7">
        <v>-40077.716249999998</v>
      </c>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row>
    <row r="16" spans="1:62" s="8" customFormat="1" x14ac:dyDescent="0.3">
      <c r="B16" s="8" t="s">
        <v>25</v>
      </c>
      <c r="C16" s="8">
        <v>38781252.408804335</v>
      </c>
      <c r="D16" s="8">
        <f t="shared" si="0"/>
        <v>38781252.408804335</v>
      </c>
      <c r="E16" s="8">
        <v>38781252.408804335</v>
      </c>
      <c r="F16" s="8">
        <f t="shared" si="0"/>
        <v>38781252.408804335</v>
      </c>
      <c r="G16" s="8">
        <v>38781252.408804335</v>
      </c>
      <c r="H16" s="8">
        <f t="shared" ref="H16" si="25">+(G16+I16)/2</f>
        <v>40149054.329742327</v>
      </c>
      <c r="I16" s="8">
        <v>41516856.250680327</v>
      </c>
      <c r="J16" s="8">
        <f t="shared" ref="J16" si="26">+(I16+K16)/2</f>
        <v>37099809.486571163</v>
      </c>
      <c r="K16" s="8">
        <v>32682762.722462006</v>
      </c>
      <c r="L16" s="8">
        <v>36629812.660989337</v>
      </c>
      <c r="M16" s="8">
        <v>36629812.660989337</v>
      </c>
      <c r="N16" s="8">
        <v>36768468.923322678</v>
      </c>
      <c r="O16" s="8">
        <v>36768468.923322678</v>
      </c>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row>
    <row r="17" spans="1:62" s="7" customFormat="1" x14ac:dyDescent="0.3">
      <c r="A17" s="7" t="s">
        <v>15</v>
      </c>
      <c r="B17" s="7" t="s">
        <v>15</v>
      </c>
      <c r="C17" s="7">
        <v>0</v>
      </c>
      <c r="D17" s="7">
        <f t="shared" si="0"/>
        <v>0</v>
      </c>
      <c r="E17" s="7">
        <v>0</v>
      </c>
      <c r="F17" s="7">
        <f t="shared" si="0"/>
        <v>0</v>
      </c>
      <c r="G17" s="7">
        <v>0</v>
      </c>
      <c r="H17" s="7">
        <f t="shared" ref="H17" si="27">+(G17+I17)/2</f>
        <v>0</v>
      </c>
      <c r="I17" s="7">
        <v>0</v>
      </c>
      <c r="J17" s="7">
        <f t="shared" ref="J17" si="28">+(I17+K17)/2</f>
        <v>0</v>
      </c>
      <c r="K17" s="7">
        <v>0</v>
      </c>
      <c r="L17" s="7">
        <v>0</v>
      </c>
      <c r="M17" s="7">
        <v>0</v>
      </c>
      <c r="N17" s="7">
        <v>0</v>
      </c>
      <c r="O17" s="7">
        <v>0</v>
      </c>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row>
    <row r="18" spans="1:62" s="7" customFormat="1" x14ac:dyDescent="0.3">
      <c r="A18" s="7" t="s">
        <v>20</v>
      </c>
      <c r="B18" s="7" t="s">
        <v>15</v>
      </c>
      <c r="C18" s="7">
        <v>0</v>
      </c>
      <c r="D18" s="7">
        <f t="shared" si="0"/>
        <v>0</v>
      </c>
      <c r="E18" s="7">
        <v>0</v>
      </c>
      <c r="F18" s="7">
        <f t="shared" si="0"/>
        <v>0</v>
      </c>
      <c r="G18" s="7">
        <v>0</v>
      </c>
      <c r="H18" s="7">
        <f t="shared" ref="H18" si="29">+(G18+I18)/2</f>
        <v>0</v>
      </c>
      <c r="I18" s="7">
        <v>0</v>
      </c>
      <c r="J18" s="7">
        <f t="shared" ref="J18" si="30">+(I18+K18)/2</f>
        <v>264194.54804999998</v>
      </c>
      <c r="K18" s="7">
        <v>528389.09609999997</v>
      </c>
      <c r="L18" s="7">
        <v>1404719.5637145001</v>
      </c>
      <c r="M18" s="7">
        <v>1404719.5637145001</v>
      </c>
      <c r="N18" s="7">
        <v>188016.56284649996</v>
      </c>
      <c r="O18" s="7">
        <v>188016.56284649996</v>
      </c>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row>
    <row r="19" spans="1:62" s="7" customFormat="1" x14ac:dyDescent="0.3">
      <c r="A19" s="7" t="s">
        <v>24</v>
      </c>
      <c r="B19" s="7" t="s">
        <v>15</v>
      </c>
      <c r="C19" s="7">
        <v>6993798.6000666665</v>
      </c>
      <c r="D19" s="7">
        <f t="shared" si="0"/>
        <v>6993798.6000666665</v>
      </c>
      <c r="E19" s="7">
        <v>6993798.6000666665</v>
      </c>
      <c r="F19" s="7">
        <f t="shared" si="0"/>
        <v>6993798.6000666665</v>
      </c>
      <c r="G19" s="7">
        <v>6993798.6000666665</v>
      </c>
      <c r="H19" s="7">
        <f t="shared" ref="H19" si="31">+(G19+I19)/2</f>
        <v>4650848.6423666663</v>
      </c>
      <c r="I19" s="7">
        <v>2307898.6846666667</v>
      </c>
      <c r="J19" s="7">
        <f t="shared" ref="J19" si="32">+(I19+K19)/2</f>
        <v>1997664.4851166666</v>
      </c>
      <c r="K19" s="7">
        <v>1687430.2855666666</v>
      </c>
      <c r="L19" s="7">
        <v>810965.55452549993</v>
      </c>
      <c r="M19" s="7">
        <v>810965.55452549993</v>
      </c>
      <c r="N19" s="7">
        <v>1142256.295257</v>
      </c>
      <c r="O19" s="7">
        <v>1142256.295257</v>
      </c>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row>
    <row r="20" spans="1:62" s="7" customFormat="1" x14ac:dyDescent="0.3">
      <c r="A20" s="7" t="s">
        <v>16</v>
      </c>
      <c r="B20" s="7" t="s">
        <v>15</v>
      </c>
      <c r="C20" s="7">
        <v>-85.363420999999988</v>
      </c>
      <c r="D20" s="7">
        <f t="shared" si="0"/>
        <v>-85.363420999999988</v>
      </c>
      <c r="E20" s="7">
        <v>-85.363420999999988</v>
      </c>
      <c r="F20" s="7">
        <f t="shared" si="0"/>
        <v>-85.363420999999988</v>
      </c>
      <c r="G20" s="7">
        <v>-85.363420999999988</v>
      </c>
      <c r="H20" s="7">
        <f t="shared" ref="H20" si="33">+(G20+I20)/2</f>
        <v>-8051.6787266666652</v>
      </c>
      <c r="I20" s="7">
        <v>-16017.99403233333</v>
      </c>
      <c r="J20" s="7">
        <f t="shared" ref="J20" si="34">+(I20+K20)/2</f>
        <v>-10239.869120249998</v>
      </c>
      <c r="K20" s="7">
        <v>-4461.7442081666659</v>
      </c>
      <c r="L20" s="7">
        <v>-499.89117749999997</v>
      </c>
      <c r="M20" s="7">
        <v>-499.89117749999997</v>
      </c>
      <c r="N20" s="7">
        <v>-14729.091662999997</v>
      </c>
      <c r="O20" s="7">
        <v>-14729.091662999997</v>
      </c>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row>
    <row r="21" spans="1:62" s="7" customFormat="1" x14ac:dyDescent="0.3">
      <c r="A21" s="7" t="s">
        <v>13</v>
      </c>
      <c r="B21" s="7" t="s">
        <v>15</v>
      </c>
      <c r="C21" s="7">
        <v>0</v>
      </c>
      <c r="D21" s="7">
        <f t="shared" si="0"/>
        <v>0</v>
      </c>
      <c r="E21" s="7">
        <v>0</v>
      </c>
      <c r="F21" s="7">
        <f t="shared" si="0"/>
        <v>0</v>
      </c>
      <c r="G21" s="7">
        <v>0</v>
      </c>
      <c r="H21" s="7">
        <f t="shared" ref="H21" si="35">+(G21+I21)/2</f>
        <v>0</v>
      </c>
      <c r="I21" s="7">
        <v>0</v>
      </c>
      <c r="J21" s="7">
        <f t="shared" ref="J21" si="36">+(I21+K21)/2</f>
        <v>0</v>
      </c>
      <c r="K21" s="7">
        <v>0</v>
      </c>
      <c r="L21" s="7">
        <v>0</v>
      </c>
      <c r="M21" s="7">
        <v>0</v>
      </c>
      <c r="N21" s="7">
        <v>0</v>
      </c>
      <c r="O21" s="7">
        <v>0</v>
      </c>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row>
    <row r="22" spans="1:62" s="7" customFormat="1" x14ac:dyDescent="0.3">
      <c r="A22" s="7" t="s">
        <v>22</v>
      </c>
      <c r="B22" s="7" t="s">
        <v>15</v>
      </c>
      <c r="C22" s="7">
        <v>-25417.167599999997</v>
      </c>
      <c r="D22" s="7">
        <f t="shared" si="0"/>
        <v>-25417.167599999997</v>
      </c>
      <c r="E22" s="7">
        <v>-25417.167599999997</v>
      </c>
      <c r="F22" s="7">
        <f t="shared" si="0"/>
        <v>-25417.167599999997</v>
      </c>
      <c r="G22" s="7">
        <v>-25417.167599999997</v>
      </c>
      <c r="H22" s="7">
        <f t="shared" ref="H22" si="37">+(G22+I22)/2</f>
        <v>-28009.991533333327</v>
      </c>
      <c r="I22" s="7">
        <v>-30602.81546666666</v>
      </c>
      <c r="J22" s="7">
        <f t="shared" ref="J22" si="38">+(I22+K22)/2</f>
        <v>-26664.188833333326</v>
      </c>
      <c r="K22" s="7">
        <v>-22725.562199999997</v>
      </c>
      <c r="L22" s="7">
        <v>-2124.2892366666665</v>
      </c>
      <c r="M22" s="7">
        <v>-2124.2892366666665</v>
      </c>
      <c r="N22" s="7">
        <v>-15885.947751666663</v>
      </c>
      <c r="O22" s="7">
        <v>-15885.947751666663</v>
      </c>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row>
    <row r="23" spans="1:62" s="8" customFormat="1" x14ac:dyDescent="0.3">
      <c r="B23" s="8" t="s">
        <v>26</v>
      </c>
      <c r="C23" s="8">
        <v>6968296.0690456703</v>
      </c>
      <c r="D23" s="8">
        <f t="shared" si="0"/>
        <v>6968296.0690456685</v>
      </c>
      <c r="E23" s="8">
        <v>6968296.0690456666</v>
      </c>
      <c r="F23" s="8">
        <f t="shared" si="0"/>
        <v>6968296.0690456666</v>
      </c>
      <c r="G23" s="8">
        <v>6968296.0690456666</v>
      </c>
      <c r="H23" s="8">
        <f t="shared" ref="H23" si="39">+(G23+I23)/2</f>
        <v>4614786.9721066672</v>
      </c>
      <c r="I23" s="8">
        <v>2261277.8751676669</v>
      </c>
      <c r="J23" s="8">
        <f t="shared" ref="J23" si="40">+(I23+K23)/2</f>
        <v>2224954.9752130834</v>
      </c>
      <c r="K23" s="8">
        <v>2188632.0752584999</v>
      </c>
      <c r="L23" s="8">
        <v>2213060.937825833</v>
      </c>
      <c r="M23" s="8">
        <v>2213060.937825833</v>
      </c>
      <c r="N23" s="8">
        <v>1299657.8186888334</v>
      </c>
      <c r="O23" s="8">
        <v>1299657.8186888334</v>
      </c>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row>
    <row r="24" spans="1:62" s="7" customFormat="1" x14ac:dyDescent="0.3">
      <c r="A24" s="7" t="s">
        <v>16</v>
      </c>
      <c r="B24" s="7" t="s">
        <v>16</v>
      </c>
      <c r="C24" s="7">
        <v>0</v>
      </c>
      <c r="D24" s="7">
        <f t="shared" si="0"/>
        <v>0</v>
      </c>
      <c r="E24" s="7">
        <v>0</v>
      </c>
      <c r="F24" s="7">
        <f t="shared" si="0"/>
        <v>0</v>
      </c>
      <c r="G24" s="7">
        <v>0</v>
      </c>
      <c r="H24" s="7">
        <f t="shared" ref="H24" si="41">+(G24+I24)/2</f>
        <v>0</v>
      </c>
      <c r="I24" s="7">
        <v>0</v>
      </c>
      <c r="J24" s="7">
        <f t="shared" ref="J24" si="42">+(I24+K24)/2</f>
        <v>0</v>
      </c>
      <c r="K24" s="7">
        <v>0</v>
      </c>
      <c r="L24" s="7">
        <v>0</v>
      </c>
      <c r="M24" s="7">
        <v>0</v>
      </c>
      <c r="N24" s="7">
        <v>0</v>
      </c>
      <c r="O24" s="7">
        <v>0</v>
      </c>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row>
    <row r="25" spans="1:62" s="7" customFormat="1" x14ac:dyDescent="0.3">
      <c r="A25" s="7" t="s">
        <v>20</v>
      </c>
      <c r="B25" s="7" t="s">
        <v>16</v>
      </c>
      <c r="C25" s="7">
        <v>0</v>
      </c>
      <c r="D25" s="7">
        <f t="shared" si="0"/>
        <v>0</v>
      </c>
      <c r="E25" s="7">
        <v>0</v>
      </c>
      <c r="F25" s="7">
        <f t="shared" si="0"/>
        <v>0</v>
      </c>
      <c r="G25" s="7">
        <v>0</v>
      </c>
      <c r="H25" s="7">
        <f t="shared" ref="H25" si="43">+(G25+I25)/2</f>
        <v>0</v>
      </c>
      <c r="I25" s="7">
        <v>0</v>
      </c>
      <c r="J25" s="7">
        <f t="shared" ref="J25" si="44">+(I25+K25)/2</f>
        <v>0</v>
      </c>
      <c r="K25" s="7">
        <v>0</v>
      </c>
      <c r="L25" s="7">
        <v>0</v>
      </c>
      <c r="M25" s="7">
        <v>0</v>
      </c>
      <c r="N25" s="7">
        <v>2265.2626919999998</v>
      </c>
      <c r="O25" s="7">
        <v>2265.2626919999998</v>
      </c>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row>
    <row r="26" spans="1:62" s="7" customFormat="1" x14ac:dyDescent="0.3">
      <c r="A26" s="7" t="s">
        <v>24</v>
      </c>
      <c r="B26" s="7" t="s">
        <v>16</v>
      </c>
      <c r="C26" s="7">
        <v>827383.69999999984</v>
      </c>
      <c r="D26" s="7">
        <f t="shared" si="0"/>
        <v>827383.69999999984</v>
      </c>
      <c r="E26" s="7">
        <v>827383.69999999984</v>
      </c>
      <c r="F26" s="7">
        <f t="shared" si="0"/>
        <v>827383.69999999984</v>
      </c>
      <c r="G26" s="7">
        <v>827383.69999999984</v>
      </c>
      <c r="H26" s="7">
        <f t="shared" ref="H26" si="45">+(G26+I26)/2</f>
        <v>602168.23333333316</v>
      </c>
      <c r="I26" s="7">
        <v>376952.7666666666</v>
      </c>
      <c r="J26" s="7">
        <f t="shared" ref="J26" si="46">+(I26+K26)/2</f>
        <v>610692.22499999986</v>
      </c>
      <c r="K26" s="7">
        <v>844431.68333333323</v>
      </c>
      <c r="L26" s="7">
        <v>2521.5666666666662</v>
      </c>
      <c r="M26" s="7">
        <v>2521.5666666666662</v>
      </c>
      <c r="N26" s="7">
        <v>226.41666666666663</v>
      </c>
      <c r="O26" s="7">
        <v>226.41666666666663</v>
      </c>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row>
    <row r="27" spans="1:62" s="7" customFormat="1" x14ac:dyDescent="0.3">
      <c r="A27" s="7" t="s">
        <v>15</v>
      </c>
      <c r="B27" s="7" t="s">
        <v>16</v>
      </c>
      <c r="C27" s="7">
        <v>11936.495999999997</v>
      </c>
      <c r="D27" s="7">
        <f t="shared" si="0"/>
        <v>11936.495999999997</v>
      </c>
      <c r="E27" s="7">
        <v>11936.495999999997</v>
      </c>
      <c r="F27" s="7">
        <f t="shared" si="0"/>
        <v>11936.495999999997</v>
      </c>
      <c r="G27" s="7">
        <v>11936.495999999997</v>
      </c>
      <c r="H27" s="7">
        <f t="shared" ref="H27" si="47">+(G27+I27)/2</f>
        <v>11502.215999999999</v>
      </c>
      <c r="I27" s="7">
        <v>11067.936</v>
      </c>
      <c r="J27" s="7">
        <f t="shared" ref="J27" si="48">+(I27+K27)/2</f>
        <v>7209.0479999999998</v>
      </c>
      <c r="K27" s="7">
        <v>3350.16</v>
      </c>
      <c r="L27" s="7">
        <v>99.263999999999982</v>
      </c>
      <c r="M27" s="7">
        <v>99.263999999999982</v>
      </c>
      <c r="N27" s="7">
        <v>347.42399999999998</v>
      </c>
      <c r="O27" s="7">
        <v>347.42399999999998</v>
      </c>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row>
    <row r="28" spans="1:62" s="7" customFormat="1" x14ac:dyDescent="0.3">
      <c r="A28" s="7" t="s">
        <v>13</v>
      </c>
      <c r="B28" s="7" t="s">
        <v>16</v>
      </c>
      <c r="C28" s="7">
        <v>0</v>
      </c>
      <c r="D28" s="7">
        <f t="shared" si="0"/>
        <v>0</v>
      </c>
      <c r="E28" s="7">
        <v>0</v>
      </c>
      <c r="F28" s="7">
        <f t="shared" si="0"/>
        <v>0</v>
      </c>
      <c r="G28" s="7">
        <v>0</v>
      </c>
      <c r="H28" s="7">
        <f t="shared" ref="H28" si="49">+(G28+I28)/2</f>
        <v>0</v>
      </c>
      <c r="I28" s="7">
        <v>0</v>
      </c>
      <c r="J28" s="7">
        <f t="shared" ref="J28" si="50">+(I28+K28)/2</f>
        <v>0</v>
      </c>
      <c r="K28" s="7">
        <v>0</v>
      </c>
      <c r="L28" s="7">
        <v>0</v>
      </c>
      <c r="M28" s="7">
        <v>0</v>
      </c>
      <c r="N28" s="7">
        <v>0</v>
      </c>
      <c r="O28" s="7">
        <v>0</v>
      </c>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row>
    <row r="29" spans="1:62" s="7" customFormat="1" x14ac:dyDescent="0.3">
      <c r="A29" s="7" t="s">
        <v>22</v>
      </c>
      <c r="B29" s="7" t="s">
        <v>16</v>
      </c>
      <c r="C29" s="7">
        <v>0</v>
      </c>
      <c r="D29" s="7">
        <f t="shared" si="0"/>
        <v>0</v>
      </c>
      <c r="E29" s="7">
        <v>0</v>
      </c>
      <c r="F29" s="7">
        <f t="shared" si="0"/>
        <v>0</v>
      </c>
      <c r="G29" s="7">
        <v>0</v>
      </c>
      <c r="H29" s="7">
        <f t="shared" ref="H29" si="51">+(G29+I29)/2</f>
        <v>0</v>
      </c>
      <c r="I29" s="7">
        <v>0</v>
      </c>
      <c r="J29" s="7">
        <f t="shared" ref="J29" si="52">+(I29+K29)/2</f>
        <v>0</v>
      </c>
      <c r="K29" s="7">
        <v>0</v>
      </c>
      <c r="L29" s="7">
        <v>0</v>
      </c>
      <c r="M29" s="7">
        <v>0</v>
      </c>
      <c r="N29" s="7">
        <v>0</v>
      </c>
      <c r="O29" s="7">
        <v>0</v>
      </c>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row>
    <row r="30" spans="1:62" s="8" customFormat="1" x14ac:dyDescent="0.3">
      <c r="B30" s="8" t="s">
        <v>27</v>
      </c>
      <c r="C30" s="8">
        <v>839320.19599999988</v>
      </c>
      <c r="D30" s="8">
        <f t="shared" si="0"/>
        <v>839320.19599999988</v>
      </c>
      <c r="E30" s="8">
        <v>839320.19599999988</v>
      </c>
      <c r="F30" s="8">
        <f t="shared" si="0"/>
        <v>839320.19599999988</v>
      </c>
      <c r="G30" s="8">
        <v>839320.19599999988</v>
      </c>
      <c r="H30" s="8">
        <f t="shared" ref="H30" si="53">+(G30+I30)/2</f>
        <v>613670.44933333318</v>
      </c>
      <c r="I30" s="8">
        <v>388020.70266666659</v>
      </c>
      <c r="J30" s="8">
        <f t="shared" ref="J30" si="54">+(I30+K30)/2</f>
        <v>617901.27299999993</v>
      </c>
      <c r="K30" s="8">
        <v>847781.84333333327</v>
      </c>
      <c r="L30" s="8">
        <v>2620.8306666666663</v>
      </c>
      <c r="M30" s="8">
        <v>2620.8306666666663</v>
      </c>
      <c r="N30" s="8">
        <v>2839.1033586666663</v>
      </c>
      <c r="O30" s="8">
        <v>2839.1033586666663</v>
      </c>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row>
    <row r="31" spans="1:62" s="7" customFormat="1" x14ac:dyDescent="0.3">
      <c r="A31" s="7" t="s">
        <v>13</v>
      </c>
      <c r="B31" s="7" t="s">
        <v>13</v>
      </c>
      <c r="C31" s="7">
        <v>0</v>
      </c>
      <c r="D31" s="7">
        <f t="shared" si="0"/>
        <v>0</v>
      </c>
      <c r="E31" s="7">
        <v>0</v>
      </c>
      <c r="F31" s="7">
        <f t="shared" si="0"/>
        <v>0</v>
      </c>
      <c r="G31" s="7">
        <v>0</v>
      </c>
      <c r="H31" s="7">
        <f t="shared" ref="H31" si="55">+(G31+I31)/2</f>
        <v>0</v>
      </c>
      <c r="I31" s="7">
        <v>0</v>
      </c>
      <c r="J31" s="7">
        <f t="shared" ref="J31" si="56">+(I31+K31)/2</f>
        <v>0</v>
      </c>
      <c r="K31" s="7">
        <v>0</v>
      </c>
      <c r="L31" s="7">
        <v>0</v>
      </c>
      <c r="M31" s="7">
        <v>0</v>
      </c>
      <c r="N31" s="7">
        <v>0</v>
      </c>
      <c r="O31" s="7">
        <v>0</v>
      </c>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row>
    <row r="32" spans="1:62" s="7" customFormat="1" x14ac:dyDescent="0.3">
      <c r="A32" s="7" t="s">
        <v>20</v>
      </c>
      <c r="B32" s="7" t="s">
        <v>13</v>
      </c>
      <c r="C32" s="7">
        <v>184235.61129999999</v>
      </c>
      <c r="D32" s="7">
        <f t="shared" si="0"/>
        <v>184235.61129999999</v>
      </c>
      <c r="E32" s="7">
        <v>184235.61129999999</v>
      </c>
      <c r="F32" s="7">
        <f t="shared" si="0"/>
        <v>184235.61129999999</v>
      </c>
      <c r="G32" s="7">
        <v>184235.61129999999</v>
      </c>
      <c r="H32" s="7">
        <f t="shared" ref="H32" si="57">+(G32+I32)/2</f>
        <v>164909.74565</v>
      </c>
      <c r="I32" s="7">
        <v>145583.88</v>
      </c>
      <c r="J32" s="7">
        <f t="shared" ref="J32" si="58">+(I32+K32)/2</f>
        <v>194429.70869999999</v>
      </c>
      <c r="K32" s="7">
        <v>243275.53739999997</v>
      </c>
      <c r="L32" s="7">
        <v>1053094.2143999999</v>
      </c>
      <c r="M32" s="7">
        <v>1053094.2143999999</v>
      </c>
      <c r="N32" s="7">
        <v>828157.1114666668</v>
      </c>
      <c r="O32" s="7">
        <v>828157.1114666668</v>
      </c>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row>
    <row r="33" spans="1:62" s="7" customFormat="1" x14ac:dyDescent="0.3">
      <c r="A33" s="7" t="s">
        <v>24</v>
      </c>
      <c r="B33" s="7" t="s">
        <v>13</v>
      </c>
      <c r="C33" s="7">
        <v>2310026.7666666666</v>
      </c>
      <c r="D33" s="7">
        <f t="shared" si="0"/>
        <v>2310026.7666666666</v>
      </c>
      <c r="E33" s="7">
        <v>2310026.7666666666</v>
      </c>
      <c r="F33" s="7">
        <f t="shared" si="0"/>
        <v>2310026.7666666666</v>
      </c>
      <c r="G33" s="7">
        <v>2310026.7666666666</v>
      </c>
      <c r="H33" s="7">
        <f t="shared" ref="H33" si="59">+(G33+I33)/2</f>
        <v>1431493.1583333332</v>
      </c>
      <c r="I33" s="7">
        <v>552959.54999999993</v>
      </c>
      <c r="J33" s="7">
        <f t="shared" ref="J33" si="60">+(I33+K33)/2</f>
        <v>1970910.6083333332</v>
      </c>
      <c r="K33" s="7">
        <v>3388861.6666666665</v>
      </c>
      <c r="L33" s="7">
        <v>756477.14999999991</v>
      </c>
      <c r="M33" s="7">
        <v>756477.14999999991</v>
      </c>
      <c r="N33" s="7">
        <v>2859404.166666666</v>
      </c>
      <c r="O33" s="7">
        <v>2859404.166666666</v>
      </c>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row>
    <row r="34" spans="1:62" s="7" customFormat="1" x14ac:dyDescent="0.3">
      <c r="A34" s="7" t="s">
        <v>15</v>
      </c>
      <c r="B34" s="7" t="s">
        <v>13</v>
      </c>
      <c r="C34" s="7">
        <v>78376.574602333334</v>
      </c>
      <c r="D34" s="7">
        <f t="shared" si="0"/>
        <v>78376.574602333334</v>
      </c>
      <c r="E34" s="7">
        <v>78376.574602333334</v>
      </c>
      <c r="F34" s="7">
        <f t="shared" si="0"/>
        <v>78376.574602333334</v>
      </c>
      <c r="G34" s="7">
        <v>78376.574602333334</v>
      </c>
      <c r="H34" s="7">
        <f t="shared" ref="H34" si="61">+(G34+I34)/2</f>
        <v>58781.33176666667</v>
      </c>
      <c r="I34" s="7">
        <v>39186.088930999998</v>
      </c>
      <c r="J34" s="7">
        <f t="shared" ref="J34" si="62">+(I34+K34)/2</f>
        <v>36954.661181166666</v>
      </c>
      <c r="K34" s="7">
        <v>34723.233431333334</v>
      </c>
      <c r="L34" s="7">
        <v>31348.879726999996</v>
      </c>
      <c r="M34" s="7">
        <v>31348.879726999996</v>
      </c>
      <c r="N34" s="7">
        <v>266883.67199999996</v>
      </c>
      <c r="O34" s="7">
        <v>266883.67199999996</v>
      </c>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row>
    <row r="35" spans="1:62" s="7" customFormat="1" x14ac:dyDescent="0.3">
      <c r="A35" s="7" t="s">
        <v>16</v>
      </c>
      <c r="B35" s="7" t="s">
        <v>13</v>
      </c>
      <c r="C35" s="7">
        <v>0</v>
      </c>
      <c r="D35" s="7">
        <f t="shared" si="0"/>
        <v>0</v>
      </c>
      <c r="E35" s="7">
        <v>0</v>
      </c>
      <c r="F35" s="7">
        <f t="shared" si="0"/>
        <v>0</v>
      </c>
      <c r="G35" s="7">
        <v>0</v>
      </c>
      <c r="H35" s="7">
        <f t="shared" ref="H35" si="63">+(G35+I35)/2</f>
        <v>0</v>
      </c>
      <c r="I35" s="7">
        <v>0</v>
      </c>
      <c r="J35" s="7">
        <f t="shared" ref="J35" si="64">+(I35+K35)/2</f>
        <v>0</v>
      </c>
      <c r="K35" s="7">
        <v>0</v>
      </c>
      <c r="L35" s="7">
        <v>0</v>
      </c>
      <c r="M35" s="7">
        <v>0</v>
      </c>
      <c r="N35" s="7">
        <v>0</v>
      </c>
      <c r="O35" s="7">
        <v>0</v>
      </c>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row>
    <row r="36" spans="1:62" s="7" customFormat="1" x14ac:dyDescent="0.3">
      <c r="A36" s="7" t="s">
        <v>22</v>
      </c>
      <c r="B36" s="7" t="s">
        <v>13</v>
      </c>
      <c r="C36" s="7">
        <v>0</v>
      </c>
      <c r="D36" s="7">
        <f t="shared" si="0"/>
        <v>0</v>
      </c>
      <c r="E36" s="7">
        <v>0</v>
      </c>
      <c r="F36" s="7">
        <f t="shared" si="0"/>
        <v>0</v>
      </c>
      <c r="G36" s="7">
        <v>0</v>
      </c>
      <c r="H36" s="7">
        <f t="shared" ref="H36" si="65">+(G36+I36)/2</f>
        <v>0</v>
      </c>
      <c r="I36" s="7">
        <v>0</v>
      </c>
      <c r="J36" s="7">
        <f t="shared" ref="J36" si="66">+(I36+K36)/2</f>
        <v>0</v>
      </c>
      <c r="K36" s="7">
        <v>0</v>
      </c>
      <c r="L36" s="7">
        <v>0</v>
      </c>
      <c r="M36" s="7">
        <v>0</v>
      </c>
      <c r="N36" s="7">
        <v>0</v>
      </c>
      <c r="O36" s="7">
        <v>0</v>
      </c>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row>
    <row r="37" spans="1:62" s="8" customFormat="1" x14ac:dyDescent="0.3">
      <c r="B37" s="8" t="s">
        <v>28</v>
      </c>
      <c r="C37" s="8">
        <v>2572638.952569</v>
      </c>
      <c r="D37" s="8">
        <f t="shared" si="0"/>
        <v>2572638.952569</v>
      </c>
      <c r="E37" s="8">
        <v>2572638.952569</v>
      </c>
      <c r="F37" s="8">
        <f t="shared" si="0"/>
        <v>2572638.952569</v>
      </c>
      <c r="G37" s="8">
        <v>2572638.952569</v>
      </c>
      <c r="H37" s="8">
        <f t="shared" ref="H37" si="67">+(G37+I37)/2</f>
        <v>1655184.23575</v>
      </c>
      <c r="I37" s="8">
        <v>737729.51893099991</v>
      </c>
      <c r="J37" s="8">
        <f t="shared" ref="J37" si="68">+(I37+K37)/2</f>
        <v>2202294.9782144995</v>
      </c>
      <c r="K37" s="8">
        <v>3666860.4374979995</v>
      </c>
      <c r="L37" s="8">
        <v>1840920.2441269998</v>
      </c>
      <c r="M37" s="8">
        <v>1840920.2441269998</v>
      </c>
      <c r="N37" s="8">
        <v>3954444.9501333325</v>
      </c>
      <c r="O37" s="8">
        <v>3954444.9501333325</v>
      </c>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row>
    <row r="38" spans="1:62" s="7" customFormat="1" x14ac:dyDescent="0.3">
      <c r="A38" s="7" t="s">
        <v>22</v>
      </c>
      <c r="B38" s="7" t="s">
        <v>29</v>
      </c>
      <c r="C38" s="7">
        <v>0</v>
      </c>
      <c r="D38" s="7">
        <f t="shared" si="0"/>
        <v>0</v>
      </c>
      <c r="E38" s="7">
        <v>0</v>
      </c>
      <c r="F38" s="7">
        <f t="shared" si="0"/>
        <v>0</v>
      </c>
      <c r="G38" s="7">
        <v>0</v>
      </c>
      <c r="H38" s="7">
        <f t="shared" ref="H38" si="69">+(G38+I38)/2</f>
        <v>0</v>
      </c>
      <c r="I38" s="7">
        <v>0</v>
      </c>
      <c r="J38" s="7">
        <f t="shared" ref="J38" si="70">+(I38+K38)/2</f>
        <v>0</v>
      </c>
      <c r="K38" s="7">
        <v>0</v>
      </c>
      <c r="L38" s="7">
        <v>0</v>
      </c>
      <c r="M38" s="7">
        <v>0</v>
      </c>
      <c r="N38" s="7">
        <v>0</v>
      </c>
      <c r="O38" s="7">
        <v>0</v>
      </c>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row>
    <row r="39" spans="1:62" s="7" customFormat="1" x14ac:dyDescent="0.3">
      <c r="A39" s="7" t="s">
        <v>20</v>
      </c>
      <c r="B39" s="7" t="s">
        <v>29</v>
      </c>
      <c r="C39" s="7">
        <v>198576.33564999999</v>
      </c>
      <c r="D39" s="7">
        <f t="shared" si="0"/>
        <v>198576.33564999999</v>
      </c>
      <c r="E39" s="7">
        <v>198576.33564999999</v>
      </c>
      <c r="F39" s="7">
        <f t="shared" si="0"/>
        <v>198576.33564999999</v>
      </c>
      <c r="G39" s="7">
        <v>198576.33564999999</v>
      </c>
      <c r="H39" s="7">
        <f t="shared" ref="H39" si="71">+(G39+I39)/2</f>
        <v>491091.54624199989</v>
      </c>
      <c r="I39" s="7">
        <v>783606.75683399977</v>
      </c>
      <c r="J39" s="7">
        <f t="shared" ref="J39" si="72">+(I39+K39)/2</f>
        <v>755002.44012599974</v>
      </c>
      <c r="K39" s="7">
        <v>726398.12341799983</v>
      </c>
      <c r="L39" s="7">
        <v>606983.76378933317</v>
      </c>
      <c r="M39" s="7">
        <v>606983.76378933317</v>
      </c>
      <c r="N39" s="7">
        <v>161215.68214399996</v>
      </c>
      <c r="O39" s="7">
        <v>161215.68214399996</v>
      </c>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row>
    <row r="40" spans="1:62" s="7" customFormat="1" x14ac:dyDescent="0.3">
      <c r="A40" s="7" t="s">
        <v>24</v>
      </c>
      <c r="B40" s="7" t="s">
        <v>29</v>
      </c>
      <c r="C40" s="7">
        <v>806001.625</v>
      </c>
      <c r="D40" s="7">
        <f t="shared" si="0"/>
        <v>806001.625</v>
      </c>
      <c r="E40" s="7">
        <v>806001.625</v>
      </c>
      <c r="F40" s="7">
        <f t="shared" si="0"/>
        <v>806001.625</v>
      </c>
      <c r="G40" s="7">
        <v>806001.625</v>
      </c>
      <c r="H40" s="7">
        <f t="shared" ref="H40" si="73">+(G40+I40)/2</f>
        <v>657488.97499999998</v>
      </c>
      <c r="I40" s="7">
        <v>508976.3249999999</v>
      </c>
      <c r="J40" s="7">
        <f t="shared" ref="J40" si="74">+(I40+K40)/2</f>
        <v>887978.16249999998</v>
      </c>
      <c r="K40" s="7">
        <v>1266980</v>
      </c>
      <c r="L40" s="7">
        <v>46815.816666666666</v>
      </c>
      <c r="M40" s="7">
        <v>46815.816666666666</v>
      </c>
      <c r="N40" s="7">
        <v>558441.21666666667</v>
      </c>
      <c r="O40" s="7">
        <v>558441.21666666667</v>
      </c>
      <c r="P40"/>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row>
    <row r="41" spans="1:62" s="7" customFormat="1" x14ac:dyDescent="0.3">
      <c r="A41" s="7" t="s">
        <v>15</v>
      </c>
      <c r="B41" s="7" t="s">
        <v>29</v>
      </c>
      <c r="C41" s="7">
        <v>90802.522601999983</v>
      </c>
      <c r="D41" s="7">
        <f t="shared" si="0"/>
        <v>90802.522601999983</v>
      </c>
      <c r="E41" s="7">
        <v>90802.522601999983</v>
      </c>
      <c r="F41" s="7">
        <f t="shared" si="0"/>
        <v>90802.522601999983</v>
      </c>
      <c r="G41" s="7">
        <v>90802.522601999983</v>
      </c>
      <c r="H41" s="7">
        <f t="shared" ref="H41" si="75">+(G41+I41)/2</f>
        <v>156108.88052099998</v>
      </c>
      <c r="I41" s="7">
        <v>221415.23843999999</v>
      </c>
      <c r="J41" s="7">
        <f t="shared" ref="J41" si="76">+(I41+K41)/2</f>
        <v>133554.06360266666</v>
      </c>
      <c r="K41" s="7">
        <v>45692.888765333322</v>
      </c>
      <c r="L41" s="7">
        <v>61781.418313999995</v>
      </c>
      <c r="M41" s="7">
        <v>61781.418313999995</v>
      </c>
      <c r="N41" s="7">
        <v>64205.885333333317</v>
      </c>
      <c r="O41" s="7">
        <v>64205.885333333317</v>
      </c>
      <c r="P4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row>
    <row r="42" spans="1:62" s="7" customFormat="1" x14ac:dyDescent="0.3">
      <c r="A42" s="7" t="s">
        <v>16</v>
      </c>
      <c r="B42" s="7" t="s">
        <v>29</v>
      </c>
      <c r="C42" s="7">
        <v>0</v>
      </c>
      <c r="D42" s="7">
        <f t="shared" si="0"/>
        <v>0</v>
      </c>
      <c r="E42" s="7">
        <v>0</v>
      </c>
      <c r="F42" s="7">
        <f t="shared" si="0"/>
        <v>0</v>
      </c>
      <c r="G42" s="7">
        <v>0</v>
      </c>
      <c r="H42" s="7">
        <f t="shared" ref="H42" si="77">+(G42+I42)/2</f>
        <v>0</v>
      </c>
      <c r="I42" s="7">
        <v>0</v>
      </c>
      <c r="J42" s="7">
        <f t="shared" ref="J42" si="78">+(I42+K42)/2</f>
        <v>0</v>
      </c>
      <c r="K42" s="7">
        <v>0</v>
      </c>
      <c r="L42" s="7">
        <v>0</v>
      </c>
      <c r="M42" s="7">
        <v>0</v>
      </c>
      <c r="N42" s="7">
        <v>0</v>
      </c>
      <c r="O42" s="7">
        <v>0</v>
      </c>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row>
    <row r="43" spans="1:62" s="7" customFormat="1" x14ac:dyDescent="0.3">
      <c r="A43" s="7" t="s">
        <v>13</v>
      </c>
      <c r="B43" s="7" t="s">
        <v>29</v>
      </c>
      <c r="C43" s="7">
        <v>0</v>
      </c>
      <c r="D43" s="7">
        <f t="shared" si="0"/>
        <v>0</v>
      </c>
      <c r="E43" s="7">
        <v>0</v>
      </c>
      <c r="F43" s="7">
        <f t="shared" si="0"/>
        <v>0</v>
      </c>
      <c r="G43" s="7">
        <v>0</v>
      </c>
      <c r="H43" s="7">
        <f t="shared" ref="H43" si="79">+(G43+I43)/2</f>
        <v>0</v>
      </c>
      <c r="I43" s="7">
        <v>0</v>
      </c>
      <c r="J43" s="7">
        <f t="shared" ref="J43" si="80">+(I43+K43)/2</f>
        <v>0</v>
      </c>
      <c r="K43" s="7">
        <v>0</v>
      </c>
      <c r="L43" s="7">
        <v>0</v>
      </c>
      <c r="M43" s="7">
        <v>0</v>
      </c>
      <c r="N43" s="7">
        <v>0</v>
      </c>
      <c r="O43" s="7">
        <v>0</v>
      </c>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row>
    <row r="44" spans="1:62" s="8" customFormat="1" x14ac:dyDescent="0.3">
      <c r="B44" s="8" t="s">
        <v>30</v>
      </c>
      <c r="C44" s="8">
        <v>1095380.4832520001</v>
      </c>
      <c r="D44" s="8">
        <f t="shared" si="0"/>
        <v>1095380.4832520001</v>
      </c>
      <c r="E44" s="8">
        <v>1095380.4832520001</v>
      </c>
      <c r="F44" s="8">
        <f t="shared" si="0"/>
        <v>1095380.4832520001</v>
      </c>
      <c r="G44" s="8">
        <v>1095380.4832520001</v>
      </c>
      <c r="H44" s="8">
        <f t="shared" ref="H44" si="81">+(G44+I44)/2</f>
        <v>1304689.4017629998</v>
      </c>
      <c r="I44" s="8">
        <v>1513998.3202739996</v>
      </c>
      <c r="J44" s="8">
        <f t="shared" ref="J44" si="82">+(I44+K44)/2</f>
        <v>1776534.6662286664</v>
      </c>
      <c r="K44" s="8">
        <v>2039071.012183333</v>
      </c>
      <c r="L44" s="8">
        <v>715580.99876999983</v>
      </c>
      <c r="M44" s="8">
        <v>715580.99876999983</v>
      </c>
      <c r="N44" s="8">
        <v>783862.78414399992</v>
      </c>
      <c r="O44" s="8">
        <v>783862.78414400003</v>
      </c>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row>
  </sheetData>
  <mergeCells count="2">
    <mergeCell ref="C1:O1"/>
    <mergeCell ref="A1:B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72956-BB56-4732-A205-BC0661FDA055}">
  <sheetPr>
    <tabColor theme="5"/>
  </sheetPr>
  <dimension ref="A1:AW33"/>
  <sheetViews>
    <sheetView workbookViewId="0">
      <selection sqref="A1:N33"/>
    </sheetView>
  </sheetViews>
  <sheetFormatPr baseColWidth="10" defaultColWidth="11.44140625" defaultRowHeight="14.4" x14ac:dyDescent="0.3"/>
  <cols>
    <col min="1" max="1" width="29.6640625" customWidth="1"/>
    <col min="2" max="10" width="11.6640625" bestFit="1" customWidth="1"/>
    <col min="11" max="12" width="13.44140625" bestFit="1" customWidth="1"/>
    <col min="13" max="14" width="12" bestFit="1" customWidth="1"/>
  </cols>
  <sheetData>
    <row r="1" spans="1:49" ht="14.4" customHeight="1" x14ac:dyDescent="0.3">
      <c r="A1" s="18" t="s">
        <v>193</v>
      </c>
      <c r="B1" s="498" t="s">
        <v>45</v>
      </c>
      <c r="C1" s="499"/>
      <c r="D1" s="499"/>
      <c r="E1" s="499"/>
      <c r="F1" s="499"/>
      <c r="G1" s="499"/>
      <c r="H1" s="499"/>
      <c r="I1" s="499"/>
      <c r="J1" s="499"/>
      <c r="K1" s="499"/>
      <c r="L1" s="499"/>
      <c r="M1" s="499"/>
      <c r="N1" s="499"/>
    </row>
    <row r="2" spans="1:49" ht="29.4" customHeight="1" x14ac:dyDescent="0.3">
      <c r="A2" s="10" t="s">
        <v>38</v>
      </c>
      <c r="B2" s="9">
        <v>2010</v>
      </c>
      <c r="C2" s="9">
        <v>2011</v>
      </c>
      <c r="D2" s="9">
        <v>2012</v>
      </c>
      <c r="E2" s="9">
        <v>2013</v>
      </c>
      <c r="F2" s="9">
        <v>2014</v>
      </c>
      <c r="G2" s="9">
        <v>2015</v>
      </c>
      <c r="H2" s="9">
        <v>2016</v>
      </c>
      <c r="I2" s="9">
        <v>2017</v>
      </c>
      <c r="J2" s="9">
        <v>2018</v>
      </c>
      <c r="K2" s="9">
        <v>2019</v>
      </c>
      <c r="L2" s="9">
        <v>2020</v>
      </c>
      <c r="M2" s="9">
        <v>2021</v>
      </c>
      <c r="N2" s="9">
        <v>2022</v>
      </c>
    </row>
    <row r="3" spans="1:49" s="7" customFormat="1" x14ac:dyDescent="0.3">
      <c r="A3" s="7" t="s">
        <v>20</v>
      </c>
      <c r="B3" s="27">
        <f>+DATOS_INGEI!C3/1000</f>
        <v>-14847.231389105997</v>
      </c>
      <c r="C3" s="27">
        <f>+DATOS_INGEI!D3/1000</f>
        <v>-16094.970144438628</v>
      </c>
      <c r="D3" s="27">
        <f>+DATOS_INGEI!E3/1000</f>
        <v>-17342.70889977126</v>
      </c>
      <c r="E3" s="27">
        <f>+DATOS_INGEI!F3/1000</f>
        <v>-18167.069473224245</v>
      </c>
      <c r="F3" s="27">
        <f>+DATOS_INGEI!G3/1000</f>
        <v>-18991.430046677237</v>
      </c>
      <c r="G3" s="27">
        <f>+DATOS_INGEI!H3/1000</f>
        <v>-18595.446144527188</v>
      </c>
      <c r="H3" s="27">
        <f>+DATOS_INGEI!I3/1000</f>
        <v>-18199.462242377147</v>
      </c>
      <c r="I3" s="27">
        <f>+DATOS_INGEI!J3/1000</f>
        <v>-19541.652593002706</v>
      </c>
      <c r="J3" s="27">
        <f>+DATOS_INGEI!K3/1000</f>
        <v>-20883.842943628264</v>
      </c>
      <c r="K3" s="27">
        <f>+DATOS_INGEI!L3/1000</f>
        <v>-21497.47159225541</v>
      </c>
      <c r="L3" s="27">
        <f>+DATOS_INGEI!M3/1000</f>
        <v>-21095.745220344306</v>
      </c>
      <c r="M3" s="27">
        <f>+DATOS_INGEI!N3/1000</f>
        <v>-18176.499946502554</v>
      </c>
      <c r="N3" s="27">
        <f>+DATOS_INGEI!O3/1000</f>
        <v>-16962.798101735618</v>
      </c>
      <c r="O3"/>
      <c r="P3"/>
      <c r="Q3"/>
      <c r="R3"/>
      <c r="S3"/>
      <c r="T3"/>
      <c r="U3"/>
      <c r="V3"/>
      <c r="W3"/>
      <c r="X3"/>
      <c r="Y3"/>
      <c r="Z3"/>
      <c r="AA3"/>
      <c r="AB3"/>
      <c r="AC3"/>
      <c r="AD3"/>
      <c r="AE3"/>
      <c r="AF3"/>
      <c r="AG3"/>
      <c r="AH3"/>
      <c r="AI3"/>
      <c r="AJ3"/>
      <c r="AK3"/>
      <c r="AL3"/>
      <c r="AM3"/>
      <c r="AN3"/>
      <c r="AO3"/>
      <c r="AP3"/>
      <c r="AQ3"/>
      <c r="AR3"/>
      <c r="AS3"/>
      <c r="AT3"/>
      <c r="AU3"/>
      <c r="AV3"/>
      <c r="AW3"/>
    </row>
    <row r="4" spans="1:49" s="8" customFormat="1" x14ac:dyDescent="0.3">
      <c r="A4" s="23" t="s">
        <v>37</v>
      </c>
      <c r="B4" s="28">
        <f>+SUM(DATOS_INGEI!C4:C8)/1000</f>
        <v>-307.52534623708334</v>
      </c>
      <c r="C4" s="28">
        <f>+SUM(DATOS_INGEI!D4:D8)/1000</f>
        <v>-307.52534623708334</v>
      </c>
      <c r="D4" s="28">
        <f>+SUM(DATOS_INGEI!E4:E8)/1000</f>
        <v>-307.52534623708334</v>
      </c>
      <c r="E4" s="28">
        <f>+SUM(DATOS_INGEI!F4:F8)/1000</f>
        <v>-307.52534623708334</v>
      </c>
      <c r="F4" s="28">
        <f>+SUM(DATOS_INGEI!G4:G8)/1000</f>
        <v>-307.52534623708334</v>
      </c>
      <c r="G4" s="28">
        <f>+SUM(DATOS_INGEI!H4:H8)/1000</f>
        <v>-243.06005551437499</v>
      </c>
      <c r="H4" s="28">
        <f>+SUM(DATOS_INGEI!I4:I8)/1000</f>
        <v>-178.59476479166668</v>
      </c>
      <c r="I4" s="28">
        <f>+SUM(DATOS_INGEI!J4:J8)/1000</f>
        <v>-221.67563773391666</v>
      </c>
      <c r="J4" s="28">
        <f>+SUM(DATOS_INGEI!K4:K8)/1000</f>
        <v>-264.75651067616661</v>
      </c>
      <c r="K4" s="28">
        <f>+SUM(DATOS_INGEI!L4:L8)/1000</f>
        <v>-9.3666329698333346</v>
      </c>
      <c r="L4" s="28">
        <f>+SUM(DATOS_INGEI!M4:M8)/1000</f>
        <v>-9.3666329698333346</v>
      </c>
      <c r="M4" s="28">
        <f>+SUM(DATOS_INGEI!N4:N8)/1000</f>
        <v>-51.356223005083322</v>
      </c>
      <c r="N4" s="28">
        <f>+SUM(DATOS_INGEI!O4:O8)/1000</f>
        <v>-51.356223005083322</v>
      </c>
      <c r="O4"/>
      <c r="P4"/>
      <c r="Q4"/>
      <c r="R4"/>
      <c r="S4"/>
      <c r="T4"/>
      <c r="U4"/>
      <c r="V4"/>
      <c r="W4"/>
      <c r="X4"/>
      <c r="Y4"/>
      <c r="Z4"/>
      <c r="AA4"/>
      <c r="AB4"/>
      <c r="AC4"/>
      <c r="AD4"/>
      <c r="AE4"/>
      <c r="AF4"/>
      <c r="AG4"/>
      <c r="AH4"/>
      <c r="AI4"/>
      <c r="AJ4"/>
      <c r="AK4"/>
      <c r="AL4"/>
      <c r="AM4"/>
      <c r="AN4"/>
      <c r="AO4"/>
      <c r="AP4"/>
      <c r="AQ4"/>
      <c r="AR4"/>
      <c r="AS4"/>
      <c r="AT4"/>
      <c r="AU4"/>
      <c r="AV4"/>
      <c r="AW4"/>
    </row>
    <row r="5" spans="1:49" s="7" customFormat="1" x14ac:dyDescent="0.3">
      <c r="A5" s="7" t="s">
        <v>39</v>
      </c>
      <c r="B5" s="27">
        <f>+DATOS_INGEI!C16/1000</f>
        <v>38781.252408804336</v>
      </c>
      <c r="C5" s="27">
        <f>+DATOS_INGEI!D16/1000</f>
        <v>38781.252408804336</v>
      </c>
      <c r="D5" s="27">
        <f>+DATOS_INGEI!E16/1000</f>
        <v>38781.252408804336</v>
      </c>
      <c r="E5" s="27">
        <f>+DATOS_INGEI!F16/1000</f>
        <v>38781.252408804336</v>
      </c>
      <c r="F5" s="27">
        <f>+DATOS_INGEI!G16/1000</f>
        <v>38781.252408804336</v>
      </c>
      <c r="G5" s="27">
        <f>+DATOS_INGEI!H16/1000</f>
        <v>40149.054329742328</v>
      </c>
      <c r="H5" s="27">
        <f>+DATOS_INGEI!I16/1000</f>
        <v>41516.856250680328</v>
      </c>
      <c r="I5" s="27">
        <f>+DATOS_INGEI!J16/1000</f>
        <v>37099.809486571161</v>
      </c>
      <c r="J5" s="27">
        <f>+DATOS_INGEI!K16/1000</f>
        <v>32682.762722462005</v>
      </c>
      <c r="K5" s="27">
        <f>+DATOS_INGEI!L16/1000</f>
        <v>36629.812660989337</v>
      </c>
      <c r="L5" s="27">
        <f>+DATOS_INGEI!M16/1000</f>
        <v>36629.812660989337</v>
      </c>
      <c r="M5" s="27">
        <f>+DATOS_INGEI!N16/1000</f>
        <v>36768.468923322675</v>
      </c>
      <c r="N5" s="27">
        <f>+DATOS_INGEI!O16/1000</f>
        <v>36768.468923322675</v>
      </c>
      <c r="O5"/>
      <c r="P5"/>
      <c r="Q5"/>
      <c r="R5"/>
      <c r="S5"/>
      <c r="T5"/>
      <c r="U5"/>
      <c r="V5"/>
      <c r="W5"/>
      <c r="X5"/>
      <c r="Y5"/>
      <c r="Z5"/>
      <c r="AA5"/>
      <c r="AB5"/>
      <c r="AC5"/>
      <c r="AD5"/>
      <c r="AE5"/>
      <c r="AF5"/>
      <c r="AG5"/>
      <c r="AH5"/>
      <c r="AI5"/>
      <c r="AJ5"/>
      <c r="AK5"/>
      <c r="AL5"/>
      <c r="AM5"/>
      <c r="AN5"/>
      <c r="AO5"/>
      <c r="AP5"/>
      <c r="AQ5"/>
      <c r="AR5"/>
      <c r="AS5"/>
      <c r="AT5"/>
      <c r="AU5"/>
      <c r="AV5"/>
      <c r="AW5"/>
    </row>
    <row r="6" spans="1:49" s="7" customFormat="1" x14ac:dyDescent="0.3">
      <c r="A6" s="23" t="s">
        <v>40</v>
      </c>
      <c r="B6" s="28">
        <f>+DATOS_INGEI!C23/1000</f>
        <v>6968.2960690456703</v>
      </c>
      <c r="C6" s="28">
        <f>+DATOS_INGEI!D23/1000</f>
        <v>6968.2960690456684</v>
      </c>
      <c r="D6" s="28">
        <f>+DATOS_INGEI!E23/1000</f>
        <v>6968.2960690456666</v>
      </c>
      <c r="E6" s="28">
        <f>+DATOS_INGEI!F23/1000</f>
        <v>6968.2960690456666</v>
      </c>
      <c r="F6" s="28">
        <f>+DATOS_INGEI!G23/1000</f>
        <v>6968.2960690456666</v>
      </c>
      <c r="G6" s="28">
        <f>+DATOS_INGEI!H23/1000</f>
        <v>4614.7869721066672</v>
      </c>
      <c r="H6" s="28">
        <f>+DATOS_INGEI!I23/1000</f>
        <v>2261.2778751676669</v>
      </c>
      <c r="I6" s="28">
        <f>+DATOS_INGEI!J23/1000</f>
        <v>2224.9549752130833</v>
      </c>
      <c r="J6" s="28">
        <f>+DATOS_INGEI!K23/1000</f>
        <v>2188.6320752584998</v>
      </c>
      <c r="K6" s="28">
        <f>+DATOS_INGEI!L23/1000</f>
        <v>2213.0609378258332</v>
      </c>
      <c r="L6" s="28">
        <f>+DATOS_INGEI!M23/1000</f>
        <v>2213.0609378258332</v>
      </c>
      <c r="M6" s="28">
        <f>+DATOS_INGEI!N23/1000</f>
        <v>1299.6578186888335</v>
      </c>
      <c r="N6" s="28">
        <f>+DATOS_INGEI!O23/1000</f>
        <v>1299.6578186888335</v>
      </c>
      <c r="O6"/>
      <c r="P6"/>
      <c r="Q6"/>
      <c r="R6"/>
      <c r="S6"/>
      <c r="T6"/>
      <c r="U6"/>
      <c r="V6"/>
      <c r="W6"/>
      <c r="X6"/>
      <c r="Y6"/>
      <c r="Z6"/>
      <c r="AA6"/>
      <c r="AB6"/>
      <c r="AC6"/>
      <c r="AD6"/>
      <c r="AE6"/>
      <c r="AF6"/>
      <c r="AG6"/>
      <c r="AH6"/>
      <c r="AI6"/>
      <c r="AJ6"/>
      <c r="AK6"/>
      <c r="AL6"/>
      <c r="AM6"/>
      <c r="AN6"/>
      <c r="AO6"/>
      <c r="AP6"/>
      <c r="AQ6"/>
      <c r="AR6"/>
      <c r="AS6"/>
      <c r="AT6"/>
      <c r="AU6"/>
      <c r="AV6"/>
      <c r="AW6"/>
    </row>
    <row r="7" spans="1:49" s="7" customFormat="1" x14ac:dyDescent="0.3">
      <c r="A7" s="7" t="s">
        <v>41</v>
      </c>
      <c r="B7" s="27">
        <f>+DATOS_INGEI!C30/1000</f>
        <v>839.3201959999999</v>
      </c>
      <c r="C7" s="27">
        <f>+DATOS_INGEI!D30/1000</f>
        <v>839.3201959999999</v>
      </c>
      <c r="D7" s="27">
        <f>+DATOS_INGEI!E30/1000</f>
        <v>839.3201959999999</v>
      </c>
      <c r="E7" s="27">
        <f>+DATOS_INGEI!F30/1000</f>
        <v>839.3201959999999</v>
      </c>
      <c r="F7" s="27">
        <f>+DATOS_INGEI!G30/1000</f>
        <v>839.3201959999999</v>
      </c>
      <c r="G7" s="27">
        <f>+DATOS_INGEI!H30/1000</f>
        <v>613.67044933333318</v>
      </c>
      <c r="H7" s="27">
        <f>+DATOS_INGEI!I30/1000</f>
        <v>388.02070266666658</v>
      </c>
      <c r="I7" s="27">
        <f>+DATOS_INGEI!J30/1000</f>
        <v>617.90127299999995</v>
      </c>
      <c r="J7" s="27">
        <f>+DATOS_INGEI!K30/1000</f>
        <v>847.78184333333331</v>
      </c>
      <c r="K7" s="27">
        <f>+DATOS_INGEI!L30/1000</f>
        <v>2.6208306666666661</v>
      </c>
      <c r="L7" s="27">
        <f>+DATOS_INGEI!M30/1000</f>
        <v>2.6208306666666661</v>
      </c>
      <c r="M7" s="27">
        <f>+DATOS_INGEI!N30/1000</f>
        <v>2.8391033586666663</v>
      </c>
      <c r="N7" s="27">
        <f>+DATOS_INGEI!O30/1000</f>
        <v>2.8391033586666663</v>
      </c>
      <c r="O7"/>
      <c r="P7"/>
      <c r="Q7"/>
      <c r="R7"/>
      <c r="S7"/>
      <c r="T7"/>
      <c r="U7"/>
      <c r="V7"/>
      <c r="W7"/>
      <c r="X7"/>
      <c r="Y7"/>
      <c r="Z7"/>
      <c r="AA7"/>
      <c r="AB7"/>
      <c r="AC7"/>
      <c r="AD7"/>
      <c r="AE7"/>
      <c r="AF7"/>
      <c r="AG7"/>
      <c r="AH7"/>
      <c r="AI7"/>
      <c r="AJ7"/>
      <c r="AK7"/>
      <c r="AL7"/>
      <c r="AM7"/>
      <c r="AN7"/>
      <c r="AO7"/>
      <c r="AP7"/>
      <c r="AQ7"/>
      <c r="AR7"/>
      <c r="AS7"/>
      <c r="AT7"/>
      <c r="AU7"/>
      <c r="AV7"/>
      <c r="AW7"/>
    </row>
    <row r="8" spans="1:49" s="7" customFormat="1" x14ac:dyDescent="0.3">
      <c r="A8" s="23" t="s">
        <v>42</v>
      </c>
      <c r="B8" s="28">
        <f>+DATOS_INGEI!C37/1000</f>
        <v>2572.6389525690001</v>
      </c>
      <c r="C8" s="28">
        <f>+DATOS_INGEI!D37/1000</f>
        <v>2572.6389525690001</v>
      </c>
      <c r="D8" s="28">
        <f>+DATOS_INGEI!E37/1000</f>
        <v>2572.6389525690001</v>
      </c>
      <c r="E8" s="28">
        <f>+DATOS_INGEI!F37/1000</f>
        <v>2572.6389525690001</v>
      </c>
      <c r="F8" s="28">
        <f>+DATOS_INGEI!G37/1000</f>
        <v>2572.6389525690001</v>
      </c>
      <c r="G8" s="28">
        <f>+DATOS_INGEI!H37/1000</f>
        <v>1655.18423575</v>
      </c>
      <c r="H8" s="28">
        <f>+DATOS_INGEI!I37/1000</f>
        <v>737.72951893099992</v>
      </c>
      <c r="I8" s="28">
        <f>+DATOS_INGEI!J37/1000</f>
        <v>2202.2949782144997</v>
      </c>
      <c r="J8" s="28">
        <f>+DATOS_INGEI!K37/1000</f>
        <v>3666.8604374979996</v>
      </c>
      <c r="K8" s="28">
        <f>+DATOS_INGEI!L37/1000</f>
        <v>1840.9202441269997</v>
      </c>
      <c r="L8" s="28">
        <f>+DATOS_INGEI!M37/1000</f>
        <v>1840.9202441269997</v>
      </c>
      <c r="M8" s="28">
        <f>+DATOS_INGEI!N37/1000</f>
        <v>3954.4449501333324</v>
      </c>
      <c r="N8" s="28">
        <f>+DATOS_INGEI!O37/1000</f>
        <v>3954.4449501333324</v>
      </c>
      <c r="O8"/>
      <c r="P8"/>
      <c r="Q8"/>
      <c r="R8"/>
      <c r="S8"/>
      <c r="T8"/>
      <c r="U8"/>
      <c r="V8"/>
      <c r="W8"/>
      <c r="X8"/>
      <c r="Y8"/>
      <c r="Z8"/>
      <c r="AA8"/>
      <c r="AB8"/>
      <c r="AC8"/>
      <c r="AD8"/>
      <c r="AE8"/>
      <c r="AF8"/>
      <c r="AG8"/>
      <c r="AH8"/>
      <c r="AI8"/>
      <c r="AJ8"/>
      <c r="AK8"/>
      <c r="AL8"/>
      <c r="AM8"/>
      <c r="AN8"/>
      <c r="AO8"/>
      <c r="AP8"/>
      <c r="AQ8"/>
      <c r="AR8"/>
      <c r="AS8"/>
      <c r="AT8"/>
      <c r="AU8"/>
      <c r="AV8"/>
      <c r="AW8"/>
    </row>
    <row r="9" spans="1:49" s="7" customFormat="1" ht="15" thickBot="1" x14ac:dyDescent="0.35">
      <c r="A9" s="19" t="s">
        <v>43</v>
      </c>
      <c r="B9" s="29">
        <f>+DATOS_INGEI!C44/1000</f>
        <v>1095.380483252</v>
      </c>
      <c r="C9" s="29">
        <f>+DATOS_INGEI!D44/1000</f>
        <v>1095.380483252</v>
      </c>
      <c r="D9" s="29">
        <f>+DATOS_INGEI!E44/1000</f>
        <v>1095.380483252</v>
      </c>
      <c r="E9" s="29">
        <f>+DATOS_INGEI!F44/1000</f>
        <v>1095.380483252</v>
      </c>
      <c r="F9" s="29">
        <f>+DATOS_INGEI!G44/1000</f>
        <v>1095.380483252</v>
      </c>
      <c r="G9" s="29">
        <f>+DATOS_INGEI!H44/1000</f>
        <v>1304.6894017629998</v>
      </c>
      <c r="H9" s="29">
        <f>+DATOS_INGEI!I44/1000</f>
        <v>1513.9983202739995</v>
      </c>
      <c r="I9" s="29">
        <f>+DATOS_INGEI!J44/1000</f>
        <v>1776.5346662286665</v>
      </c>
      <c r="J9" s="29">
        <f>+DATOS_INGEI!K44/1000</f>
        <v>2039.0710121833331</v>
      </c>
      <c r="K9" s="29">
        <f>+DATOS_INGEI!L44/1000</f>
        <v>715.58099876999984</v>
      </c>
      <c r="L9" s="29">
        <f>+DATOS_INGEI!M44/1000</f>
        <v>715.58099876999984</v>
      </c>
      <c r="M9" s="29">
        <f>+DATOS_INGEI!N44/1000</f>
        <v>783.86278414399987</v>
      </c>
      <c r="N9" s="29">
        <f>+DATOS_INGEI!O44/1000</f>
        <v>783.86278414399999</v>
      </c>
      <c r="O9"/>
      <c r="P9"/>
      <c r="Q9"/>
      <c r="R9"/>
      <c r="S9"/>
      <c r="T9"/>
      <c r="U9"/>
      <c r="V9"/>
      <c r="W9"/>
      <c r="X9"/>
      <c r="Y9"/>
      <c r="Z9"/>
      <c r="AA9"/>
      <c r="AB9"/>
      <c r="AC9"/>
      <c r="AD9"/>
      <c r="AE9"/>
      <c r="AF9"/>
      <c r="AG9"/>
      <c r="AH9"/>
      <c r="AI9"/>
      <c r="AJ9"/>
      <c r="AK9"/>
      <c r="AL9"/>
      <c r="AM9"/>
      <c r="AN9"/>
      <c r="AO9"/>
      <c r="AP9"/>
      <c r="AQ9"/>
      <c r="AR9"/>
      <c r="AS9"/>
      <c r="AT9"/>
      <c r="AU9"/>
      <c r="AV9"/>
      <c r="AW9"/>
    </row>
    <row r="10" spans="1:49" ht="15" thickBot="1" x14ac:dyDescent="0.35">
      <c r="A10" s="22" t="s">
        <v>31</v>
      </c>
      <c r="B10" s="20">
        <f>+SUM(B3:B9)</f>
        <v>35102.131374327932</v>
      </c>
      <c r="C10" s="20">
        <f t="shared" ref="C10:N10" si="0">+SUM(C3:C9)</f>
        <v>33854.392618995291</v>
      </c>
      <c r="D10" s="20">
        <f t="shared" si="0"/>
        <v>32606.653863662661</v>
      </c>
      <c r="E10" s="20">
        <f t="shared" si="0"/>
        <v>31782.293290209676</v>
      </c>
      <c r="F10" s="20">
        <f t="shared" si="0"/>
        <v>30957.932716756684</v>
      </c>
      <c r="G10" s="20">
        <f t="shared" si="0"/>
        <v>29498.879188653766</v>
      </c>
      <c r="H10" s="20">
        <f t="shared" si="0"/>
        <v>28039.825660550847</v>
      </c>
      <c r="I10" s="20">
        <f t="shared" si="0"/>
        <v>24158.167148490793</v>
      </c>
      <c r="J10" s="20">
        <f t="shared" si="0"/>
        <v>20276.508636430743</v>
      </c>
      <c r="K10" s="20">
        <f t="shared" si="0"/>
        <v>19895.157447153597</v>
      </c>
      <c r="L10" s="20">
        <f t="shared" si="0"/>
        <v>20296.8838190647</v>
      </c>
      <c r="M10" s="20">
        <f t="shared" si="0"/>
        <v>24581.417410139868</v>
      </c>
      <c r="N10" s="21">
        <f t="shared" si="0"/>
        <v>25795.119254906804</v>
      </c>
    </row>
    <row r="13" spans="1:49" x14ac:dyDescent="0.3">
      <c r="A13" s="18" t="s">
        <v>194</v>
      </c>
      <c r="B13" s="498" t="s">
        <v>45</v>
      </c>
      <c r="C13" s="499"/>
      <c r="D13" s="499"/>
      <c r="E13" s="499"/>
      <c r="F13" s="499"/>
      <c r="G13" s="499"/>
      <c r="H13" s="499"/>
      <c r="I13" s="499"/>
      <c r="J13" s="499"/>
      <c r="K13" s="499"/>
      <c r="L13" s="499"/>
      <c r="M13" s="499"/>
      <c r="N13" s="499"/>
    </row>
    <row r="14" spans="1:49" x14ac:dyDescent="0.3">
      <c r="A14" s="10" t="s">
        <v>38</v>
      </c>
      <c r="B14" s="9">
        <v>2010</v>
      </c>
      <c r="C14" s="9">
        <v>2011</v>
      </c>
      <c r="D14" s="9">
        <v>2012</v>
      </c>
      <c r="E14" s="9">
        <v>2013</v>
      </c>
      <c r="F14" s="9">
        <v>2014</v>
      </c>
      <c r="G14" s="9">
        <v>2015</v>
      </c>
      <c r="H14" s="9">
        <v>2016</v>
      </c>
      <c r="I14" s="9">
        <v>2017</v>
      </c>
      <c r="J14" s="9">
        <v>2018</v>
      </c>
      <c r="K14" s="9">
        <v>2019</v>
      </c>
      <c r="L14" s="9">
        <v>2020</v>
      </c>
      <c r="M14" s="9">
        <v>2021</v>
      </c>
      <c r="N14" s="9">
        <v>2022</v>
      </c>
    </row>
    <row r="15" spans="1:49" x14ac:dyDescent="0.3">
      <c r="A15" s="7" t="s">
        <v>20</v>
      </c>
      <c r="B15" s="27">
        <v>-14835</v>
      </c>
      <c r="C15" s="27">
        <v>-16082</v>
      </c>
      <c r="D15" s="27">
        <v>-17328</v>
      </c>
      <c r="E15" s="27">
        <v>-18152</v>
      </c>
      <c r="F15" s="27">
        <v>-18977</v>
      </c>
      <c r="G15" s="27">
        <v>-18581</v>
      </c>
      <c r="H15" s="27">
        <v>-18185</v>
      </c>
      <c r="I15" s="27">
        <v>-19527</v>
      </c>
      <c r="J15" s="27">
        <v>-20869</v>
      </c>
      <c r="K15" s="27">
        <v>-21483</v>
      </c>
      <c r="L15" s="27">
        <v>-21081</v>
      </c>
      <c r="M15" s="27">
        <v>-18163</v>
      </c>
      <c r="N15" s="27">
        <v>-16949</v>
      </c>
    </row>
    <row r="16" spans="1:49" x14ac:dyDescent="0.3">
      <c r="A16" s="23" t="s">
        <v>37</v>
      </c>
      <c r="B16" s="28">
        <v>-307.346</v>
      </c>
      <c r="C16" s="28">
        <v>-307.346</v>
      </c>
      <c r="D16" s="28">
        <v>-307.33999999999997</v>
      </c>
      <c r="E16" s="28">
        <v>-307.346</v>
      </c>
      <c r="F16" s="28">
        <v>-307.33800000000002</v>
      </c>
      <c r="G16" s="28">
        <v>-242.83600000000001</v>
      </c>
      <c r="H16" s="28">
        <v>-178.36799999999999</v>
      </c>
      <c r="I16" s="28">
        <v>-221.483</v>
      </c>
      <c r="J16" s="28">
        <v>-264.56900000000002</v>
      </c>
      <c r="K16" s="28">
        <v>-9.2810000000000006</v>
      </c>
      <c r="L16" s="28">
        <v>-9.2810000000000006</v>
      </c>
      <c r="M16" s="28">
        <v>-51.234000000000002</v>
      </c>
      <c r="N16" s="28">
        <v>-51.234000000000002</v>
      </c>
    </row>
    <row r="17" spans="1:14" x14ac:dyDescent="0.3">
      <c r="A17" s="7" t="s">
        <v>39</v>
      </c>
      <c r="B17" s="27">
        <v>38781</v>
      </c>
      <c r="C17" s="27">
        <v>38781</v>
      </c>
      <c r="D17" s="27">
        <v>38781</v>
      </c>
      <c r="E17" s="27">
        <v>38781</v>
      </c>
      <c r="F17" s="27">
        <v>38781</v>
      </c>
      <c r="G17" s="27">
        <v>40149</v>
      </c>
      <c r="H17" s="27">
        <v>41517</v>
      </c>
      <c r="I17" s="27">
        <v>37100</v>
      </c>
      <c r="J17" s="27">
        <v>32683</v>
      </c>
      <c r="K17" s="27">
        <v>36630</v>
      </c>
      <c r="L17" s="27">
        <v>36630</v>
      </c>
      <c r="M17" s="27">
        <v>36769</v>
      </c>
      <c r="N17" s="27">
        <v>36769</v>
      </c>
    </row>
    <row r="18" spans="1:14" x14ac:dyDescent="0.3">
      <c r="A18" s="23" t="s">
        <v>40</v>
      </c>
      <c r="B18" s="28">
        <v>6968</v>
      </c>
      <c r="C18" s="28">
        <v>6968</v>
      </c>
      <c r="D18" s="28">
        <v>6968</v>
      </c>
      <c r="E18" s="28">
        <v>6968</v>
      </c>
      <c r="F18" s="28">
        <v>6968</v>
      </c>
      <c r="G18" s="28">
        <v>4615</v>
      </c>
      <c r="H18" s="28">
        <v>2261</v>
      </c>
      <c r="I18" s="28">
        <v>2212</v>
      </c>
      <c r="J18" s="28">
        <v>2189</v>
      </c>
      <c r="K18" s="28">
        <v>2213</v>
      </c>
      <c r="L18" s="28">
        <v>2213</v>
      </c>
      <c r="M18" s="28">
        <v>1291</v>
      </c>
      <c r="N18" s="28">
        <v>1291</v>
      </c>
    </row>
    <row r="19" spans="1:14" x14ac:dyDescent="0.3">
      <c r="A19" s="7" t="s">
        <v>41</v>
      </c>
      <c r="B19" s="27">
        <v>839.32</v>
      </c>
      <c r="C19" s="27">
        <v>839.32</v>
      </c>
      <c r="D19" s="27">
        <v>839.32</v>
      </c>
      <c r="E19" s="27">
        <v>839.32</v>
      </c>
      <c r="F19" s="27">
        <v>839.32</v>
      </c>
      <c r="G19" s="27">
        <v>613.66999999999996</v>
      </c>
      <c r="H19" s="27">
        <v>388.02</v>
      </c>
      <c r="I19" s="27">
        <v>617.9</v>
      </c>
      <c r="J19" s="27">
        <v>847.78</v>
      </c>
      <c r="K19" s="27">
        <v>2.62</v>
      </c>
      <c r="L19" s="27">
        <v>2.62</v>
      </c>
      <c r="M19" s="27">
        <v>2.84</v>
      </c>
      <c r="N19" s="27">
        <v>2.84</v>
      </c>
    </row>
    <row r="20" spans="1:14" x14ac:dyDescent="0.3">
      <c r="A20" s="23" t="s">
        <v>42</v>
      </c>
      <c r="B20" s="28">
        <v>2572.5729999999999</v>
      </c>
      <c r="C20" s="28">
        <v>2572.5770000000002</v>
      </c>
      <c r="D20" s="28">
        <v>2572.5819999999999</v>
      </c>
      <c r="E20" s="28">
        <v>2572.5830000000001</v>
      </c>
      <c r="F20" s="28">
        <v>2572.5839999999998</v>
      </c>
      <c r="G20" s="28">
        <v>1655.2339999999999</v>
      </c>
      <c r="H20" s="28">
        <v>737.66700000000003</v>
      </c>
      <c r="I20" s="28">
        <v>2202.4070000000002</v>
      </c>
      <c r="J20" s="28">
        <v>3666.902</v>
      </c>
      <c r="K20" s="28">
        <v>1840.511</v>
      </c>
      <c r="L20" s="28">
        <v>1840.511</v>
      </c>
      <c r="M20" s="28">
        <v>3954.2910000000002</v>
      </c>
      <c r="N20" s="28">
        <v>3954.2910000000002</v>
      </c>
    </row>
    <row r="21" spans="1:14" ht="15" thickBot="1" x14ac:dyDescent="0.35">
      <c r="A21" s="19" t="s">
        <v>43</v>
      </c>
      <c r="B21" s="29">
        <v>1095</v>
      </c>
      <c r="C21" s="29">
        <v>1095</v>
      </c>
      <c r="D21" s="29">
        <v>1095</v>
      </c>
      <c r="E21" s="29">
        <v>1095</v>
      </c>
      <c r="F21" s="29">
        <v>1095</v>
      </c>
      <c r="G21" s="29">
        <v>1305</v>
      </c>
      <c r="H21" s="29">
        <v>1514</v>
      </c>
      <c r="I21" s="29">
        <v>1776</v>
      </c>
      <c r="J21" s="29">
        <v>2039</v>
      </c>
      <c r="K21" s="29">
        <v>716</v>
      </c>
      <c r="L21" s="29">
        <v>716</v>
      </c>
      <c r="M21" s="29">
        <v>783</v>
      </c>
      <c r="N21" s="29">
        <v>783</v>
      </c>
    </row>
    <row r="22" spans="1:14" ht="15" thickBot="1" x14ac:dyDescent="0.35">
      <c r="A22" s="22" t="s">
        <v>31</v>
      </c>
      <c r="B22" s="20">
        <f>+SUM(B15:B21)</f>
        <v>35113.546999999999</v>
      </c>
      <c r="C22" s="20">
        <f t="shared" ref="C22" si="1">+SUM(C15:C21)</f>
        <v>33866.550999999999</v>
      </c>
      <c r="D22" s="20">
        <f t="shared" ref="D22" si="2">+SUM(D15:D21)</f>
        <v>32620.561999999998</v>
      </c>
      <c r="E22" s="20">
        <f t="shared" ref="E22" si="3">+SUM(E15:E21)</f>
        <v>31796.556999999997</v>
      </c>
      <c r="F22" s="20">
        <f t="shared" ref="F22" si="4">+SUM(F15:F21)</f>
        <v>30971.565999999999</v>
      </c>
      <c r="G22" s="20">
        <f t="shared" ref="G22" si="5">+SUM(G15:G21)</f>
        <v>29514.067999999999</v>
      </c>
      <c r="H22" s="20">
        <f t="shared" ref="H22" si="6">+SUM(H15:H21)</f>
        <v>28054.319000000003</v>
      </c>
      <c r="I22" s="20">
        <f t="shared" ref="I22" si="7">+SUM(I15:I21)</f>
        <v>24159.824000000001</v>
      </c>
      <c r="J22" s="20">
        <f t="shared" ref="J22" si="8">+SUM(J15:J21)</f>
        <v>20292.113000000001</v>
      </c>
      <c r="K22" s="20">
        <f t="shared" ref="K22" si="9">+SUM(K15:K21)</f>
        <v>19909.849999999999</v>
      </c>
      <c r="L22" s="20">
        <f t="shared" ref="L22" si="10">+SUM(L15:L21)</f>
        <v>20311.849999999999</v>
      </c>
      <c r="M22" s="20">
        <f t="shared" ref="M22" si="11">+SUM(M15:M21)</f>
        <v>24585.897000000001</v>
      </c>
      <c r="N22" s="21">
        <f t="shared" ref="N22" si="12">+SUM(N15:N21)</f>
        <v>25799.897000000001</v>
      </c>
    </row>
    <row r="24" spans="1:14" x14ac:dyDescent="0.3">
      <c r="A24" s="18" t="s">
        <v>44</v>
      </c>
      <c r="B24" s="498" t="s">
        <v>45</v>
      </c>
      <c r="C24" s="499"/>
      <c r="D24" s="499"/>
      <c r="E24" s="499"/>
      <c r="F24" s="499"/>
      <c r="G24" s="499"/>
      <c r="H24" s="499"/>
      <c r="I24" s="499"/>
      <c r="J24" s="499"/>
      <c r="K24" s="499"/>
      <c r="L24" s="499"/>
      <c r="M24" s="499"/>
      <c r="N24" s="499"/>
    </row>
    <row r="25" spans="1:14" x14ac:dyDescent="0.3">
      <c r="A25" s="10" t="s">
        <v>38</v>
      </c>
      <c r="B25" s="9">
        <v>2010</v>
      </c>
      <c r="C25" s="9">
        <v>2011</v>
      </c>
      <c r="D25" s="9">
        <v>2012</v>
      </c>
      <c r="E25" s="9">
        <v>2013</v>
      </c>
      <c r="F25" s="9">
        <v>2014</v>
      </c>
      <c r="G25" s="9">
        <v>2015</v>
      </c>
      <c r="H25" s="9">
        <v>2016</v>
      </c>
      <c r="I25" s="9">
        <v>2017</v>
      </c>
      <c r="J25" s="9">
        <v>2018</v>
      </c>
      <c r="K25" s="9">
        <v>2019</v>
      </c>
      <c r="L25" s="9">
        <v>2020</v>
      </c>
      <c r="M25" s="9">
        <v>2021</v>
      </c>
      <c r="N25" s="9">
        <v>2022</v>
      </c>
    </row>
    <row r="26" spans="1:14" x14ac:dyDescent="0.3">
      <c r="A26" s="7" t="s">
        <v>20</v>
      </c>
      <c r="B26" s="24">
        <f>+(B3-B15)/B15</f>
        <v>8.2449538968632559E-4</v>
      </c>
      <c r="C26" s="24">
        <f t="shared" ref="C26:N26" si="13">+(C3-C15)/C15</f>
        <v>8.0650071126901301E-4</v>
      </c>
      <c r="D26" s="24">
        <f t="shared" si="13"/>
        <v>8.4885155651315172E-4</v>
      </c>
      <c r="E26" s="24">
        <f t="shared" si="13"/>
        <v>8.3018252667720223E-4</v>
      </c>
      <c r="F26" s="24">
        <f t="shared" si="13"/>
        <v>7.6039662102737697E-4</v>
      </c>
      <c r="G26" s="24">
        <f t="shared" si="13"/>
        <v>7.7746862532630931E-4</v>
      </c>
      <c r="H26" s="24">
        <f t="shared" si="13"/>
        <v>7.9528415601578498E-4</v>
      </c>
      <c r="I26" s="24">
        <f t="shared" si="13"/>
        <v>7.5037604356560368E-4</v>
      </c>
      <c r="J26" s="24">
        <f t="shared" si="13"/>
        <v>7.1124364503637161E-4</v>
      </c>
      <c r="K26" s="24">
        <f t="shared" si="13"/>
        <v>6.7362995184143892E-4</v>
      </c>
      <c r="L26" s="24">
        <f t="shared" si="13"/>
        <v>6.9945545013549125E-4</v>
      </c>
      <c r="M26" s="24">
        <f t="shared" si="13"/>
        <v>7.4326633830060782E-4</v>
      </c>
      <c r="N26" s="24">
        <f t="shared" si="13"/>
        <v>8.1409532925941469E-4</v>
      </c>
    </row>
    <row r="27" spans="1:14" x14ac:dyDescent="0.3">
      <c r="A27" s="23" t="s">
        <v>37</v>
      </c>
      <c r="B27" s="30">
        <f t="shared" ref="B27:B32" si="14">+(B4-B16)/B16</f>
        <v>5.8353203582716794E-4</v>
      </c>
      <c r="C27" s="30">
        <f t="shared" ref="C27:N27" si="15">+(C4-C16)/C16</f>
        <v>5.8353203582716794E-4</v>
      </c>
      <c r="D27" s="30">
        <f t="shared" si="15"/>
        <v>6.0306578083999939E-4</v>
      </c>
      <c r="E27" s="30">
        <f t="shared" si="15"/>
        <v>5.8353203582716794E-4</v>
      </c>
      <c r="F27" s="30">
        <f t="shared" si="15"/>
        <v>6.0957719866504658E-4</v>
      </c>
      <c r="G27" s="30">
        <f t="shared" si="15"/>
        <v>9.2266185563500303E-4</v>
      </c>
      <c r="H27" s="30">
        <f t="shared" si="15"/>
        <v>1.2713311337609983E-3</v>
      </c>
      <c r="I27" s="30">
        <f t="shared" si="15"/>
        <v>8.6976306947555775E-4</v>
      </c>
      <c r="J27" s="30">
        <f t="shared" si="15"/>
        <v>7.0874016293139442E-4</v>
      </c>
      <c r="K27" s="30">
        <f t="shared" si="15"/>
        <v>9.2266964587150099E-3</v>
      </c>
      <c r="L27" s="30">
        <f t="shared" si="15"/>
        <v>9.2266964587150099E-3</v>
      </c>
      <c r="M27" s="30">
        <f t="shared" si="15"/>
        <v>2.385583891230831E-3</v>
      </c>
      <c r="N27" s="30">
        <f t="shared" si="15"/>
        <v>2.385583891230831E-3</v>
      </c>
    </row>
    <row r="28" spans="1:14" x14ac:dyDescent="0.3">
      <c r="A28" s="7" t="s">
        <v>39</v>
      </c>
      <c r="B28" s="24">
        <f t="shared" si="14"/>
        <v>6.5085687407641172E-6</v>
      </c>
      <c r="C28" s="24">
        <f t="shared" ref="C28:N28" si="16">+(C5-C17)/C17</f>
        <v>6.5085687407641172E-6</v>
      </c>
      <c r="D28" s="24">
        <f t="shared" si="16"/>
        <v>6.5085687407641172E-6</v>
      </c>
      <c r="E28" s="24">
        <f t="shared" si="16"/>
        <v>6.5085687407641172E-6</v>
      </c>
      <c r="F28" s="24">
        <f t="shared" si="16"/>
        <v>6.5085687407641172E-6</v>
      </c>
      <c r="G28" s="24">
        <f t="shared" si="16"/>
        <v>1.3532028774879528E-6</v>
      </c>
      <c r="H28" s="24">
        <f t="shared" si="16"/>
        <v>-3.4624206872310048E-6</v>
      </c>
      <c r="I28" s="24">
        <f t="shared" si="16"/>
        <v>-5.1351328528043123E-6</v>
      </c>
      <c r="J28" s="24">
        <f t="shared" si="16"/>
        <v>-7.2599681178409701E-6</v>
      </c>
      <c r="K28" s="24">
        <f t="shared" si="16"/>
        <v>-5.1143601054594952E-6</v>
      </c>
      <c r="L28" s="24">
        <f t="shared" si="16"/>
        <v>-5.1143601054594952E-6</v>
      </c>
      <c r="M28" s="24">
        <f t="shared" si="16"/>
        <v>-1.44435986109351E-5</v>
      </c>
      <c r="N28" s="24">
        <f t="shared" si="16"/>
        <v>-1.44435986109351E-5</v>
      </c>
    </row>
    <row r="29" spans="1:14" x14ac:dyDescent="0.3">
      <c r="A29" s="23" t="s">
        <v>40</v>
      </c>
      <c r="B29" s="25">
        <f t="shared" si="14"/>
        <v>4.2489817116857784E-5</v>
      </c>
      <c r="C29" s="25">
        <f>+(C6-C18)/C18</f>
        <v>4.2489817116596736E-5</v>
      </c>
      <c r="D29" s="25">
        <f t="shared" ref="D29:N29" si="17">+(D6-D18)/D18</f>
        <v>4.2489817116335687E-5</v>
      </c>
      <c r="E29" s="25">
        <f t="shared" si="17"/>
        <v>4.2489817116335687E-5</v>
      </c>
      <c r="F29" s="25">
        <f t="shared" si="17"/>
        <v>4.2489817116335687E-5</v>
      </c>
      <c r="G29" s="25">
        <f t="shared" si="17"/>
        <v>-4.6159890212950057E-5</v>
      </c>
      <c r="H29" s="25">
        <f t="shared" si="17"/>
        <v>1.2289923381996216E-4</v>
      </c>
      <c r="I29" s="25">
        <f t="shared" si="17"/>
        <v>5.8566795719183287E-3</v>
      </c>
      <c r="J29" s="25">
        <f t="shared" si="17"/>
        <v>-1.6807891343090291E-4</v>
      </c>
      <c r="K29" s="25">
        <f t="shared" si="17"/>
        <v>2.7536297258566278E-5</v>
      </c>
      <c r="L29" s="25">
        <f t="shared" si="17"/>
        <v>2.7536297258566278E-5</v>
      </c>
      <c r="M29" s="25">
        <f t="shared" si="17"/>
        <v>6.7062886822877293E-3</v>
      </c>
      <c r="N29" s="25">
        <f t="shared" si="17"/>
        <v>6.7062886822877293E-3</v>
      </c>
    </row>
    <row r="30" spans="1:14" x14ac:dyDescent="0.3">
      <c r="A30" s="7" t="s">
        <v>41</v>
      </c>
      <c r="B30" s="24">
        <f t="shared" si="14"/>
        <v>2.3352237507292578E-7</v>
      </c>
      <c r="C30" s="24">
        <f t="shared" ref="C30:N30" si="18">+(C7-C19)/C19</f>
        <v>2.3352237507292578E-7</v>
      </c>
      <c r="D30" s="24">
        <f t="shared" si="18"/>
        <v>2.3352237507292578E-7</v>
      </c>
      <c r="E30" s="24">
        <f t="shared" si="18"/>
        <v>2.3352237507292578E-7</v>
      </c>
      <c r="F30" s="24">
        <f t="shared" si="18"/>
        <v>2.3352237507292578E-7</v>
      </c>
      <c r="G30" s="33">
        <f t="shared" si="18"/>
        <v>7.322067776199868E-7</v>
      </c>
      <c r="H30" s="33">
        <f t="shared" si="18"/>
        <v>1.8109032178699719E-6</v>
      </c>
      <c r="I30" s="33">
        <f t="shared" si="18"/>
        <v>2.0602039164415206E-6</v>
      </c>
      <c r="J30" s="33">
        <f t="shared" si="18"/>
        <v>2.1743062272529718E-6</v>
      </c>
      <c r="K30" s="33">
        <f t="shared" si="18"/>
        <v>3.1704834605571756E-4</v>
      </c>
      <c r="L30" s="33">
        <f t="shared" si="18"/>
        <v>3.1704834605571756E-4</v>
      </c>
      <c r="M30" s="33">
        <f t="shared" si="18"/>
        <v>-3.1571877934280241E-4</v>
      </c>
      <c r="N30" s="33">
        <f t="shared" si="18"/>
        <v>-3.1571877934280241E-4</v>
      </c>
    </row>
    <row r="31" spans="1:14" x14ac:dyDescent="0.3">
      <c r="A31" s="23" t="s">
        <v>42</v>
      </c>
      <c r="B31" s="25">
        <f t="shared" si="14"/>
        <v>2.5636811472511683E-5</v>
      </c>
      <c r="C31" s="25">
        <f t="shared" ref="C31:N31" si="19">+(C8-C20)/C20</f>
        <v>2.4081910473394434E-5</v>
      </c>
      <c r="D31" s="25">
        <f t="shared" si="19"/>
        <v>2.2138291024449074E-5</v>
      </c>
      <c r="E31" s="25">
        <f t="shared" si="19"/>
        <v>2.174956804116933E-5</v>
      </c>
      <c r="F31" s="25">
        <f t="shared" si="19"/>
        <v>2.1360845360270662E-5</v>
      </c>
      <c r="G31" s="30">
        <f t="shared" si="19"/>
        <v>-3.0064782381193766E-5</v>
      </c>
      <c r="H31" s="30">
        <f t="shared" si="19"/>
        <v>8.4752240509451985E-5</v>
      </c>
      <c r="I31" s="30">
        <f t="shared" si="19"/>
        <v>-5.0863344286716267E-5</v>
      </c>
      <c r="J31" s="30">
        <f t="shared" si="19"/>
        <v>-1.1334500349474342E-5</v>
      </c>
      <c r="K31" s="30">
        <f t="shared" si="19"/>
        <v>2.2235353496922214E-4</v>
      </c>
      <c r="L31" s="30">
        <f t="shared" si="19"/>
        <v>2.2235353496922214E-4</v>
      </c>
      <c r="M31" s="30">
        <f t="shared" si="19"/>
        <v>3.893242387377996E-5</v>
      </c>
      <c r="N31" s="30">
        <f t="shared" si="19"/>
        <v>3.893242387377996E-5</v>
      </c>
    </row>
    <row r="32" spans="1:14" ht="15" thickBot="1" x14ac:dyDescent="0.35">
      <c r="A32" s="19" t="s">
        <v>43</v>
      </c>
      <c r="B32" s="26">
        <f t="shared" si="14"/>
        <v>3.4747328949769529E-4</v>
      </c>
      <c r="C32" s="26">
        <f t="shared" ref="C32:N32" si="20">+(C9-C21)/C21</f>
        <v>3.4747328949769529E-4</v>
      </c>
      <c r="D32" s="26">
        <f t="shared" si="20"/>
        <v>3.4747328949769529E-4</v>
      </c>
      <c r="E32" s="26">
        <f t="shared" si="20"/>
        <v>3.4747328949769529E-4</v>
      </c>
      <c r="F32" s="26">
        <f t="shared" si="20"/>
        <v>3.4747328949769529E-4</v>
      </c>
      <c r="G32" s="34">
        <f t="shared" si="20"/>
        <v>-2.3800631187758571E-4</v>
      </c>
      <c r="H32" s="34">
        <f t="shared" si="20"/>
        <v>-1.1094623517008302E-6</v>
      </c>
      <c r="I32" s="34">
        <f t="shared" si="20"/>
        <v>3.0105080442935687E-4</v>
      </c>
      <c r="J32" s="34">
        <f t="shared" si="20"/>
        <v>3.4826965832808189E-5</v>
      </c>
      <c r="K32" s="34">
        <f>+(K9-K21)/K21</f>
        <v>-5.851972486035791E-4</v>
      </c>
      <c r="L32" s="34">
        <f t="shared" si="20"/>
        <v>-5.851972486035791E-4</v>
      </c>
      <c r="M32" s="34">
        <f t="shared" si="20"/>
        <v>1.1018954584928156E-3</v>
      </c>
      <c r="N32" s="34">
        <f t="shared" si="20"/>
        <v>1.1018954584929609E-3</v>
      </c>
    </row>
    <row r="33" spans="1:14" ht="15" thickBot="1" x14ac:dyDescent="0.35">
      <c r="A33" s="22" t="s">
        <v>31</v>
      </c>
      <c r="B33" s="31">
        <f>+SUM(B26:B32)</f>
        <v>1.8303694347163954E-3</v>
      </c>
      <c r="C33" s="31">
        <f t="shared" ref="C33" si="21">+SUM(C26:C32)</f>
        <v>1.8108198552997043E-3</v>
      </c>
      <c r="D33" s="31">
        <f t="shared" ref="D33" si="22">+SUM(D26:D32)</f>
        <v>1.870760826107468E-3</v>
      </c>
      <c r="E33" s="31">
        <f t="shared" ref="E33" si="23">+SUM(E26:E32)</f>
        <v>1.8321693282754075E-3</v>
      </c>
      <c r="F33" s="31">
        <f t="shared" ref="F33" si="24">+SUM(F26:F32)</f>
        <v>1.7880398627825624E-3</v>
      </c>
      <c r="G33" s="31">
        <f t="shared" ref="G33" si="25">+SUM(G26:G32)</f>
        <v>1.3879849061446908E-3</v>
      </c>
      <c r="H33" s="31">
        <f t="shared" ref="H33" si="26">+SUM(H26:H32)</f>
        <v>2.2715057842851356E-3</v>
      </c>
      <c r="I33" s="31">
        <f t="shared" ref="I33" si="27">+SUM(I26:I32)</f>
        <v>7.7239312161657683E-3</v>
      </c>
      <c r="J33" s="31">
        <f t="shared" ref="J33" si="28">+SUM(J26:J32)</f>
        <v>1.2703116981296091E-3</v>
      </c>
      <c r="K33" s="31">
        <f t="shared" ref="K33" si="29">+SUM(K26:K32)</f>
        <v>9.8769529801309153E-3</v>
      </c>
      <c r="L33" s="31">
        <f t="shared" ref="L33" si="30">+SUM(L26:L32)</f>
        <v>9.9027784784249673E-3</v>
      </c>
      <c r="M33" s="31">
        <f t="shared" ref="M33" si="31">+SUM(M26:M32)</f>
        <v>1.0645804416232026E-2</v>
      </c>
      <c r="N33" s="32">
        <f t="shared" ref="N33" si="32">+SUM(N26:N32)</f>
        <v>1.071663340719098E-2</v>
      </c>
    </row>
  </sheetData>
  <mergeCells count="3">
    <mergeCell ref="B1:N1"/>
    <mergeCell ref="B13:N13"/>
    <mergeCell ref="B24:N2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D1C97-5B07-470C-B564-7A728D998E0C}">
  <sheetPr>
    <tabColor theme="6"/>
  </sheetPr>
  <dimension ref="A1:AC46"/>
  <sheetViews>
    <sheetView zoomScaleNormal="100" workbookViewId="0">
      <pane ySplit="1" topLeftCell="A2" activePane="bottomLeft" state="frozen"/>
      <selection pane="bottomLeft" activeCell="C7" sqref="C7"/>
    </sheetView>
  </sheetViews>
  <sheetFormatPr baseColWidth="10" defaultColWidth="11.44140625" defaultRowHeight="14.4" x14ac:dyDescent="0.3"/>
  <cols>
    <col min="1" max="1" width="19.109375" customWidth="1"/>
    <col min="2" max="2" width="49.21875" customWidth="1"/>
    <col min="3" max="3" width="15.6640625" customWidth="1"/>
    <col min="4" max="14" width="12.5546875" bestFit="1" customWidth="1"/>
    <col min="15" max="15" width="12.5546875" customWidth="1"/>
    <col min="16" max="16" width="15.77734375" customWidth="1"/>
    <col min="17" max="17" width="13.6640625" bestFit="1" customWidth="1"/>
    <col min="18" max="28" width="15.21875" bestFit="1" customWidth="1"/>
    <col min="29" max="29" width="15.109375" bestFit="1" customWidth="1"/>
  </cols>
  <sheetData>
    <row r="1" spans="1:28" ht="15" thickBot="1" x14ac:dyDescent="0.35">
      <c r="A1" s="98" t="s">
        <v>133</v>
      </c>
      <c r="B1" s="99" t="s">
        <v>130</v>
      </c>
      <c r="C1" s="99">
        <v>2010</v>
      </c>
      <c r="D1" s="99">
        <v>2011</v>
      </c>
      <c r="E1" s="99">
        <v>2012</v>
      </c>
      <c r="F1" s="99">
        <v>2013</v>
      </c>
      <c r="G1" s="99">
        <v>2014</v>
      </c>
      <c r="H1" s="99">
        <v>2015</v>
      </c>
      <c r="I1" s="99">
        <v>2016</v>
      </c>
      <c r="J1" s="99">
        <v>2017</v>
      </c>
      <c r="K1" s="99">
        <v>2018</v>
      </c>
      <c r="L1" s="99">
        <v>2019</v>
      </c>
      <c r="M1" s="99">
        <v>2020</v>
      </c>
      <c r="N1" s="99">
        <v>2021</v>
      </c>
      <c r="O1" s="99">
        <v>2022</v>
      </c>
      <c r="P1" s="99">
        <v>2023</v>
      </c>
      <c r="Q1" s="99">
        <v>2024</v>
      </c>
      <c r="R1" s="99">
        <v>2025</v>
      </c>
      <c r="S1" s="99">
        <v>2026</v>
      </c>
      <c r="T1" s="99">
        <v>2027</v>
      </c>
      <c r="U1" s="99">
        <v>2028</v>
      </c>
      <c r="V1" s="99">
        <v>2029</v>
      </c>
      <c r="W1" s="99">
        <v>2030</v>
      </c>
      <c r="X1" s="99">
        <v>2031</v>
      </c>
      <c r="Y1" s="99">
        <v>2032</v>
      </c>
      <c r="Z1" s="99">
        <v>2033</v>
      </c>
      <c r="AA1" s="99">
        <v>2034</v>
      </c>
      <c r="AB1" s="100">
        <v>2035</v>
      </c>
    </row>
    <row r="3" spans="1:28" x14ac:dyDescent="0.3">
      <c r="B3" s="12" t="s">
        <v>131</v>
      </c>
    </row>
    <row r="4" spans="1:28" ht="15" thickBot="1" x14ac:dyDescent="0.35"/>
    <row r="5" spans="1:28" x14ac:dyDescent="0.3">
      <c r="B5" s="82"/>
      <c r="C5" s="83"/>
      <c r="D5" s="83"/>
      <c r="E5" s="83"/>
      <c r="F5" s="83"/>
      <c r="G5" s="83"/>
      <c r="H5" s="83"/>
      <c r="I5" s="83"/>
      <c r="J5" s="83"/>
      <c r="K5" s="83"/>
      <c r="L5" s="83"/>
      <c r="M5" s="83"/>
      <c r="N5" s="83"/>
      <c r="O5" s="83"/>
      <c r="P5" s="83"/>
      <c r="Q5" s="83"/>
      <c r="R5" s="83"/>
      <c r="S5" s="83"/>
      <c r="T5" s="83"/>
      <c r="U5" s="83"/>
      <c r="V5" s="83"/>
      <c r="W5" s="83"/>
      <c r="X5" s="83"/>
      <c r="Y5" s="83"/>
      <c r="Z5" s="83"/>
      <c r="AA5" s="83"/>
      <c r="AB5" s="84"/>
    </row>
    <row r="6" spans="1:28" ht="15" thickBot="1" x14ac:dyDescent="0.35">
      <c r="B6" s="88" t="s">
        <v>132</v>
      </c>
      <c r="C6" s="52"/>
      <c r="D6" s="52"/>
      <c r="E6" s="52"/>
      <c r="F6" s="52"/>
      <c r="G6" s="52"/>
      <c r="H6" s="52"/>
      <c r="I6" s="52"/>
      <c r="J6" s="52"/>
      <c r="K6" s="52"/>
      <c r="L6" s="52"/>
      <c r="M6" s="52"/>
      <c r="N6" s="52"/>
      <c r="O6" s="52"/>
      <c r="P6" s="52"/>
      <c r="Q6" s="52"/>
      <c r="R6" s="52"/>
      <c r="S6" s="52"/>
      <c r="T6" s="52"/>
      <c r="U6" s="52"/>
      <c r="V6" s="52"/>
      <c r="W6" s="52"/>
      <c r="X6" s="52"/>
      <c r="Y6" s="52"/>
      <c r="Z6" s="52"/>
      <c r="AA6" s="52"/>
      <c r="AB6" s="81"/>
    </row>
    <row r="7" spans="1:28" ht="14.4" customHeight="1" x14ac:dyDescent="0.3">
      <c r="A7" s="501" t="s">
        <v>134</v>
      </c>
      <c r="B7" s="89" t="s">
        <v>2</v>
      </c>
      <c r="C7" s="90">
        <v>12348.32</v>
      </c>
      <c r="D7" s="438">
        <f>+(C7+E7)/2</f>
        <v>13402.625</v>
      </c>
      <c r="E7" s="90">
        <v>14456.93</v>
      </c>
      <c r="F7" s="438">
        <f>+(E7+G7)/2</f>
        <v>14584.46</v>
      </c>
      <c r="G7" s="90">
        <v>14711.99</v>
      </c>
      <c r="H7" s="438">
        <f>+(G7+I7)/2</f>
        <v>14755.529999999999</v>
      </c>
      <c r="I7" s="90">
        <v>14799.07</v>
      </c>
      <c r="J7" s="438">
        <f>+(I7+K7)/2</f>
        <v>14779.865</v>
      </c>
      <c r="K7" s="90">
        <v>14760.66</v>
      </c>
      <c r="L7" s="90">
        <v>14760.66</v>
      </c>
      <c r="M7" s="90">
        <v>14760.66</v>
      </c>
      <c r="N7" s="90">
        <v>13635</v>
      </c>
      <c r="O7" s="90">
        <v>13635</v>
      </c>
      <c r="P7" s="325">
        <f t="shared" ref="P7:AB7" si="0">+$P35*P$24</f>
        <v>13628.31885</v>
      </c>
      <c r="Q7" s="325">
        <f t="shared" si="0"/>
        <v>13621.640973763499</v>
      </c>
      <c r="R7" s="325">
        <f t="shared" si="0"/>
        <v>13614.966369686355</v>
      </c>
      <c r="S7" s="325">
        <f t="shared" si="0"/>
        <v>13608.295036165209</v>
      </c>
      <c r="T7" s="325">
        <f t="shared" si="0"/>
        <v>13601.626971597489</v>
      </c>
      <c r="U7" s="325">
        <f t="shared" si="0"/>
        <v>13594.962174381406</v>
      </c>
      <c r="V7" s="325">
        <f t="shared" si="0"/>
        <v>13588.300642915958</v>
      </c>
      <c r="W7" s="325">
        <f t="shared" si="0"/>
        <v>13581.64237560093</v>
      </c>
      <c r="X7" s="325">
        <f t="shared" si="0"/>
        <v>13574.987370836885</v>
      </c>
      <c r="Y7" s="325">
        <f t="shared" si="0"/>
        <v>13568.335627025175</v>
      </c>
      <c r="Z7" s="325">
        <f t="shared" si="0"/>
        <v>13561.687142567933</v>
      </c>
      <c r="AA7" s="325">
        <f t="shared" si="0"/>
        <v>13555.041915868074</v>
      </c>
      <c r="AB7" s="326">
        <f t="shared" si="0"/>
        <v>13548.3999453293</v>
      </c>
    </row>
    <row r="8" spans="1:28" x14ac:dyDescent="0.3">
      <c r="A8" s="501"/>
      <c r="B8" s="78" t="s">
        <v>4</v>
      </c>
      <c r="C8" s="79">
        <v>120583.64</v>
      </c>
      <c r="D8" s="439">
        <f t="shared" ref="D8:F16" si="1">+(C8+E8)/2</f>
        <v>126215.03</v>
      </c>
      <c r="E8" s="79">
        <v>131846.42000000001</v>
      </c>
      <c r="F8" s="439">
        <f t="shared" si="1"/>
        <v>136010.5</v>
      </c>
      <c r="G8" s="79">
        <v>140174.57999999999</v>
      </c>
      <c r="H8" s="439">
        <f t="shared" ref="H8" si="2">+(G8+I8)/2</f>
        <v>140004.625</v>
      </c>
      <c r="I8" s="79">
        <v>139834.67000000001</v>
      </c>
      <c r="J8" s="439">
        <f t="shared" ref="J8" si="3">+(I8+K8)/2</f>
        <v>139853.84000000003</v>
      </c>
      <c r="K8" s="79">
        <v>139873.01</v>
      </c>
      <c r="L8" s="79">
        <v>139873.01</v>
      </c>
      <c r="M8" s="79">
        <v>139873.01</v>
      </c>
      <c r="N8" s="79">
        <v>139386</v>
      </c>
      <c r="O8" s="79">
        <v>139386</v>
      </c>
      <c r="P8" s="327">
        <f t="shared" ref="P8:AB8" si="4">+$P36*P$24</f>
        <v>139317.70085999998</v>
      </c>
      <c r="Q8" s="327">
        <f t="shared" si="4"/>
        <v>139249.4351865786</v>
      </c>
      <c r="R8" s="327">
        <f t="shared" si="4"/>
        <v>139181.20296333719</v>
      </c>
      <c r="S8" s="327">
        <f t="shared" si="4"/>
        <v>139113.00417388513</v>
      </c>
      <c r="T8" s="327">
        <f t="shared" si="4"/>
        <v>139044.83880183994</v>
      </c>
      <c r="U8" s="327">
        <f t="shared" si="4"/>
        <v>138976.70683082702</v>
      </c>
      <c r="V8" s="327">
        <f t="shared" si="4"/>
        <v>138908.60824447992</v>
      </c>
      <c r="W8" s="327">
        <f t="shared" si="4"/>
        <v>138840.54302644014</v>
      </c>
      <c r="X8" s="327">
        <f t="shared" si="4"/>
        <v>138772.51116035719</v>
      </c>
      <c r="Y8" s="327">
        <f t="shared" si="4"/>
        <v>138704.5126298886</v>
      </c>
      <c r="Z8" s="327">
        <f t="shared" si="4"/>
        <v>138636.54741869995</v>
      </c>
      <c r="AA8" s="327">
        <f t="shared" si="4"/>
        <v>138568.61551046479</v>
      </c>
      <c r="AB8" s="328">
        <f t="shared" si="4"/>
        <v>138500.71688886467</v>
      </c>
    </row>
    <row r="9" spans="1:28" x14ac:dyDescent="0.3">
      <c r="A9" s="501"/>
      <c r="B9" s="78" t="s">
        <v>5</v>
      </c>
      <c r="C9" s="79">
        <v>1153032.56</v>
      </c>
      <c r="D9" s="439">
        <f t="shared" si="1"/>
        <v>1158742.5649999999</v>
      </c>
      <c r="E9" s="79">
        <v>1164452.57</v>
      </c>
      <c r="F9" s="439">
        <f t="shared" si="1"/>
        <v>1198650.2450000001</v>
      </c>
      <c r="G9" s="79">
        <v>1232847.92</v>
      </c>
      <c r="H9" s="439">
        <f t="shared" ref="H9" si="5">+(G9+I9)/2</f>
        <v>1233796.5150000001</v>
      </c>
      <c r="I9" s="79">
        <v>1234745.1100000001</v>
      </c>
      <c r="J9" s="439">
        <f t="shared" ref="J9" si="6">+(I9+K9)/2</f>
        <v>1245530.5</v>
      </c>
      <c r="K9" s="79">
        <v>1256315.8899999999</v>
      </c>
      <c r="L9" s="79">
        <v>1256315.8899999999</v>
      </c>
      <c r="M9" s="79">
        <v>1256315.8899999999</v>
      </c>
      <c r="N9" s="79">
        <v>1257518</v>
      </c>
      <c r="O9" s="79">
        <v>1257518</v>
      </c>
      <c r="P9" s="327">
        <f t="shared" ref="P9:AB9" si="7">+$P37*P$24</f>
        <v>1256901.8161799998</v>
      </c>
      <c r="Q9" s="327">
        <f t="shared" si="7"/>
        <v>1256285.9342900717</v>
      </c>
      <c r="R9" s="327">
        <f t="shared" si="7"/>
        <v>1255670.3541822697</v>
      </c>
      <c r="S9" s="327">
        <f t="shared" si="7"/>
        <v>1255055.0757087204</v>
      </c>
      <c r="T9" s="327">
        <f t="shared" si="7"/>
        <v>1254440.098721623</v>
      </c>
      <c r="U9" s="327">
        <f t="shared" si="7"/>
        <v>1253825.4230732494</v>
      </c>
      <c r="V9" s="327">
        <f t="shared" si="7"/>
        <v>1253211.0486159436</v>
      </c>
      <c r="W9" s="327">
        <f t="shared" si="7"/>
        <v>1252596.9752021218</v>
      </c>
      <c r="X9" s="327">
        <f t="shared" si="7"/>
        <v>1251983.2026842728</v>
      </c>
      <c r="Y9" s="327">
        <f t="shared" si="7"/>
        <v>1251369.7309149574</v>
      </c>
      <c r="Z9" s="327">
        <f t="shared" si="7"/>
        <v>1250756.5597468091</v>
      </c>
      <c r="AA9" s="327">
        <f t="shared" si="7"/>
        <v>1250143.6890325332</v>
      </c>
      <c r="AB9" s="328">
        <f t="shared" si="7"/>
        <v>1249531.1186249072</v>
      </c>
    </row>
    <row r="10" spans="1:28" x14ac:dyDescent="0.3">
      <c r="A10" s="501"/>
      <c r="B10" s="78" t="s">
        <v>6</v>
      </c>
      <c r="C10" s="79">
        <v>468700.3</v>
      </c>
      <c r="D10" s="439">
        <f t="shared" si="1"/>
        <v>469707.92499999999</v>
      </c>
      <c r="E10" s="79">
        <v>470715.55</v>
      </c>
      <c r="F10" s="439">
        <f t="shared" si="1"/>
        <v>488975.63</v>
      </c>
      <c r="G10" s="79">
        <v>507235.71</v>
      </c>
      <c r="H10" s="439">
        <f t="shared" ref="H10" si="8">+(G10+I10)/2</f>
        <v>506690.36499999999</v>
      </c>
      <c r="I10" s="79">
        <v>506145.02</v>
      </c>
      <c r="J10" s="439">
        <f t="shared" ref="J10" si="9">+(I10+K10)/2</f>
        <v>514642.33500000002</v>
      </c>
      <c r="K10" s="79">
        <v>523139.65</v>
      </c>
      <c r="L10" s="79">
        <v>523139.65</v>
      </c>
      <c r="M10" s="79">
        <v>523139.65</v>
      </c>
      <c r="N10" s="79">
        <v>515144</v>
      </c>
      <c r="O10" s="79">
        <v>515144</v>
      </c>
      <c r="P10" s="327">
        <f t="shared" ref="P10:AB10" si="10">+$P38*P$24</f>
        <v>514891.57943999994</v>
      </c>
      <c r="Q10" s="327">
        <f t="shared" si="10"/>
        <v>514639.28256607434</v>
      </c>
      <c r="R10" s="327">
        <f t="shared" si="10"/>
        <v>514387.10931761697</v>
      </c>
      <c r="S10" s="327">
        <f t="shared" si="10"/>
        <v>514135.05963405134</v>
      </c>
      <c r="T10" s="327">
        <f t="shared" si="10"/>
        <v>513883.13345483068</v>
      </c>
      <c r="U10" s="327">
        <f t="shared" si="10"/>
        <v>513631.3307194378</v>
      </c>
      <c r="V10" s="327">
        <f t="shared" si="10"/>
        <v>513379.65136738529</v>
      </c>
      <c r="W10" s="327">
        <f t="shared" si="10"/>
        <v>513128.09533821524</v>
      </c>
      <c r="X10" s="327">
        <f t="shared" si="10"/>
        <v>512876.66257149953</v>
      </c>
      <c r="Y10" s="327">
        <f t="shared" si="10"/>
        <v>512625.35300683946</v>
      </c>
      <c r="Z10" s="327">
        <f t="shared" si="10"/>
        <v>512374.16658386617</v>
      </c>
      <c r="AA10" s="327">
        <f t="shared" si="10"/>
        <v>512123.10324224009</v>
      </c>
      <c r="AB10" s="328">
        <f t="shared" si="10"/>
        <v>511872.16292165138</v>
      </c>
    </row>
    <row r="11" spans="1:28" x14ac:dyDescent="0.3">
      <c r="A11" s="501"/>
      <c r="B11" s="78" t="s">
        <v>7</v>
      </c>
      <c r="C11" s="79">
        <v>322781.76</v>
      </c>
      <c r="D11" s="439">
        <f t="shared" si="1"/>
        <v>325370.89</v>
      </c>
      <c r="E11" s="79">
        <v>327960.02</v>
      </c>
      <c r="F11" s="439">
        <f t="shared" si="1"/>
        <v>333557.76000000001</v>
      </c>
      <c r="G11" s="79">
        <v>339155.5</v>
      </c>
      <c r="H11" s="439">
        <f t="shared" ref="H11" si="11">+(G11+I11)/2</f>
        <v>340207.31</v>
      </c>
      <c r="I11" s="79">
        <v>341259.12</v>
      </c>
      <c r="J11" s="439">
        <f t="shared" ref="J11" si="12">+(I11+K11)/2</f>
        <v>357944.89</v>
      </c>
      <c r="K11" s="79">
        <v>374630.66</v>
      </c>
      <c r="L11" s="79">
        <v>374630.66</v>
      </c>
      <c r="M11" s="79">
        <v>374630.66</v>
      </c>
      <c r="N11" s="79">
        <v>375109</v>
      </c>
      <c r="O11" s="79">
        <v>375109</v>
      </c>
      <c r="P11" s="327">
        <f t="shared" ref="P11:AB11" si="13">+$P39*P$24</f>
        <v>374925.19659000001</v>
      </c>
      <c r="Q11" s="327">
        <f t="shared" si="13"/>
        <v>374741.4832436709</v>
      </c>
      <c r="R11" s="327">
        <f t="shared" si="13"/>
        <v>374557.85991688148</v>
      </c>
      <c r="S11" s="327">
        <f t="shared" si="13"/>
        <v>374374.32656552223</v>
      </c>
      <c r="T11" s="327">
        <f t="shared" si="13"/>
        <v>374190.88314550515</v>
      </c>
      <c r="U11" s="327">
        <f t="shared" si="13"/>
        <v>374007.52961276384</v>
      </c>
      <c r="V11" s="327">
        <f t="shared" si="13"/>
        <v>373824.26592325361</v>
      </c>
      <c r="W11" s="327">
        <f t="shared" si="13"/>
        <v>373641.09203295119</v>
      </c>
      <c r="X11" s="327">
        <f t="shared" si="13"/>
        <v>373458.00789785502</v>
      </c>
      <c r="Y11" s="327">
        <f t="shared" si="13"/>
        <v>373275.01347398508</v>
      </c>
      <c r="Z11" s="327">
        <f t="shared" si="13"/>
        <v>373092.10871738283</v>
      </c>
      <c r="AA11" s="327">
        <f t="shared" si="13"/>
        <v>372909.29358411132</v>
      </c>
      <c r="AB11" s="328">
        <f t="shared" si="13"/>
        <v>372726.56803025509</v>
      </c>
    </row>
    <row r="12" spans="1:28" x14ac:dyDescent="0.3">
      <c r="A12" s="501"/>
      <c r="B12" s="78" t="s">
        <v>8</v>
      </c>
      <c r="C12" s="79">
        <v>2361954.61</v>
      </c>
      <c r="D12" s="439">
        <f t="shared" si="1"/>
        <v>2536303.79</v>
      </c>
      <c r="E12" s="79">
        <v>2710652.97</v>
      </c>
      <c r="F12" s="439">
        <f t="shared" si="1"/>
        <v>2768583.37</v>
      </c>
      <c r="G12" s="79">
        <v>2826513.77</v>
      </c>
      <c r="H12" s="439">
        <f t="shared" ref="H12" si="14">+(G12+I12)/2</f>
        <v>2858758.21</v>
      </c>
      <c r="I12" s="79">
        <v>2891002.65</v>
      </c>
      <c r="J12" s="439">
        <f t="shared" ref="J12" si="15">+(I12+K12)/2</f>
        <v>2955726.3049999997</v>
      </c>
      <c r="K12" s="79">
        <v>3020449.96</v>
      </c>
      <c r="L12" s="79">
        <v>3020449.96</v>
      </c>
      <c r="M12" s="79">
        <v>3020449.96</v>
      </c>
      <c r="N12" s="79">
        <v>2928882</v>
      </c>
      <c r="O12" s="79">
        <v>2928882</v>
      </c>
      <c r="P12" s="327">
        <f t="shared" ref="P12:AB12" si="16">+$P40*P$24</f>
        <v>2927446.8478199998</v>
      </c>
      <c r="Q12" s="327">
        <f t="shared" si="16"/>
        <v>2926012.3988645677</v>
      </c>
      <c r="R12" s="327">
        <f t="shared" si="16"/>
        <v>2924578.6527891243</v>
      </c>
      <c r="S12" s="327">
        <f t="shared" si="16"/>
        <v>2923145.6092492575</v>
      </c>
      <c r="T12" s="327">
        <f t="shared" si="16"/>
        <v>2921713.2679007254</v>
      </c>
      <c r="U12" s="327">
        <f t="shared" si="16"/>
        <v>2920281.6283994541</v>
      </c>
      <c r="V12" s="327">
        <f t="shared" si="16"/>
        <v>2918850.6904015387</v>
      </c>
      <c r="W12" s="327">
        <f t="shared" si="16"/>
        <v>2917420.4535632418</v>
      </c>
      <c r="X12" s="327">
        <f t="shared" si="16"/>
        <v>2915990.9175409959</v>
      </c>
      <c r="Y12" s="327">
        <f t="shared" si="16"/>
        <v>2914562.0819914006</v>
      </c>
      <c r="Z12" s="327">
        <f t="shared" si="16"/>
        <v>2913133.9465712248</v>
      </c>
      <c r="AA12" s="327">
        <f t="shared" si="16"/>
        <v>2911706.5109374053</v>
      </c>
      <c r="AB12" s="328">
        <f t="shared" si="16"/>
        <v>2910279.7747470457</v>
      </c>
    </row>
    <row r="13" spans="1:28" x14ac:dyDescent="0.3">
      <c r="A13" s="501"/>
      <c r="B13" s="78" t="s">
        <v>9</v>
      </c>
      <c r="C13" s="79">
        <v>261686.1</v>
      </c>
      <c r="D13" s="439">
        <f t="shared" si="1"/>
        <v>263622.40000000002</v>
      </c>
      <c r="E13" s="79">
        <v>265558.7</v>
      </c>
      <c r="F13" s="439">
        <f t="shared" si="1"/>
        <v>269700.02</v>
      </c>
      <c r="G13" s="79">
        <v>273841.34000000003</v>
      </c>
      <c r="H13" s="439">
        <f t="shared" ref="H13" si="17">+(G13+I13)/2</f>
        <v>268738.07500000001</v>
      </c>
      <c r="I13" s="79">
        <v>263634.81</v>
      </c>
      <c r="J13" s="439">
        <f t="shared" ref="J13" si="18">+(I13+K13)/2</f>
        <v>262908.70499999996</v>
      </c>
      <c r="K13" s="79">
        <v>262182.59999999998</v>
      </c>
      <c r="L13" s="79">
        <v>262182.59999999998</v>
      </c>
      <c r="M13" s="79">
        <v>262182.59999999998</v>
      </c>
      <c r="N13" s="79">
        <v>240487</v>
      </c>
      <c r="O13" s="79">
        <v>240487</v>
      </c>
      <c r="P13" s="327">
        <f t="shared" ref="P13:AB13" si="19">+$P41*P$24</f>
        <v>240369.16136999999</v>
      </c>
      <c r="Q13" s="327">
        <f t="shared" si="19"/>
        <v>240251.3804809287</v>
      </c>
      <c r="R13" s="327">
        <f t="shared" si="19"/>
        <v>240133.65730449304</v>
      </c>
      <c r="S13" s="327">
        <f t="shared" si="19"/>
        <v>240015.99181241385</v>
      </c>
      <c r="T13" s="327">
        <f t="shared" si="19"/>
        <v>239898.38397642577</v>
      </c>
      <c r="U13" s="327">
        <f t="shared" si="19"/>
        <v>239780.83376827731</v>
      </c>
      <c r="V13" s="327">
        <f t="shared" si="19"/>
        <v>239663.34115973086</v>
      </c>
      <c r="W13" s="327">
        <f t="shared" si="19"/>
        <v>239545.90612256259</v>
      </c>
      <c r="X13" s="327">
        <f t="shared" si="19"/>
        <v>239428.52862856255</v>
      </c>
      <c r="Y13" s="327">
        <f t="shared" si="19"/>
        <v>239311.20864953453</v>
      </c>
      <c r="Z13" s="327">
        <f t="shared" si="19"/>
        <v>239193.94615729628</v>
      </c>
      <c r="AA13" s="327">
        <f t="shared" si="19"/>
        <v>239076.74112367921</v>
      </c>
      <c r="AB13" s="328">
        <f t="shared" si="19"/>
        <v>238959.59352052858</v>
      </c>
    </row>
    <row r="14" spans="1:28" x14ac:dyDescent="0.3">
      <c r="A14" s="501"/>
      <c r="B14" s="78" t="s">
        <v>10</v>
      </c>
      <c r="C14" s="79">
        <v>64990.3</v>
      </c>
      <c r="D14" s="439">
        <f t="shared" si="1"/>
        <v>65335.185000000005</v>
      </c>
      <c r="E14" s="79">
        <v>65680.070000000007</v>
      </c>
      <c r="F14" s="439">
        <f t="shared" si="1"/>
        <v>64106.675000000003</v>
      </c>
      <c r="G14" s="79">
        <v>62533.279999999999</v>
      </c>
      <c r="H14" s="439">
        <f t="shared" ref="H14" si="20">+(G14+I14)/2</f>
        <v>65738.850000000006</v>
      </c>
      <c r="I14" s="79">
        <v>68944.42</v>
      </c>
      <c r="J14" s="439">
        <f t="shared" ref="J14" si="21">+(I14+K14)/2</f>
        <v>68628.94</v>
      </c>
      <c r="K14" s="79">
        <v>68313.460000000006</v>
      </c>
      <c r="L14" s="79">
        <v>68313.460000000006</v>
      </c>
      <c r="M14" s="79">
        <v>68313.460000000006</v>
      </c>
      <c r="N14" s="79">
        <v>98087</v>
      </c>
      <c r="O14" s="79">
        <v>98087</v>
      </c>
      <c r="P14" s="327">
        <f t="shared" ref="P14:AB14" si="22">+$P42*P$24</f>
        <v>98038.937369999985</v>
      </c>
      <c r="Q14" s="327">
        <f t="shared" si="22"/>
        <v>97990.898290688681</v>
      </c>
      <c r="R14" s="327">
        <f t="shared" si="22"/>
        <v>97942.88275052626</v>
      </c>
      <c r="S14" s="327">
        <f t="shared" si="22"/>
        <v>97894.890737978494</v>
      </c>
      <c r="T14" s="327">
        <f t="shared" si="22"/>
        <v>97846.922241516892</v>
      </c>
      <c r="U14" s="327">
        <f t="shared" si="22"/>
        <v>97798.977249618547</v>
      </c>
      <c r="V14" s="327">
        <f t="shared" si="22"/>
        <v>97751.055750766231</v>
      </c>
      <c r="W14" s="327">
        <f t="shared" si="22"/>
        <v>97703.157733448359</v>
      </c>
      <c r="X14" s="327">
        <f t="shared" si="22"/>
        <v>97655.283186158966</v>
      </c>
      <c r="Y14" s="327">
        <f t="shared" si="22"/>
        <v>97607.432097397745</v>
      </c>
      <c r="Z14" s="327">
        <f t="shared" si="22"/>
        <v>97559.604455670022</v>
      </c>
      <c r="AA14" s="327">
        <f t="shared" si="22"/>
        <v>97511.800249486754</v>
      </c>
      <c r="AB14" s="328">
        <f t="shared" si="22"/>
        <v>97464.019467364502</v>
      </c>
    </row>
    <row r="15" spans="1:28" x14ac:dyDescent="0.3">
      <c r="A15" s="501"/>
      <c r="B15" s="78" t="s">
        <v>11</v>
      </c>
      <c r="C15" s="79">
        <v>271778.31</v>
      </c>
      <c r="D15" s="439">
        <f t="shared" si="1"/>
        <v>272685.14</v>
      </c>
      <c r="E15" s="79">
        <v>273591.96999999997</v>
      </c>
      <c r="F15" s="439">
        <f t="shared" si="1"/>
        <v>278163.17499999999</v>
      </c>
      <c r="G15" s="79">
        <v>282734.38</v>
      </c>
      <c r="H15" s="439">
        <f t="shared" ref="H15" si="23">+(G15+I15)/2</f>
        <v>289391.54000000004</v>
      </c>
      <c r="I15" s="79">
        <v>296048.7</v>
      </c>
      <c r="J15" s="439">
        <f t="shared" ref="J15" si="24">+(I15+K15)/2</f>
        <v>298137.71499999997</v>
      </c>
      <c r="K15" s="79">
        <v>300226.73</v>
      </c>
      <c r="L15" s="79">
        <v>300226.73</v>
      </c>
      <c r="M15" s="79">
        <v>300226.73</v>
      </c>
      <c r="N15" s="79">
        <v>272847</v>
      </c>
      <c r="O15" s="79">
        <v>272847</v>
      </c>
      <c r="P15" s="327">
        <f t="shared" ref="P15:AB15" si="25">+$P43*P$24</f>
        <v>272713.30497</v>
      </c>
      <c r="Q15" s="327">
        <f t="shared" si="25"/>
        <v>272579.67545056465</v>
      </c>
      <c r="R15" s="327">
        <f t="shared" si="25"/>
        <v>272446.1114095939</v>
      </c>
      <c r="S15" s="327">
        <f t="shared" si="25"/>
        <v>272312.6128150032</v>
      </c>
      <c r="T15" s="327">
        <f t="shared" si="25"/>
        <v>272179.17963472387</v>
      </c>
      <c r="U15" s="327">
        <f t="shared" si="25"/>
        <v>272045.81183670287</v>
      </c>
      <c r="V15" s="327">
        <f t="shared" si="25"/>
        <v>271912.50938890286</v>
      </c>
      <c r="W15" s="327">
        <f t="shared" si="25"/>
        <v>271779.27225930232</v>
      </c>
      <c r="X15" s="327">
        <f t="shared" si="25"/>
        <v>271646.10041589523</v>
      </c>
      <c r="Y15" s="327">
        <f t="shared" si="25"/>
        <v>271512.99382669141</v>
      </c>
      <c r="Z15" s="327">
        <f t="shared" si="25"/>
        <v>271379.95245971635</v>
      </c>
      <c r="AA15" s="327">
        <f t="shared" si="25"/>
        <v>271246.97628301114</v>
      </c>
      <c r="AB15" s="328">
        <f t="shared" si="25"/>
        <v>271114.06526463246</v>
      </c>
    </row>
    <row r="16" spans="1:28" ht="15" thickBot="1" x14ac:dyDescent="0.35">
      <c r="A16" s="501"/>
      <c r="B16" s="92" t="s">
        <v>12</v>
      </c>
      <c r="C16" s="93">
        <v>38277.9</v>
      </c>
      <c r="D16" s="440">
        <f t="shared" si="1"/>
        <v>38277.9</v>
      </c>
      <c r="E16" s="93">
        <v>38277.9</v>
      </c>
      <c r="F16" s="440">
        <f t="shared" si="1"/>
        <v>38277.9</v>
      </c>
      <c r="G16" s="93">
        <v>38277.9</v>
      </c>
      <c r="H16" s="440">
        <f t="shared" ref="H16" si="26">+(G16+I16)/2</f>
        <v>72574.065000000002</v>
      </c>
      <c r="I16" s="93">
        <v>106870.23</v>
      </c>
      <c r="J16" s="440">
        <f t="shared" ref="J16" si="27">+(I16+K16)/2</f>
        <v>101943.18</v>
      </c>
      <c r="K16" s="93">
        <v>97016.13</v>
      </c>
      <c r="L16" s="93">
        <v>97016.13</v>
      </c>
      <c r="M16" s="93">
        <v>97016.13</v>
      </c>
      <c r="N16" s="93">
        <v>115150</v>
      </c>
      <c r="O16" s="93">
        <v>115150</v>
      </c>
      <c r="P16" s="329">
        <f t="shared" ref="P16:AB16" si="28">+$P44*P$24</f>
        <v>115093.57649999998</v>
      </c>
      <c r="Q16" s="329">
        <f t="shared" si="28"/>
        <v>115037.18064751498</v>
      </c>
      <c r="R16" s="329">
        <f t="shared" si="28"/>
        <v>114980.8124289977</v>
      </c>
      <c r="S16" s="329">
        <f t="shared" si="28"/>
        <v>114924.4718309075</v>
      </c>
      <c r="T16" s="329">
        <f t="shared" si="28"/>
        <v>114868.15883971035</v>
      </c>
      <c r="U16" s="329">
        <f t="shared" si="28"/>
        <v>114811.8734418789</v>
      </c>
      <c r="V16" s="329">
        <f t="shared" si="28"/>
        <v>114755.61562389237</v>
      </c>
      <c r="W16" s="329">
        <f t="shared" si="28"/>
        <v>114699.38537223666</v>
      </c>
      <c r="X16" s="329">
        <f t="shared" si="28"/>
        <v>114643.18267340427</v>
      </c>
      <c r="Y16" s="329">
        <f t="shared" si="28"/>
        <v>114587.00751389429</v>
      </c>
      <c r="Z16" s="329">
        <f t="shared" si="28"/>
        <v>114530.85988021249</v>
      </c>
      <c r="AA16" s="329">
        <f t="shared" si="28"/>
        <v>114474.73975887119</v>
      </c>
      <c r="AB16" s="330">
        <f t="shared" si="28"/>
        <v>114418.64713638934</v>
      </c>
    </row>
    <row r="17" spans="1:28" ht="15" thickBot="1" x14ac:dyDescent="0.35">
      <c r="A17" s="501"/>
      <c r="B17" s="94" t="s">
        <v>47</v>
      </c>
      <c r="C17" s="72">
        <f>+SUM(C7:C16)</f>
        <v>5076133.7999999989</v>
      </c>
      <c r="D17" s="441">
        <f t="shared" ref="D17:N17" si="29">+SUM(D7:D16)</f>
        <v>5269663.45</v>
      </c>
      <c r="E17" s="72">
        <f t="shared" si="29"/>
        <v>5463193.1000000015</v>
      </c>
      <c r="F17" s="441">
        <f t="shared" si="29"/>
        <v>5590609.7349999994</v>
      </c>
      <c r="G17" s="72">
        <f t="shared" si="29"/>
        <v>5718026.370000001</v>
      </c>
      <c r="H17" s="441">
        <f t="shared" si="29"/>
        <v>5790655.085</v>
      </c>
      <c r="I17" s="72">
        <f t="shared" si="29"/>
        <v>5863283.8000000007</v>
      </c>
      <c r="J17" s="441">
        <f t="shared" si="29"/>
        <v>5960096.2749999994</v>
      </c>
      <c r="K17" s="72">
        <f t="shared" si="29"/>
        <v>6056908.7499999991</v>
      </c>
      <c r="L17" s="72">
        <f t="shared" si="29"/>
        <v>6056908.7499999991</v>
      </c>
      <c r="M17" s="72">
        <f t="shared" si="29"/>
        <v>6056908.7499999991</v>
      </c>
      <c r="N17" s="72">
        <f t="shared" si="29"/>
        <v>5956245</v>
      </c>
      <c r="O17" s="72">
        <f t="shared" ref="O17:AB17" si="30">+SUM(O7:O16)</f>
        <v>5956245</v>
      </c>
      <c r="P17" s="72">
        <f t="shared" si="30"/>
        <v>5953326.4399500005</v>
      </c>
      <c r="Q17" s="72">
        <f t="shared" si="30"/>
        <v>5950409.3099944238</v>
      </c>
      <c r="R17" s="72">
        <f t="shared" si="30"/>
        <v>5947493.6094325269</v>
      </c>
      <c r="S17" s="72">
        <f t="shared" si="30"/>
        <v>5944579.337563904</v>
      </c>
      <c r="T17" s="72">
        <f t="shared" si="30"/>
        <v>5941666.4936884986</v>
      </c>
      <c r="U17" s="72">
        <f t="shared" si="30"/>
        <v>5938755.0771065904</v>
      </c>
      <c r="V17" s="72">
        <f t="shared" si="30"/>
        <v>5935845.08711881</v>
      </c>
      <c r="W17" s="72">
        <f t="shared" si="30"/>
        <v>5932936.5230261218</v>
      </c>
      <c r="X17" s="72">
        <f t="shared" si="30"/>
        <v>5930029.3841298372</v>
      </c>
      <c r="Y17" s="72">
        <f t="shared" si="30"/>
        <v>5927123.6697316142</v>
      </c>
      <c r="Z17" s="72">
        <f t="shared" si="30"/>
        <v>5924219.3791334461</v>
      </c>
      <c r="AA17" s="72">
        <f t="shared" si="30"/>
        <v>5921316.5116376709</v>
      </c>
      <c r="AB17" s="73">
        <f t="shared" si="30"/>
        <v>5918415.0665469682</v>
      </c>
    </row>
    <row r="18" spans="1:28" ht="15" thickBot="1" x14ac:dyDescent="0.35">
      <c r="B18" s="85"/>
      <c r="C18" s="86"/>
      <c r="D18" s="86"/>
      <c r="E18" s="86"/>
      <c r="F18" s="86"/>
      <c r="G18" s="86"/>
      <c r="H18" s="86"/>
      <c r="I18" s="86"/>
      <c r="J18" s="86"/>
      <c r="K18" s="86"/>
      <c r="L18" s="86"/>
      <c r="M18" s="86"/>
      <c r="N18" s="86"/>
      <c r="O18" s="86"/>
      <c r="P18" s="86"/>
      <c r="Q18" s="86"/>
      <c r="R18" s="86"/>
      <c r="S18" s="86"/>
      <c r="T18" s="86"/>
      <c r="U18" s="86"/>
      <c r="V18" s="86"/>
      <c r="W18" s="86"/>
      <c r="X18" s="86"/>
      <c r="Y18" s="86"/>
      <c r="Z18" s="86"/>
      <c r="AA18" s="86"/>
      <c r="AB18" s="87"/>
    </row>
    <row r="19" spans="1:28" ht="13.8" customHeight="1" x14ac:dyDescent="0.3"/>
    <row r="20" spans="1:28" ht="13.8" customHeight="1" thickBot="1" x14ac:dyDescent="0.35"/>
    <row r="21" spans="1:28" ht="13.8" customHeight="1" x14ac:dyDescent="0.3">
      <c r="B21" s="82"/>
      <c r="C21" s="83"/>
      <c r="D21" s="83"/>
      <c r="E21" s="83"/>
      <c r="F21" s="83"/>
      <c r="G21" s="83"/>
      <c r="H21" s="83"/>
      <c r="I21" s="83"/>
      <c r="J21" s="83"/>
      <c r="K21" s="83"/>
      <c r="L21" s="83"/>
      <c r="M21" s="83"/>
      <c r="N21" s="83"/>
      <c r="O21" s="83"/>
      <c r="P21" s="83"/>
      <c r="Q21" s="83"/>
      <c r="R21" s="83"/>
      <c r="S21" s="83"/>
      <c r="T21" s="83"/>
      <c r="U21" s="83"/>
      <c r="V21" s="83"/>
      <c r="W21" s="83"/>
      <c r="X21" s="83"/>
      <c r="Y21" s="83"/>
      <c r="Z21" s="83"/>
      <c r="AA21" s="83"/>
      <c r="AB21" s="84"/>
    </row>
    <row r="22" spans="1:28" ht="13.8" customHeight="1" thickBot="1" x14ac:dyDescent="0.35">
      <c r="B22" s="88" t="s">
        <v>135</v>
      </c>
      <c r="C22" s="52"/>
      <c r="D22" s="52"/>
      <c r="E22" s="52"/>
      <c r="F22" s="52"/>
      <c r="G22" s="52"/>
      <c r="H22" s="52"/>
      <c r="I22" s="52"/>
      <c r="J22" s="52"/>
      <c r="K22" s="52"/>
      <c r="L22" s="52"/>
      <c r="M22" s="52"/>
      <c r="N22" s="52"/>
      <c r="O22" s="52"/>
      <c r="P22" s="52"/>
      <c r="Q22" s="52"/>
      <c r="R22" s="52"/>
      <c r="S22" s="52"/>
      <c r="T22" s="52"/>
      <c r="U22" s="52"/>
      <c r="V22" s="52"/>
      <c r="W22" s="52"/>
      <c r="X22" s="52"/>
      <c r="Y22" s="52"/>
      <c r="Z22" s="52"/>
      <c r="AA22" s="52"/>
      <c r="AB22" s="81"/>
    </row>
    <row r="23" spans="1:28" ht="13.8" customHeight="1" x14ac:dyDescent="0.3">
      <c r="A23" s="303" t="s">
        <v>230</v>
      </c>
      <c r="B23" s="89" t="s">
        <v>128</v>
      </c>
      <c r="C23" s="90"/>
      <c r="D23" s="90"/>
      <c r="E23" s="90"/>
      <c r="F23" s="90"/>
      <c r="G23" s="90"/>
      <c r="H23" s="90"/>
      <c r="I23" s="90"/>
      <c r="J23" s="90"/>
      <c r="K23" s="90"/>
      <c r="L23" s="90"/>
      <c r="M23" s="90"/>
      <c r="N23" s="90"/>
      <c r="O23" s="90"/>
      <c r="P23" s="432">
        <f>0.049/100</f>
        <v>4.8999999999999998E-4</v>
      </c>
      <c r="Q23" s="432">
        <f t="shared" ref="Q23:AB23" si="31">0.049/100</f>
        <v>4.8999999999999998E-4</v>
      </c>
      <c r="R23" s="432">
        <f t="shared" si="31"/>
        <v>4.8999999999999998E-4</v>
      </c>
      <c r="S23" s="432">
        <f t="shared" si="31"/>
        <v>4.8999999999999998E-4</v>
      </c>
      <c r="T23" s="432">
        <f t="shared" si="31"/>
        <v>4.8999999999999998E-4</v>
      </c>
      <c r="U23" s="432">
        <f t="shared" si="31"/>
        <v>4.8999999999999998E-4</v>
      </c>
      <c r="V23" s="432">
        <f t="shared" si="31"/>
        <v>4.8999999999999998E-4</v>
      </c>
      <c r="W23" s="432">
        <f t="shared" si="31"/>
        <v>4.8999999999999998E-4</v>
      </c>
      <c r="X23" s="432">
        <f t="shared" si="31"/>
        <v>4.8999999999999998E-4</v>
      </c>
      <c r="Y23" s="432">
        <f t="shared" si="31"/>
        <v>4.8999999999999998E-4</v>
      </c>
      <c r="Z23" s="432">
        <f t="shared" si="31"/>
        <v>4.8999999999999998E-4</v>
      </c>
      <c r="AA23" s="432">
        <f t="shared" si="31"/>
        <v>4.8999999999999998E-4</v>
      </c>
      <c r="AB23" s="433">
        <f t="shared" si="31"/>
        <v>4.8999999999999998E-4</v>
      </c>
    </row>
    <row r="24" spans="1:28" ht="13.8" customHeight="1" x14ac:dyDescent="0.3">
      <c r="A24" s="303"/>
      <c r="B24" s="78" t="s">
        <v>47</v>
      </c>
      <c r="C24" s="79">
        <f t="shared" ref="C24:N24" si="32">+SUM(C7:C16)</f>
        <v>5076133.7999999989</v>
      </c>
      <c r="D24" s="79">
        <f t="shared" si="32"/>
        <v>5269663.45</v>
      </c>
      <c r="E24" s="79">
        <f t="shared" si="32"/>
        <v>5463193.1000000015</v>
      </c>
      <c r="F24" s="79">
        <f>+SUM(F7:F16)</f>
        <v>5590609.7349999994</v>
      </c>
      <c r="G24" s="79">
        <f t="shared" si="32"/>
        <v>5718026.370000001</v>
      </c>
      <c r="H24" s="79">
        <f t="shared" si="32"/>
        <v>5790655.085</v>
      </c>
      <c r="I24" s="79">
        <f t="shared" si="32"/>
        <v>5863283.8000000007</v>
      </c>
      <c r="J24" s="79">
        <f t="shared" si="32"/>
        <v>5960096.2749999994</v>
      </c>
      <c r="K24" s="79">
        <f t="shared" si="32"/>
        <v>6056908.7499999991</v>
      </c>
      <c r="L24" s="79">
        <f t="shared" si="32"/>
        <v>6056908.7499999991</v>
      </c>
      <c r="M24" s="79">
        <f t="shared" si="32"/>
        <v>6056908.7499999991</v>
      </c>
      <c r="N24" s="79">
        <f t="shared" si="32"/>
        <v>5956245</v>
      </c>
      <c r="O24" s="79">
        <f>+SUM(O7:O16)</f>
        <v>5956245</v>
      </c>
      <c r="P24" s="79">
        <f>+O24-O24*P23</f>
        <v>5953326.4399499996</v>
      </c>
      <c r="Q24" s="79">
        <f t="shared" ref="Q24:AA24" si="33">+P24-P24*Q23</f>
        <v>5950409.3099944238</v>
      </c>
      <c r="R24" s="79">
        <f t="shared" si="33"/>
        <v>5947493.6094325269</v>
      </c>
      <c r="S24" s="79">
        <f t="shared" si="33"/>
        <v>5944579.3375639049</v>
      </c>
      <c r="T24" s="79">
        <f t="shared" si="33"/>
        <v>5941666.4936884986</v>
      </c>
      <c r="U24" s="79">
        <f t="shared" si="33"/>
        <v>5938755.0771065913</v>
      </c>
      <c r="V24" s="79">
        <f t="shared" si="33"/>
        <v>5935845.0871188091</v>
      </c>
      <c r="W24" s="79">
        <f t="shared" si="33"/>
        <v>5932936.5230261208</v>
      </c>
      <c r="X24" s="79">
        <f t="shared" si="33"/>
        <v>5930029.3841298381</v>
      </c>
      <c r="Y24" s="79">
        <f t="shared" si="33"/>
        <v>5927123.6697316142</v>
      </c>
      <c r="Z24" s="79">
        <f t="shared" si="33"/>
        <v>5924219.3791334461</v>
      </c>
      <c r="AA24" s="79">
        <f t="shared" si="33"/>
        <v>5921316.5116376709</v>
      </c>
      <c r="AB24" s="80">
        <f>+AA24-AA24*AB23</f>
        <v>5918415.0665469682</v>
      </c>
    </row>
    <row r="25" spans="1:28" ht="13.8" customHeight="1" x14ac:dyDescent="0.3">
      <c r="A25" s="303"/>
      <c r="B25" s="78" t="s">
        <v>129</v>
      </c>
      <c r="C25" s="79"/>
      <c r="D25" s="79"/>
      <c r="E25" s="79"/>
      <c r="F25" s="79"/>
      <c r="G25" s="79"/>
      <c r="H25" s="79"/>
      <c r="I25" s="79"/>
      <c r="J25" s="79"/>
      <c r="K25" s="79"/>
      <c r="L25" s="79"/>
      <c r="M25" s="79"/>
      <c r="N25" s="97"/>
      <c r="O25" s="97"/>
      <c r="P25" s="434">
        <f>(((0.76/100)*O27-((0.049/100)*O24))/O26)*(0.992212)</f>
        <v>1.4358671613857546E-2</v>
      </c>
      <c r="Q25" s="435">
        <f>(((0.76/100)*P27-((0.049/100)*P24))/P26)*(0.99221)</f>
        <v>1.4454574602807982E-2</v>
      </c>
      <c r="R25" s="435">
        <f>(((0.76/100)*Q27-((0.049/100)*Q24))/Q26)*(0.992208)</f>
        <v>1.4552509274328542E-2</v>
      </c>
      <c r="S25" s="435">
        <f>(((0.76/100)*R27-((0.049/100)*R24))/R26)*(0.992206)</f>
        <v>1.4652538339463686E-2</v>
      </c>
      <c r="T25" s="435">
        <f>(((0.76/100)*S27-((0.049/100)*S24))/S26)*(0.992204)</f>
        <v>1.4754727112937339E-2</v>
      </c>
      <c r="U25" s="435">
        <f>(((0.76/100)*T27-((0.049/100)*T24))/T26)*(0.992203)</f>
        <v>1.4859158625658444E-2</v>
      </c>
      <c r="V25" s="435">
        <f>(((0.76/100)*U27-((0.049/100)*U24))/U26)*(0.9922)</f>
        <v>1.496585900323536E-2</v>
      </c>
      <c r="W25" s="435">
        <f t="shared" ref="W25" si="34">(((0.76/100)*V27-((0.049/100)*V24))/V26)*(0.992197)</f>
        <v>1.5074931737377076E-2</v>
      </c>
      <c r="X25" s="435">
        <f>(((0.76/100)*W27-((0.049/100)*W24))/W26)*(0.992197)</f>
        <v>1.5186499916482179E-2</v>
      </c>
      <c r="Y25" s="435">
        <f>(((0.76/100)*X27-((0.049/100)*X24))/X26)*(0.992195)</f>
        <v>1.5300568382742137E-2</v>
      </c>
      <c r="Z25" s="435">
        <f>(((0.76/100)*Y27-((0.049/100)*Y24))/Y26)*(0.992193)</f>
        <v>1.5417251425912873E-2</v>
      </c>
      <c r="AA25" s="435">
        <f>(((0.76/100)*Z27-((0.049/100)*Z24))/Z26)*(0.992191)</f>
        <v>1.5536636946590321E-2</v>
      </c>
      <c r="AB25" s="435">
        <f>(((0.76/100)*AA27-((0.049/100)*AA24))/AA26)*(0.99219)</f>
        <v>1.5658832607866293E-2</v>
      </c>
    </row>
    <row r="26" spans="1:28" ht="13.8" customHeight="1" x14ac:dyDescent="0.3">
      <c r="A26" s="303" t="s">
        <v>236</v>
      </c>
      <c r="B26" s="78" t="s">
        <v>205</v>
      </c>
      <c r="C26" s="79">
        <v>6163090.2000000011</v>
      </c>
      <c r="D26" s="79">
        <f>+AVERAGE(C26,E26)</f>
        <v>6163090.2000000011</v>
      </c>
      <c r="E26" s="79">
        <v>6163090.2000000011</v>
      </c>
      <c r="F26" s="79">
        <f>+AVERAGE(E26,G26)</f>
        <v>6163090.2000000011</v>
      </c>
      <c r="G26" s="79">
        <v>6163090.2000000011</v>
      </c>
      <c r="H26" s="79">
        <f>+AVERAGE(G26,I26)</f>
        <v>6163090.2000000011</v>
      </c>
      <c r="I26" s="79">
        <v>6163090.2000000011</v>
      </c>
      <c r="J26" s="79">
        <f>+AVERAGE(I26,K26)</f>
        <v>6163090.2000000011</v>
      </c>
      <c r="K26" s="79">
        <v>6163090.2000000011</v>
      </c>
      <c r="L26" s="79">
        <v>6163090.2000000011</v>
      </c>
      <c r="M26" s="79">
        <v>6163090.2000000011</v>
      </c>
      <c r="N26" s="79">
        <v>6163090.2000000011</v>
      </c>
      <c r="O26" s="79">
        <v>6163090.2000000011</v>
      </c>
      <c r="P26" s="327">
        <f>+O26-O26*P25</f>
        <v>6074596.4116916172</v>
      </c>
      <c r="Q26" s="327">
        <f>+P26-P26*Q25</f>
        <v>5986790.7046768712</v>
      </c>
      <c r="R26" s="327">
        <f t="shared" ref="R26:AB26" si="35">+Q26-Q26*R25</f>
        <v>5899667.8774235975</v>
      </c>
      <c r="S26" s="327">
        <f t="shared" si="35"/>
        <v>5813222.7676595459</v>
      </c>
      <c r="T26" s="327">
        <f t="shared" si="35"/>
        <v>5727450.2520760149</v>
      </c>
      <c r="U26" s="327">
        <f t="shared" si="35"/>
        <v>5642345.1602598503</v>
      </c>
      <c r="V26" s="327">
        <f t="shared" si="35"/>
        <v>5557902.6181438137</v>
      </c>
      <c r="W26" s="327">
        <f t="shared" si="35"/>
        <v>5474117.6155723063</v>
      </c>
      <c r="X26" s="327">
        <f t="shared" si="35"/>
        <v>5390984.9288606038</v>
      </c>
      <c r="Y26" s="327">
        <f t="shared" si="35"/>
        <v>5308499.7953062402</v>
      </c>
      <c r="Z26" s="327">
        <f t="shared" si="35"/>
        <v>5226657.319267597</v>
      </c>
      <c r="AA26" s="327">
        <f t="shared" si="35"/>
        <v>5145452.6420538975</v>
      </c>
      <c r="AB26" s="328">
        <f t="shared" si="35"/>
        <v>5064880.8604402719</v>
      </c>
    </row>
    <row r="27" spans="1:28" ht="13.8" customHeight="1" x14ac:dyDescent="0.3">
      <c r="A27" s="303"/>
      <c r="B27" s="78" t="s">
        <v>48</v>
      </c>
      <c r="C27" s="79">
        <f>+C24+C26</f>
        <v>11239224</v>
      </c>
      <c r="D27" s="79">
        <f t="shared" ref="D27:N27" si="36">+D24+D26</f>
        <v>11432753.650000002</v>
      </c>
      <c r="E27" s="79">
        <f t="shared" si="36"/>
        <v>11626283.300000003</v>
      </c>
      <c r="F27" s="79">
        <f t="shared" si="36"/>
        <v>11753699.935000001</v>
      </c>
      <c r="G27" s="79">
        <f t="shared" si="36"/>
        <v>11881116.570000002</v>
      </c>
      <c r="H27" s="79">
        <f t="shared" si="36"/>
        <v>11953745.285</v>
      </c>
      <c r="I27" s="79">
        <f t="shared" si="36"/>
        <v>12026374.000000002</v>
      </c>
      <c r="J27" s="79">
        <f t="shared" si="36"/>
        <v>12123186.475000001</v>
      </c>
      <c r="K27" s="79">
        <f t="shared" si="36"/>
        <v>12219998.949999999</v>
      </c>
      <c r="L27" s="79">
        <f t="shared" si="36"/>
        <v>12219998.949999999</v>
      </c>
      <c r="M27" s="79">
        <f t="shared" si="36"/>
        <v>12219998.949999999</v>
      </c>
      <c r="N27" s="79">
        <f t="shared" si="36"/>
        <v>12119335.200000001</v>
      </c>
      <c r="O27" s="79">
        <f t="shared" ref="O27:AB27" si="37">+O24+O26</f>
        <v>12119335.200000001</v>
      </c>
      <c r="P27" s="79">
        <f t="shared" si="37"/>
        <v>12027922.851641618</v>
      </c>
      <c r="Q27" s="79">
        <f t="shared" si="37"/>
        <v>11937200.014671296</v>
      </c>
      <c r="R27" s="79">
        <f t="shared" si="37"/>
        <v>11847161.486856125</v>
      </c>
      <c r="S27" s="79">
        <f t="shared" si="37"/>
        <v>11757802.105223451</v>
      </c>
      <c r="T27" s="79">
        <f t="shared" si="37"/>
        <v>11669116.745764513</v>
      </c>
      <c r="U27" s="79">
        <f t="shared" si="37"/>
        <v>11581100.237366442</v>
      </c>
      <c r="V27" s="79">
        <f t="shared" si="37"/>
        <v>11493747.705262624</v>
      </c>
      <c r="W27" s="79">
        <f t="shared" si="37"/>
        <v>11407054.138598427</v>
      </c>
      <c r="X27" s="79">
        <f t="shared" si="37"/>
        <v>11321014.312990442</v>
      </c>
      <c r="Y27" s="79">
        <f t="shared" si="37"/>
        <v>11235623.465037854</v>
      </c>
      <c r="Z27" s="79">
        <f t="shared" si="37"/>
        <v>11150876.698401043</v>
      </c>
      <c r="AA27" s="79">
        <f t="shared" si="37"/>
        <v>11066769.153691567</v>
      </c>
      <c r="AB27" s="80">
        <f t="shared" si="37"/>
        <v>10983295.92698724</v>
      </c>
    </row>
    <row r="28" spans="1:28" ht="13.8" customHeight="1" x14ac:dyDescent="0.3">
      <c r="A28" s="303"/>
      <c r="B28" s="78" t="s">
        <v>49</v>
      </c>
      <c r="C28" s="79"/>
      <c r="D28" s="79"/>
      <c r="E28" s="79"/>
      <c r="F28" s="79"/>
      <c r="G28" s="79"/>
      <c r="H28" s="79"/>
      <c r="I28" s="79"/>
      <c r="J28" s="79"/>
      <c r="K28" s="79"/>
      <c r="L28" s="79"/>
      <c r="M28" s="79"/>
      <c r="N28" s="79"/>
      <c r="O28" s="79"/>
      <c r="P28" s="327">
        <f>+P27-O27</f>
        <v>-91412.348358383402</v>
      </c>
      <c r="Q28" s="327">
        <f t="shared" ref="Q28" si="38">+Q27-P27</f>
        <v>-90722.836970321834</v>
      </c>
      <c r="R28" s="327">
        <f t="shared" ref="R28" si="39">+R27-Q27</f>
        <v>-90038.527815170586</v>
      </c>
      <c r="S28" s="327">
        <f t="shared" ref="S28" si="40">+S27-R27</f>
        <v>-89359.381632674485</v>
      </c>
      <c r="T28" s="327">
        <f t="shared" ref="T28" si="41">+T27-S27</f>
        <v>-88685.359458938241</v>
      </c>
      <c r="U28" s="327">
        <f t="shared" ref="U28" si="42">+U27-T27</f>
        <v>-88016.508398070931</v>
      </c>
      <c r="V28" s="327">
        <f t="shared" ref="V28" si="43">+V27-U27</f>
        <v>-87352.53210381791</v>
      </c>
      <c r="W28" s="327">
        <f t="shared" ref="W28" si="44">+W27-V27</f>
        <v>-86693.566664196551</v>
      </c>
      <c r="X28" s="327">
        <f t="shared" ref="X28" si="45">+X27-W27</f>
        <v>-86039.825607985258</v>
      </c>
      <c r="Y28" s="327">
        <f t="shared" ref="Y28" si="46">+Y27-X27</f>
        <v>-85390.84795258753</v>
      </c>
      <c r="Z28" s="327">
        <f t="shared" ref="Z28" si="47">+Z27-Y27</f>
        <v>-84746.766636811197</v>
      </c>
      <c r="AA28" s="327">
        <f t="shared" ref="AA28" si="48">+AA27-Z27</f>
        <v>-84107.544709475711</v>
      </c>
      <c r="AB28" s="328">
        <f t="shared" ref="AB28" si="49">+AB27-AA27</f>
        <v>-83473.22670432739</v>
      </c>
    </row>
    <row r="29" spans="1:28" ht="13.8" customHeight="1" thickBot="1" x14ac:dyDescent="0.35">
      <c r="A29" s="303" t="s">
        <v>206</v>
      </c>
      <c r="B29" s="95" t="s">
        <v>50</v>
      </c>
      <c r="C29" s="96"/>
      <c r="D29" s="96"/>
      <c r="E29" s="96"/>
      <c r="F29" s="96"/>
      <c r="G29" s="96"/>
      <c r="H29" s="96"/>
      <c r="I29" s="96"/>
      <c r="J29" s="96"/>
      <c r="K29" s="96"/>
      <c r="L29" s="96"/>
      <c r="M29" s="96"/>
      <c r="N29" s="96"/>
      <c r="O29" s="96"/>
      <c r="P29" s="436">
        <f>P28/P27</f>
        <v>-7.6000111977694547E-3</v>
      </c>
      <c r="Q29" s="436">
        <f t="shared" ref="Q29:AA29" si="50">Q28/Q27</f>
        <v>-7.6000097894665282E-3</v>
      </c>
      <c r="R29" s="436">
        <f t="shared" si="50"/>
        <v>-7.6000084843161923E-3</v>
      </c>
      <c r="S29" s="436">
        <f t="shared" si="50"/>
        <v>-7.6000072830768447E-3</v>
      </c>
      <c r="T29" s="436">
        <f t="shared" si="50"/>
        <v>-7.6000061865117577E-3</v>
      </c>
      <c r="U29" s="436">
        <f t="shared" si="50"/>
        <v>-7.6000126580448293E-3</v>
      </c>
      <c r="V29" s="436">
        <f t="shared" si="50"/>
        <v>-7.6000043105019562E-3</v>
      </c>
      <c r="W29" s="436">
        <f t="shared" si="50"/>
        <v>-7.5999960735566828E-3</v>
      </c>
      <c r="X29" s="436">
        <f t="shared" si="50"/>
        <v>-7.6000103196811409E-3</v>
      </c>
      <c r="Y29" s="436">
        <f t="shared" si="50"/>
        <v>-7.6000097563166105E-3</v>
      </c>
      <c r="Z29" s="436">
        <f t="shared" si="50"/>
        <v>-7.6000093023146139E-3</v>
      </c>
      <c r="AA29" s="436">
        <f t="shared" si="50"/>
        <v>-7.6000089584790662E-3</v>
      </c>
      <c r="AB29" s="437">
        <f>AB28/AB27</f>
        <v>-7.6000161754017689E-3</v>
      </c>
    </row>
    <row r="30" spans="1:28" ht="13.8" customHeight="1" thickBot="1" x14ac:dyDescent="0.35">
      <c r="B30" s="85"/>
      <c r="C30" s="86"/>
      <c r="D30" s="86"/>
      <c r="E30" s="86"/>
      <c r="F30" s="86"/>
      <c r="G30" s="86"/>
      <c r="H30" s="86"/>
      <c r="I30" s="86"/>
      <c r="J30" s="86"/>
      <c r="K30" s="86"/>
      <c r="L30" s="86"/>
      <c r="M30" s="86"/>
      <c r="N30" s="86"/>
      <c r="O30" s="86"/>
      <c r="P30" s="86"/>
      <c r="Q30" s="86"/>
      <c r="R30" s="86"/>
      <c r="S30" s="86"/>
      <c r="T30" s="86"/>
      <c r="U30" s="86"/>
      <c r="V30" s="86"/>
      <c r="W30" s="86"/>
      <c r="X30" s="86"/>
      <c r="Y30" s="86"/>
      <c r="Z30" s="86"/>
      <c r="AA30" s="86"/>
      <c r="AB30" s="87"/>
    </row>
    <row r="31" spans="1:28" ht="13.8" customHeight="1" x14ac:dyDescent="0.3"/>
    <row r="32" spans="1:28" ht="13.8" customHeight="1" thickBot="1" x14ac:dyDescent="0.35"/>
    <row r="33" spans="2:29" ht="15" thickBot="1" x14ac:dyDescent="0.35">
      <c r="B33" s="82"/>
      <c r="C33" s="83"/>
      <c r="D33" s="83"/>
      <c r="E33" s="83"/>
      <c r="F33" s="83"/>
      <c r="G33" s="83"/>
      <c r="H33" s="83"/>
      <c r="I33" s="83"/>
      <c r="J33" s="83"/>
      <c r="K33" s="83"/>
      <c r="L33" s="83"/>
      <c r="M33" s="83"/>
      <c r="N33" s="83"/>
      <c r="O33" s="83"/>
      <c r="P33" s="420"/>
      <c r="R33" s="37"/>
      <c r="S33" s="37"/>
      <c r="T33" s="37"/>
      <c r="U33" s="37"/>
      <c r="V33" s="37"/>
      <c r="W33" s="37"/>
      <c r="X33" s="37"/>
      <c r="Y33" s="37"/>
      <c r="Z33" s="37"/>
      <c r="AA33" s="37"/>
      <c r="AB33" s="37"/>
      <c r="AC33" s="37"/>
    </row>
    <row r="34" spans="2:29" ht="15" thickBot="1" x14ac:dyDescent="0.35">
      <c r="B34" s="88" t="s">
        <v>136</v>
      </c>
      <c r="C34" s="74"/>
      <c r="D34" s="74"/>
      <c r="E34" s="74"/>
      <c r="F34" s="74"/>
      <c r="G34" s="74"/>
      <c r="H34" s="74"/>
      <c r="I34" s="74"/>
      <c r="J34" s="74"/>
      <c r="K34" s="74"/>
      <c r="L34" s="74"/>
      <c r="M34" s="74"/>
      <c r="N34" s="74"/>
      <c r="O34" s="74"/>
      <c r="P34" s="421" t="s">
        <v>235</v>
      </c>
      <c r="R34" s="417" t="s">
        <v>232</v>
      </c>
    </row>
    <row r="35" spans="2:29" x14ac:dyDescent="0.3">
      <c r="B35" s="89" t="s">
        <v>2</v>
      </c>
      <c r="C35" s="422">
        <f t="shared" ref="C35:N35" si="51">+C7/C$24</f>
        <v>2.4326230329074468E-3</v>
      </c>
      <c r="D35" s="422">
        <f t="shared" si="51"/>
        <v>2.543355022036559E-3</v>
      </c>
      <c r="E35" s="422">
        <f t="shared" si="51"/>
        <v>2.6462418104899123E-3</v>
      </c>
      <c r="F35" s="422">
        <f t="shared" si="51"/>
        <v>2.6087422823836228E-3</v>
      </c>
      <c r="G35" s="422">
        <f t="shared" si="51"/>
        <v>2.5729139825565366E-3</v>
      </c>
      <c r="H35" s="422">
        <f t="shared" si="51"/>
        <v>2.5481624761630917E-3</v>
      </c>
      <c r="I35" s="422">
        <f t="shared" si="51"/>
        <v>2.5240241654343933E-3</v>
      </c>
      <c r="J35" s="422">
        <f t="shared" si="51"/>
        <v>2.4798030632483367E-3</v>
      </c>
      <c r="K35" s="422">
        <f t="shared" si="51"/>
        <v>2.4369956043996869E-3</v>
      </c>
      <c r="L35" s="422">
        <f t="shared" si="51"/>
        <v>2.4369956043996869E-3</v>
      </c>
      <c r="M35" s="422">
        <f t="shared" si="51"/>
        <v>2.4369956043996869E-3</v>
      </c>
      <c r="N35" s="422">
        <f t="shared" si="51"/>
        <v>2.289193946857458E-3</v>
      </c>
      <c r="O35" s="423">
        <f>+O7/O$24</f>
        <v>2.289193946857458E-3</v>
      </c>
      <c r="P35" s="424">
        <f>IF(R35="CONSTANTE",O35,SUM(C7:O7)/SUM($C$17:$O$17))</f>
        <v>2.289193946857458E-3</v>
      </c>
      <c r="R35" s="418" t="s">
        <v>233</v>
      </c>
      <c r="S35" s="37"/>
      <c r="T35" s="37"/>
      <c r="U35" s="37"/>
      <c r="V35" s="37"/>
      <c r="W35" s="37"/>
      <c r="X35" s="37"/>
      <c r="Y35" s="37"/>
      <c r="Z35" s="37"/>
      <c r="AA35" s="37"/>
      <c r="AB35" s="37"/>
      <c r="AC35" s="37"/>
    </row>
    <row r="36" spans="2:29" x14ac:dyDescent="0.3">
      <c r="B36" s="78" t="s">
        <v>4</v>
      </c>
      <c r="C36" s="425">
        <f t="shared" ref="C36:O36" si="52">+C8/C$24</f>
        <v>2.3755016071483386E-2</v>
      </c>
      <c r="D36" s="425">
        <f t="shared" si="52"/>
        <v>2.3951250624933172E-2</v>
      </c>
      <c r="E36" s="425">
        <f t="shared" si="52"/>
        <v>2.4133582245152562E-2</v>
      </c>
      <c r="F36" s="425">
        <f t="shared" si="52"/>
        <v>2.4328383923582893E-2</v>
      </c>
      <c r="G36" s="425">
        <f t="shared" si="52"/>
        <v>2.4514503944129233E-2</v>
      </c>
      <c r="H36" s="425">
        <f t="shared" si="52"/>
        <v>2.4177683344094394E-2</v>
      </c>
      <c r="I36" s="425">
        <f t="shared" si="52"/>
        <v>2.3849207162716563E-2</v>
      </c>
      <c r="J36" s="425">
        <f t="shared" si="52"/>
        <v>2.346503035305416E-2</v>
      </c>
      <c r="K36" s="425">
        <f t="shared" si="52"/>
        <v>2.3093134761193162E-2</v>
      </c>
      <c r="L36" s="425">
        <f t="shared" si="52"/>
        <v>2.3093134761193162E-2</v>
      </c>
      <c r="M36" s="425">
        <f t="shared" si="52"/>
        <v>2.3093134761193162E-2</v>
      </c>
      <c r="N36" s="425">
        <f t="shared" si="52"/>
        <v>2.340165658061413E-2</v>
      </c>
      <c r="O36" s="426">
        <f t="shared" si="52"/>
        <v>2.340165658061413E-2</v>
      </c>
      <c r="P36" s="427">
        <f t="shared" ref="P36:P44" si="53">IF(R36="CONSTANTE",O36,SUM(C8:O8)/SUM($C$17:$O$17))</f>
        <v>2.340165658061413E-2</v>
      </c>
      <c r="R36" s="418" t="s">
        <v>233</v>
      </c>
      <c r="S36" s="38"/>
      <c r="T36" s="38"/>
      <c r="U36" s="38"/>
      <c r="V36" s="38"/>
      <c r="W36" s="38"/>
      <c r="X36" s="38"/>
      <c r="Y36" s="38"/>
      <c r="Z36" s="38"/>
      <c r="AA36" s="38"/>
      <c r="AB36" s="38"/>
      <c r="AC36" s="38"/>
    </row>
    <row r="37" spans="2:29" x14ac:dyDescent="0.3">
      <c r="B37" s="78" t="s">
        <v>5</v>
      </c>
      <c r="C37" s="425">
        <f t="shared" ref="C37:O37" si="54">+C9/C$24</f>
        <v>0.2271477871603779</v>
      </c>
      <c r="D37" s="425">
        <f t="shared" si="54"/>
        <v>0.21988929198125545</v>
      </c>
      <c r="E37" s="425">
        <f t="shared" si="54"/>
        <v>0.21314505064812733</v>
      </c>
      <c r="F37" s="425">
        <f t="shared" si="54"/>
        <v>0.214404206663873</v>
      </c>
      <c r="G37" s="425">
        <f t="shared" si="54"/>
        <v>0.21560724631635439</v>
      </c>
      <c r="H37" s="425">
        <f t="shared" si="54"/>
        <v>0.21306682869024657</v>
      </c>
      <c r="I37" s="425">
        <f t="shared" si="54"/>
        <v>0.2105893475598094</v>
      </c>
      <c r="J37" s="425">
        <f t="shared" si="54"/>
        <v>0.2089782517816795</v>
      </c>
      <c r="K37" s="425">
        <f t="shared" si="54"/>
        <v>0.20741865889922811</v>
      </c>
      <c r="L37" s="425">
        <f t="shared" si="54"/>
        <v>0.20741865889922811</v>
      </c>
      <c r="M37" s="425">
        <f t="shared" si="54"/>
        <v>0.20741865889922811</v>
      </c>
      <c r="N37" s="425">
        <f t="shared" si="54"/>
        <v>0.21112596946566167</v>
      </c>
      <c r="O37" s="426">
        <f t="shared" si="54"/>
        <v>0.21112596946566167</v>
      </c>
      <c r="P37" s="427">
        <f t="shared" si="53"/>
        <v>0.21112596946566167</v>
      </c>
      <c r="R37" s="418" t="s">
        <v>233</v>
      </c>
      <c r="S37" s="39"/>
      <c r="T37" s="39"/>
      <c r="U37" s="39"/>
      <c r="V37" s="39"/>
      <c r="W37" s="39"/>
      <c r="X37" s="39"/>
      <c r="Y37" s="39"/>
      <c r="Z37" s="39"/>
      <c r="AA37" s="39"/>
      <c r="AB37" s="39"/>
      <c r="AC37" s="39"/>
    </row>
    <row r="38" spans="2:29" x14ac:dyDescent="0.3">
      <c r="B38" s="78" t="s">
        <v>6</v>
      </c>
      <c r="C38" s="425">
        <f t="shared" ref="C38:O38" si="55">+C10/C$24</f>
        <v>9.2334110657209256E-2</v>
      </c>
      <c r="D38" s="425">
        <f t="shared" si="55"/>
        <v>8.9134330770212655E-2</v>
      </c>
      <c r="E38" s="425">
        <f t="shared" si="55"/>
        <v>8.6161250642961873E-2</v>
      </c>
      <c r="F38" s="425">
        <f t="shared" si="55"/>
        <v>8.7463738872482766E-2</v>
      </c>
      <c r="G38" s="425">
        <f t="shared" si="55"/>
        <v>8.8708179567209638E-2</v>
      </c>
      <c r="H38" s="425">
        <f t="shared" si="55"/>
        <v>8.7501389318200076E-2</v>
      </c>
      <c r="I38" s="425">
        <f t="shared" si="55"/>
        <v>8.6324496180792062E-2</v>
      </c>
      <c r="J38" s="425">
        <f t="shared" si="55"/>
        <v>8.6347990242825412E-2</v>
      </c>
      <c r="K38" s="425">
        <f t="shared" si="55"/>
        <v>8.6370733255639709E-2</v>
      </c>
      <c r="L38" s="425">
        <f t="shared" si="55"/>
        <v>8.6370733255639709E-2</v>
      </c>
      <c r="M38" s="425">
        <f t="shared" si="55"/>
        <v>8.6370733255639709E-2</v>
      </c>
      <c r="N38" s="425">
        <f t="shared" si="55"/>
        <v>8.648804741913739E-2</v>
      </c>
      <c r="O38" s="426">
        <f t="shared" si="55"/>
        <v>8.648804741913739E-2</v>
      </c>
      <c r="P38" s="427">
        <f t="shared" si="53"/>
        <v>8.648804741913739E-2</v>
      </c>
      <c r="R38" s="418" t="s">
        <v>233</v>
      </c>
    </row>
    <row r="39" spans="2:29" x14ac:dyDescent="0.3">
      <c r="B39" s="78" t="s">
        <v>7</v>
      </c>
      <c r="C39" s="425">
        <f t="shared" ref="C39:O39" si="56">+C11/C$24</f>
        <v>6.3588111093525565E-2</v>
      </c>
      <c r="D39" s="425">
        <f t="shared" si="56"/>
        <v>6.1744149903918438E-2</v>
      </c>
      <c r="E39" s="425">
        <f t="shared" si="56"/>
        <v>6.0030830687643082E-2</v>
      </c>
      <c r="F39" s="425">
        <f t="shared" si="56"/>
        <v>5.9663932166783604E-2</v>
      </c>
      <c r="G39" s="425">
        <f t="shared" si="56"/>
        <v>5.9313385083252061E-2</v>
      </c>
      <c r="H39" s="425">
        <f t="shared" si="56"/>
        <v>5.8751092062324067E-2</v>
      </c>
      <c r="I39" s="425">
        <f t="shared" si="56"/>
        <v>5.8202729330618444E-2</v>
      </c>
      <c r="J39" s="425">
        <f t="shared" si="56"/>
        <v>6.0056897319162861E-2</v>
      </c>
      <c r="K39" s="425">
        <f t="shared" si="56"/>
        <v>6.1851791972266389E-2</v>
      </c>
      <c r="L39" s="425">
        <f t="shared" si="56"/>
        <v>6.1851791972266389E-2</v>
      </c>
      <c r="M39" s="425">
        <f t="shared" si="56"/>
        <v>6.1851791972266389E-2</v>
      </c>
      <c r="N39" s="425">
        <f t="shared" si="56"/>
        <v>6.2977429571819163E-2</v>
      </c>
      <c r="O39" s="426">
        <f t="shared" si="56"/>
        <v>6.2977429571819163E-2</v>
      </c>
      <c r="P39" s="427">
        <f t="shared" si="53"/>
        <v>6.2977429571819163E-2</v>
      </c>
      <c r="R39" s="418" t="s">
        <v>233</v>
      </c>
    </row>
    <row r="40" spans="2:29" x14ac:dyDescent="0.3">
      <c r="B40" s="78" t="s">
        <v>8</v>
      </c>
      <c r="C40" s="425">
        <f t="shared" ref="C40:O40" si="57">+C12/C$24</f>
        <v>0.4653058219229762</v>
      </c>
      <c r="D40" s="425">
        <f t="shared" si="57"/>
        <v>0.48130280312303436</v>
      </c>
      <c r="E40" s="425">
        <f t="shared" si="57"/>
        <v>0.49616642142852307</v>
      </c>
      <c r="F40" s="425">
        <f t="shared" si="57"/>
        <v>0.49522028924095529</v>
      </c>
      <c r="G40" s="425">
        <f t="shared" si="57"/>
        <v>0.4943163229938024</v>
      </c>
      <c r="H40" s="425">
        <f t="shared" si="57"/>
        <v>0.49368476761899899</v>
      </c>
      <c r="I40" s="425">
        <f t="shared" si="57"/>
        <v>0.49306885844413662</v>
      </c>
      <c r="J40" s="425">
        <f t="shared" si="57"/>
        <v>0.49591922153975609</v>
      </c>
      <c r="K40" s="425">
        <f t="shared" si="57"/>
        <v>0.4986784653145056</v>
      </c>
      <c r="L40" s="425">
        <f t="shared" si="57"/>
        <v>0.4986784653145056</v>
      </c>
      <c r="M40" s="425">
        <f t="shared" si="57"/>
        <v>0.4986784653145056</v>
      </c>
      <c r="N40" s="425">
        <f t="shared" si="57"/>
        <v>0.49173296262997912</v>
      </c>
      <c r="O40" s="426">
        <f t="shared" si="57"/>
        <v>0.49173296262997912</v>
      </c>
      <c r="P40" s="427">
        <f t="shared" si="53"/>
        <v>0.49173296262997912</v>
      </c>
      <c r="R40" s="418" t="s">
        <v>233</v>
      </c>
    </row>
    <row r="41" spans="2:29" x14ac:dyDescent="0.3">
      <c r="B41" s="78" t="s">
        <v>9</v>
      </c>
      <c r="C41" s="425">
        <f t="shared" ref="C41:O41" si="58">+C13/C$24</f>
        <v>5.1552246317857119E-2</v>
      </c>
      <c r="D41" s="425">
        <f t="shared" si="58"/>
        <v>5.002642056771197E-2</v>
      </c>
      <c r="E41" s="425">
        <f t="shared" si="58"/>
        <v>4.8608697356862587E-2</v>
      </c>
      <c r="F41" s="425">
        <f t="shared" si="58"/>
        <v>4.8241610984137144E-2</v>
      </c>
      <c r="G41" s="425">
        <f t="shared" si="58"/>
        <v>4.7890884420667683E-2</v>
      </c>
      <c r="H41" s="425">
        <f t="shared" si="58"/>
        <v>4.6408924561252819E-2</v>
      </c>
      <c r="I41" s="425">
        <f t="shared" si="58"/>
        <v>4.496367888588302E-2</v>
      </c>
      <c r="J41" s="425">
        <f t="shared" si="58"/>
        <v>4.4111486269573723E-2</v>
      </c>
      <c r="K41" s="425">
        <f t="shared" si="58"/>
        <v>4.328653622196306E-2</v>
      </c>
      <c r="L41" s="425">
        <f t="shared" si="58"/>
        <v>4.328653622196306E-2</v>
      </c>
      <c r="M41" s="425">
        <f t="shared" si="58"/>
        <v>4.328653622196306E-2</v>
      </c>
      <c r="N41" s="425">
        <f t="shared" si="58"/>
        <v>4.0375605771757209E-2</v>
      </c>
      <c r="O41" s="426">
        <f t="shared" si="58"/>
        <v>4.0375605771757209E-2</v>
      </c>
      <c r="P41" s="427">
        <f t="shared" si="53"/>
        <v>4.0375605771757209E-2</v>
      </c>
      <c r="R41" s="418" t="s">
        <v>233</v>
      </c>
    </row>
    <row r="42" spans="2:29" x14ac:dyDescent="0.3">
      <c r="B42" s="78" t="s">
        <v>10</v>
      </c>
      <c r="C42" s="425">
        <f t="shared" ref="C42:O42" si="59">+C14/C$24</f>
        <v>1.2803110115024946E-2</v>
      </c>
      <c r="D42" s="425">
        <f t="shared" si="59"/>
        <v>1.2398360088821232E-2</v>
      </c>
      <c r="E42" s="425">
        <f t="shared" si="59"/>
        <v>1.202228601438232E-2</v>
      </c>
      <c r="F42" s="425">
        <f t="shared" si="59"/>
        <v>1.1466848526138449E-2</v>
      </c>
      <c r="G42" s="425">
        <f t="shared" si="59"/>
        <v>1.0936165025066155E-2</v>
      </c>
      <c r="H42" s="425">
        <f t="shared" si="59"/>
        <v>1.135257566458908E-2</v>
      </c>
      <c r="I42" s="425">
        <f t="shared" si="59"/>
        <v>1.1758670115882842E-2</v>
      </c>
      <c r="J42" s="425">
        <f t="shared" si="59"/>
        <v>1.1514736815220323E-2</v>
      </c>
      <c r="K42" s="425">
        <f t="shared" si="59"/>
        <v>1.1278601481324944E-2</v>
      </c>
      <c r="L42" s="425">
        <f t="shared" si="59"/>
        <v>1.1278601481324944E-2</v>
      </c>
      <c r="M42" s="425">
        <f t="shared" si="59"/>
        <v>1.1278601481324944E-2</v>
      </c>
      <c r="N42" s="425">
        <f t="shared" si="59"/>
        <v>1.6467925681364685E-2</v>
      </c>
      <c r="O42" s="426">
        <f t="shared" si="59"/>
        <v>1.6467925681364685E-2</v>
      </c>
      <c r="P42" s="427">
        <f t="shared" si="53"/>
        <v>1.6467925681364685E-2</v>
      </c>
      <c r="R42" s="418" t="s">
        <v>233</v>
      </c>
    </row>
    <row r="43" spans="2:29" x14ac:dyDescent="0.3">
      <c r="B43" s="78" t="s">
        <v>11</v>
      </c>
      <c r="C43" s="425">
        <f t="shared" ref="C43:O43" si="60">+C15/C$24</f>
        <v>5.3540414951237111E-2</v>
      </c>
      <c r="D43" s="425">
        <f t="shared" si="60"/>
        <v>5.1746215405843426E-2</v>
      </c>
      <c r="E43" s="425">
        <f t="shared" si="60"/>
        <v>5.0079132293529935E-2</v>
      </c>
      <c r="F43" s="425">
        <f t="shared" si="60"/>
        <v>4.9755427079547346E-2</v>
      </c>
      <c r="G43" s="425">
        <f t="shared" si="60"/>
        <v>4.9446148321977738E-2</v>
      </c>
      <c r="H43" s="425">
        <f t="shared" si="60"/>
        <v>4.9975613424055293E-2</v>
      </c>
      <c r="I43" s="425">
        <f t="shared" si="60"/>
        <v>5.0491961518219532E-2</v>
      </c>
      <c r="J43" s="425">
        <f t="shared" si="60"/>
        <v>5.00222985072502E-2</v>
      </c>
      <c r="K43" s="425">
        <f t="shared" si="60"/>
        <v>4.9567649504377961E-2</v>
      </c>
      <c r="L43" s="425">
        <f t="shared" si="60"/>
        <v>4.9567649504377961E-2</v>
      </c>
      <c r="M43" s="425">
        <f t="shared" si="60"/>
        <v>4.9567649504377961E-2</v>
      </c>
      <c r="N43" s="425">
        <f t="shared" si="60"/>
        <v>4.5808558915894158E-2</v>
      </c>
      <c r="O43" s="426">
        <f t="shared" si="60"/>
        <v>4.5808558915894158E-2</v>
      </c>
      <c r="P43" s="427">
        <f t="shared" si="53"/>
        <v>4.5808558915894158E-2</v>
      </c>
      <c r="R43" s="418" t="s">
        <v>233</v>
      </c>
    </row>
    <row r="44" spans="2:29" ht="15" thickBot="1" x14ac:dyDescent="0.35">
      <c r="B44" s="78" t="s">
        <v>12</v>
      </c>
      <c r="C44" s="425">
        <f t="shared" ref="C44:O44" si="61">+C16/C$24</f>
        <v>7.5407586774012946E-3</v>
      </c>
      <c r="D44" s="425">
        <f t="shared" si="61"/>
        <v>7.2638225122327307E-3</v>
      </c>
      <c r="E44" s="425">
        <f t="shared" si="61"/>
        <v>7.0065068723270995E-3</v>
      </c>
      <c r="F44" s="425">
        <f t="shared" si="61"/>
        <v>6.8468202601160467E-3</v>
      </c>
      <c r="G44" s="425">
        <f t="shared" si="61"/>
        <v>6.6942503449839803E-3</v>
      </c>
      <c r="H44" s="425">
        <f t="shared" si="61"/>
        <v>1.2532962840075632E-2</v>
      </c>
      <c r="I44" s="425">
        <f t="shared" si="61"/>
        <v>1.8227026636507E-2</v>
      </c>
      <c r="J44" s="425">
        <f t="shared" si="61"/>
        <v>1.7104284108229444E-2</v>
      </c>
      <c r="K44" s="425">
        <f t="shared" si="61"/>
        <v>1.6017432985101519E-2</v>
      </c>
      <c r="L44" s="425">
        <f t="shared" si="61"/>
        <v>1.6017432985101519E-2</v>
      </c>
      <c r="M44" s="425">
        <f t="shared" si="61"/>
        <v>1.6017432985101519E-2</v>
      </c>
      <c r="N44" s="425">
        <f t="shared" si="61"/>
        <v>1.9332650016915018E-2</v>
      </c>
      <c r="O44" s="426">
        <f t="shared" si="61"/>
        <v>1.9332650016915018E-2</v>
      </c>
      <c r="P44" s="427">
        <f t="shared" si="53"/>
        <v>1.9332650016915018E-2</v>
      </c>
      <c r="R44" s="419" t="s">
        <v>233</v>
      </c>
    </row>
    <row r="45" spans="2:29" ht="15" thickBot="1" x14ac:dyDescent="0.35">
      <c r="B45" s="91" t="s">
        <v>31</v>
      </c>
      <c r="C45" s="428">
        <f>+SUM(C35:C44)</f>
        <v>1.0000000000000002</v>
      </c>
      <c r="D45" s="428">
        <f t="shared" ref="D45" si="62">+SUM(D35:D44)</f>
        <v>0.99999999999999989</v>
      </c>
      <c r="E45" s="428">
        <f t="shared" ref="E45" si="63">+SUM(E35:E44)</f>
        <v>0.99999999999999956</v>
      </c>
      <c r="F45" s="428">
        <f t="shared" ref="F45" si="64">+SUM(F35:F44)</f>
        <v>1.0000000000000002</v>
      </c>
      <c r="G45" s="428">
        <f t="shared" ref="G45" si="65">+SUM(G35:G44)</f>
        <v>0.99999999999999967</v>
      </c>
      <c r="H45" s="428">
        <f t="shared" ref="H45" si="66">+SUM(H35:H44)</f>
        <v>0.99999999999999989</v>
      </c>
      <c r="I45" s="428">
        <f t="shared" ref="I45" si="67">+SUM(I35:I44)</f>
        <v>0.99999999999999989</v>
      </c>
      <c r="J45" s="428">
        <f t="shared" ref="J45" si="68">+SUM(J35:J44)</f>
        <v>1</v>
      </c>
      <c r="K45" s="428">
        <f t="shared" ref="K45" si="69">+SUM(K35:K44)</f>
        <v>1.0000000000000002</v>
      </c>
      <c r="L45" s="428">
        <f t="shared" ref="L45" si="70">+SUM(L35:L44)</f>
        <v>1.0000000000000002</v>
      </c>
      <c r="M45" s="428">
        <f t="shared" ref="M45" si="71">+SUM(M35:M44)</f>
        <v>1.0000000000000002</v>
      </c>
      <c r="N45" s="428">
        <f t="shared" ref="N45" si="72">+SUM(N35:N44)</f>
        <v>1</v>
      </c>
      <c r="O45" s="429">
        <f t="shared" ref="O45:P45" si="73">+SUM(O35:O44)</f>
        <v>1</v>
      </c>
      <c r="P45" s="430">
        <f t="shared" si="73"/>
        <v>1</v>
      </c>
    </row>
    <row r="46" spans="2:29" ht="15" thickBot="1" x14ac:dyDescent="0.35">
      <c r="B46" s="85"/>
      <c r="C46" s="86"/>
      <c r="D46" s="86"/>
      <c r="E46" s="86"/>
      <c r="F46" s="86"/>
      <c r="G46" s="86"/>
      <c r="H46" s="86"/>
      <c r="I46" s="86"/>
      <c r="J46" s="86"/>
      <c r="K46" s="86"/>
      <c r="L46" s="86"/>
      <c r="M46" s="86"/>
      <c r="N46" s="86"/>
      <c r="O46" s="86"/>
      <c r="P46" s="87"/>
    </row>
  </sheetData>
  <mergeCells count="1">
    <mergeCell ref="A7:A17"/>
  </mergeCells>
  <dataValidations count="1">
    <dataValidation type="list" allowBlank="1" showInputMessage="1" showErrorMessage="1" sqref="R35:R44" xr:uid="{410D2328-342D-409E-AAD2-833FDFD8CAA9}">
      <formula1>"CONSTANTE, PROMEDIO"</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01F55-1F2E-46D2-9381-D0ED3A144BD5}">
  <sheetPr>
    <tabColor theme="6"/>
  </sheetPr>
  <dimension ref="A1:AD59"/>
  <sheetViews>
    <sheetView topLeftCell="C1" zoomScaleNormal="100" workbookViewId="0">
      <pane ySplit="1" topLeftCell="A2" activePane="bottomLeft" state="frozen"/>
      <selection pane="bottomLeft" activeCell="P1" sqref="P1"/>
    </sheetView>
  </sheetViews>
  <sheetFormatPr baseColWidth="10" defaultColWidth="11.44140625" defaultRowHeight="14.4" x14ac:dyDescent="0.3"/>
  <cols>
    <col min="1" max="1" width="29.6640625" customWidth="1"/>
    <col min="2" max="2" width="32.21875" customWidth="1"/>
  </cols>
  <sheetData>
    <row r="1" spans="1:30" x14ac:dyDescent="0.3">
      <c r="A1" s="178" t="s">
        <v>0</v>
      </c>
      <c r="B1" s="179" t="s">
        <v>1</v>
      </c>
      <c r="C1" s="180">
        <v>2010</v>
      </c>
      <c r="D1" s="180">
        <v>2011</v>
      </c>
      <c r="E1" s="180">
        <v>2012</v>
      </c>
      <c r="F1" s="180">
        <v>2013</v>
      </c>
      <c r="G1" s="180">
        <v>2014</v>
      </c>
      <c r="H1" s="180">
        <v>2015</v>
      </c>
      <c r="I1" s="180">
        <v>2016</v>
      </c>
      <c r="J1" s="180">
        <v>2017</v>
      </c>
      <c r="K1" s="180">
        <v>2018</v>
      </c>
      <c r="L1" s="180">
        <v>2019</v>
      </c>
      <c r="M1" s="180">
        <v>2020</v>
      </c>
      <c r="N1" s="180">
        <v>2021</v>
      </c>
      <c r="O1" s="180">
        <v>2022</v>
      </c>
      <c r="P1" s="180">
        <v>2023</v>
      </c>
      <c r="Q1" s="180">
        <v>2024</v>
      </c>
      <c r="R1" s="180">
        <v>2025</v>
      </c>
      <c r="S1" s="180">
        <v>2026</v>
      </c>
      <c r="T1" s="180">
        <v>2027</v>
      </c>
      <c r="U1" s="180">
        <v>2028</v>
      </c>
      <c r="V1" s="180">
        <v>2029</v>
      </c>
      <c r="W1" s="180">
        <v>2030</v>
      </c>
      <c r="X1" s="180">
        <v>2031</v>
      </c>
      <c r="Y1" s="180">
        <v>2032</v>
      </c>
      <c r="Z1" s="180">
        <v>2033</v>
      </c>
      <c r="AA1" s="180">
        <v>2034</v>
      </c>
      <c r="AB1" s="180">
        <v>2035</v>
      </c>
      <c r="AD1" s="417" t="s">
        <v>232</v>
      </c>
    </row>
    <row r="2" spans="1:30" x14ac:dyDescent="0.3">
      <c r="A2" s="171" t="s">
        <v>3</v>
      </c>
      <c r="B2" s="172" t="s">
        <v>32</v>
      </c>
      <c r="C2" s="173">
        <v>12650.5</v>
      </c>
      <c r="D2" s="173">
        <f>+(C2+E2)/2</f>
        <v>12650.5</v>
      </c>
      <c r="E2" s="173">
        <v>12650.5</v>
      </c>
      <c r="F2" s="173">
        <f>+(E2+G2)/2</f>
        <v>12650.5</v>
      </c>
      <c r="G2" s="173">
        <v>12650.5</v>
      </c>
      <c r="H2" s="173">
        <f>+(G2+I2)/2</f>
        <v>8941.5</v>
      </c>
      <c r="I2" s="173">
        <v>5232.5</v>
      </c>
      <c r="J2" s="173">
        <f>+(I2+K2)/2</f>
        <v>7404.86</v>
      </c>
      <c r="K2" s="173">
        <v>9577.2199999999993</v>
      </c>
      <c r="L2" s="173">
        <v>367.7</v>
      </c>
      <c r="M2" s="173">
        <v>367.7</v>
      </c>
      <c r="N2" s="173">
        <v>2315.79</v>
      </c>
      <c r="O2" s="173">
        <v>2315.79</v>
      </c>
      <c r="P2" s="319">
        <f>IF(AD2="CONSTANTE",O2,AVERAGE(C2:O2))</f>
        <v>2315.79</v>
      </c>
      <c r="Q2" s="319">
        <f>+P2</f>
        <v>2315.79</v>
      </c>
      <c r="R2" s="319">
        <f t="shared" ref="R2:AB2" si="0">+Q2</f>
        <v>2315.79</v>
      </c>
      <c r="S2" s="319">
        <f t="shared" si="0"/>
        <v>2315.79</v>
      </c>
      <c r="T2" s="319">
        <f t="shared" si="0"/>
        <v>2315.79</v>
      </c>
      <c r="U2" s="319">
        <f t="shared" si="0"/>
        <v>2315.79</v>
      </c>
      <c r="V2" s="319">
        <f t="shared" si="0"/>
        <v>2315.79</v>
      </c>
      <c r="W2" s="319">
        <f t="shared" si="0"/>
        <v>2315.79</v>
      </c>
      <c r="X2" s="319">
        <f t="shared" si="0"/>
        <v>2315.79</v>
      </c>
      <c r="Y2" s="319">
        <f t="shared" si="0"/>
        <v>2315.79</v>
      </c>
      <c r="Z2" s="319">
        <f t="shared" si="0"/>
        <v>2315.79</v>
      </c>
      <c r="AA2" s="319">
        <f t="shared" si="0"/>
        <v>2315.79</v>
      </c>
      <c r="AB2" s="320">
        <f t="shared" si="0"/>
        <v>2315.79</v>
      </c>
      <c r="AD2" s="418" t="s">
        <v>233</v>
      </c>
    </row>
    <row r="3" spans="1:30" x14ac:dyDescent="0.3">
      <c r="A3" s="171" t="s">
        <v>15</v>
      </c>
      <c r="B3" s="172" t="s">
        <v>32</v>
      </c>
      <c r="C3" s="173">
        <v>1811.66</v>
      </c>
      <c r="D3" s="173">
        <f t="shared" ref="D3:F6" si="1">+(C3+E3)/2</f>
        <v>1811.66</v>
      </c>
      <c r="E3" s="173">
        <v>1811.66</v>
      </c>
      <c r="F3" s="173">
        <f t="shared" si="1"/>
        <v>1811.66</v>
      </c>
      <c r="G3" s="173">
        <v>1811.66</v>
      </c>
      <c r="H3" s="173">
        <f t="shared" ref="H3" si="2">+(G3+I3)/2</f>
        <v>2469.83</v>
      </c>
      <c r="I3" s="173">
        <v>3128</v>
      </c>
      <c r="J3" s="173">
        <f t="shared" ref="J3" si="3">+(I3+K3)/2</f>
        <v>2948.5150000000003</v>
      </c>
      <c r="K3" s="173">
        <v>2769.03</v>
      </c>
      <c r="L3" s="173">
        <v>70.83</v>
      </c>
      <c r="M3" s="173">
        <v>70.83</v>
      </c>
      <c r="N3" s="173">
        <v>56.52</v>
      </c>
      <c r="O3" s="173">
        <v>56.52</v>
      </c>
      <c r="P3" s="319">
        <f t="shared" ref="P3:P6" si="4">IF(AD3="CONSTANTE",O3,AVERAGE(C3:O3))</f>
        <v>56.52</v>
      </c>
      <c r="Q3" s="319">
        <f t="shared" ref="Q3:Q6" si="5">+P3</f>
        <v>56.52</v>
      </c>
      <c r="R3" s="319">
        <f t="shared" ref="R3:AB3" si="6">+Q3</f>
        <v>56.52</v>
      </c>
      <c r="S3" s="319">
        <f t="shared" si="6"/>
        <v>56.52</v>
      </c>
      <c r="T3" s="319">
        <f t="shared" si="6"/>
        <v>56.52</v>
      </c>
      <c r="U3" s="319">
        <f t="shared" si="6"/>
        <v>56.52</v>
      </c>
      <c r="V3" s="319">
        <f t="shared" si="6"/>
        <v>56.52</v>
      </c>
      <c r="W3" s="319">
        <f t="shared" si="6"/>
        <v>56.52</v>
      </c>
      <c r="X3" s="319">
        <f t="shared" si="6"/>
        <v>56.52</v>
      </c>
      <c r="Y3" s="319">
        <f t="shared" si="6"/>
        <v>56.52</v>
      </c>
      <c r="Z3" s="319">
        <f t="shared" si="6"/>
        <v>56.52</v>
      </c>
      <c r="AA3" s="319">
        <f t="shared" si="6"/>
        <v>56.52</v>
      </c>
      <c r="AB3" s="320">
        <f t="shared" si="6"/>
        <v>56.52</v>
      </c>
      <c r="AD3" s="418" t="s">
        <v>233</v>
      </c>
    </row>
    <row r="4" spans="1:30" x14ac:dyDescent="0.3">
      <c r="A4" s="171" t="s">
        <v>16</v>
      </c>
      <c r="B4" s="172" t="s">
        <v>32</v>
      </c>
      <c r="C4" s="173">
        <v>37.159999999999997</v>
      </c>
      <c r="D4" s="173">
        <f t="shared" si="1"/>
        <v>37.159999999999997</v>
      </c>
      <c r="E4" s="173">
        <v>37.159999999999997</v>
      </c>
      <c r="F4" s="173">
        <f t="shared" si="1"/>
        <v>37.159999999999997</v>
      </c>
      <c r="G4" s="173">
        <v>37.159999999999997</v>
      </c>
      <c r="H4" s="173">
        <f t="shared" ref="H4" si="7">+(G4+I4)/2</f>
        <v>39.33</v>
      </c>
      <c r="I4" s="173">
        <v>41.5</v>
      </c>
      <c r="J4" s="173">
        <f t="shared" ref="J4" si="8">+(I4+K4)/2</f>
        <v>41.16</v>
      </c>
      <c r="K4" s="173">
        <v>40.82</v>
      </c>
      <c r="L4" s="173">
        <v>0.99</v>
      </c>
      <c r="M4" s="173">
        <v>0.99</v>
      </c>
      <c r="N4" s="173">
        <v>12.15</v>
      </c>
      <c r="O4" s="173">
        <v>12.15</v>
      </c>
      <c r="P4" s="319">
        <f t="shared" si="4"/>
        <v>12.15</v>
      </c>
      <c r="Q4" s="319">
        <f t="shared" si="5"/>
        <v>12.15</v>
      </c>
      <c r="R4" s="319">
        <f t="shared" ref="R4:AB4" si="9">+Q4</f>
        <v>12.15</v>
      </c>
      <c r="S4" s="319">
        <f t="shared" si="9"/>
        <v>12.15</v>
      </c>
      <c r="T4" s="319">
        <f t="shared" si="9"/>
        <v>12.15</v>
      </c>
      <c r="U4" s="319">
        <f t="shared" si="9"/>
        <v>12.15</v>
      </c>
      <c r="V4" s="319">
        <f t="shared" si="9"/>
        <v>12.15</v>
      </c>
      <c r="W4" s="319">
        <f t="shared" si="9"/>
        <v>12.15</v>
      </c>
      <c r="X4" s="319">
        <f t="shared" si="9"/>
        <v>12.15</v>
      </c>
      <c r="Y4" s="319">
        <f t="shared" si="9"/>
        <v>12.15</v>
      </c>
      <c r="Z4" s="319">
        <f t="shared" si="9"/>
        <v>12.15</v>
      </c>
      <c r="AA4" s="319">
        <f t="shared" si="9"/>
        <v>12.15</v>
      </c>
      <c r="AB4" s="320">
        <f t="shared" si="9"/>
        <v>12.15</v>
      </c>
      <c r="AD4" s="418" t="s">
        <v>233</v>
      </c>
    </row>
    <row r="5" spans="1:30" x14ac:dyDescent="0.3">
      <c r="A5" s="174" t="s">
        <v>13</v>
      </c>
      <c r="B5" s="172" t="s">
        <v>32</v>
      </c>
      <c r="C5" s="173">
        <v>0</v>
      </c>
      <c r="D5" s="173">
        <f t="shared" si="1"/>
        <v>0</v>
      </c>
      <c r="E5" s="173">
        <v>0</v>
      </c>
      <c r="F5" s="173">
        <f t="shared" si="1"/>
        <v>0</v>
      </c>
      <c r="G5" s="173">
        <v>0</v>
      </c>
      <c r="H5" s="173">
        <f t="shared" ref="H5" si="10">+(G5+I5)/2</f>
        <v>0</v>
      </c>
      <c r="I5" s="173">
        <v>0</v>
      </c>
      <c r="J5" s="173">
        <f t="shared" ref="J5" si="11">+(I5+K5)/2</f>
        <v>0</v>
      </c>
      <c r="K5" s="173">
        <v>0</v>
      </c>
      <c r="L5" s="173">
        <v>0</v>
      </c>
      <c r="M5" s="173">
        <v>0</v>
      </c>
      <c r="N5" s="173">
        <v>0</v>
      </c>
      <c r="O5" s="173">
        <v>0</v>
      </c>
      <c r="P5" s="319">
        <f t="shared" si="4"/>
        <v>0</v>
      </c>
      <c r="Q5" s="319">
        <f t="shared" si="5"/>
        <v>0</v>
      </c>
      <c r="R5" s="319">
        <f t="shared" ref="R5:AB5" si="12">+Q5</f>
        <v>0</v>
      </c>
      <c r="S5" s="319">
        <f t="shared" si="12"/>
        <v>0</v>
      </c>
      <c r="T5" s="319">
        <f t="shared" si="12"/>
        <v>0</v>
      </c>
      <c r="U5" s="319">
        <f t="shared" si="12"/>
        <v>0</v>
      </c>
      <c r="V5" s="319">
        <f t="shared" si="12"/>
        <v>0</v>
      </c>
      <c r="W5" s="319">
        <f t="shared" si="12"/>
        <v>0</v>
      </c>
      <c r="X5" s="319">
        <f t="shared" si="12"/>
        <v>0</v>
      </c>
      <c r="Y5" s="319">
        <f t="shared" si="12"/>
        <v>0</v>
      </c>
      <c r="Z5" s="319">
        <f t="shared" si="12"/>
        <v>0</v>
      </c>
      <c r="AA5" s="319">
        <f t="shared" si="12"/>
        <v>0</v>
      </c>
      <c r="AB5" s="320">
        <f t="shared" si="12"/>
        <v>0</v>
      </c>
      <c r="AD5" s="418" t="s">
        <v>233</v>
      </c>
    </row>
    <row r="6" spans="1:30" ht="15" thickBot="1" x14ac:dyDescent="0.35">
      <c r="A6" s="175" t="s">
        <v>14</v>
      </c>
      <c r="B6" s="176" t="s">
        <v>32</v>
      </c>
      <c r="C6" s="177">
        <v>7.83</v>
      </c>
      <c r="D6" s="177">
        <f t="shared" si="1"/>
        <v>7.83</v>
      </c>
      <c r="E6" s="177">
        <v>7.83</v>
      </c>
      <c r="F6" s="177">
        <f t="shared" si="1"/>
        <v>7.83</v>
      </c>
      <c r="G6" s="177">
        <v>7.83</v>
      </c>
      <c r="H6" s="177">
        <f t="shared" ref="H6" si="13">+(G6+I6)/2</f>
        <v>15.414999999999999</v>
      </c>
      <c r="I6" s="177">
        <v>23</v>
      </c>
      <c r="J6" s="177">
        <f t="shared" ref="J6" si="14">+(I6+K6)/2</f>
        <v>62.755000000000003</v>
      </c>
      <c r="K6" s="177">
        <v>102.51</v>
      </c>
      <c r="L6" s="177">
        <v>2.34</v>
      </c>
      <c r="M6" s="177">
        <v>2.34</v>
      </c>
      <c r="N6" s="177">
        <v>38.21</v>
      </c>
      <c r="O6" s="177">
        <v>38.21</v>
      </c>
      <c r="P6" s="321">
        <f t="shared" si="4"/>
        <v>38.21</v>
      </c>
      <c r="Q6" s="321">
        <f t="shared" si="5"/>
        <v>38.21</v>
      </c>
      <c r="R6" s="321">
        <f t="shared" ref="R6:AB6" si="15">+Q6</f>
        <v>38.21</v>
      </c>
      <c r="S6" s="321">
        <f t="shared" si="15"/>
        <v>38.21</v>
      </c>
      <c r="T6" s="321">
        <f t="shared" si="15"/>
        <v>38.21</v>
      </c>
      <c r="U6" s="321">
        <f t="shared" si="15"/>
        <v>38.21</v>
      </c>
      <c r="V6" s="321">
        <f t="shared" si="15"/>
        <v>38.21</v>
      </c>
      <c r="W6" s="321">
        <f t="shared" si="15"/>
        <v>38.21</v>
      </c>
      <c r="X6" s="321">
        <f t="shared" si="15"/>
        <v>38.21</v>
      </c>
      <c r="Y6" s="321">
        <f t="shared" si="15"/>
        <v>38.21</v>
      </c>
      <c r="Z6" s="321">
        <f t="shared" si="15"/>
        <v>38.21</v>
      </c>
      <c r="AA6" s="321">
        <f t="shared" si="15"/>
        <v>38.21</v>
      </c>
      <c r="AB6" s="322">
        <f t="shared" si="15"/>
        <v>38.21</v>
      </c>
      <c r="AD6" s="419" t="s">
        <v>233</v>
      </c>
    </row>
    <row r="8" spans="1:30" x14ac:dyDescent="0.3">
      <c r="A8" s="181" t="s">
        <v>164</v>
      </c>
    </row>
    <row r="9" spans="1:30" ht="15" thickBot="1" x14ac:dyDescent="0.35">
      <c r="A9" s="168" t="s">
        <v>197</v>
      </c>
      <c r="B9" s="169"/>
      <c r="C9" s="170"/>
      <c r="D9" s="170"/>
      <c r="E9" s="170"/>
      <c r="F9" s="170"/>
      <c r="G9" s="170"/>
      <c r="H9" s="170"/>
      <c r="I9" s="170"/>
      <c r="J9" s="170"/>
      <c r="K9" s="170"/>
      <c r="L9" s="170"/>
      <c r="M9" s="170"/>
      <c r="N9" s="170"/>
      <c r="O9" s="170"/>
      <c r="P9" s="170"/>
      <c r="Q9" s="170"/>
      <c r="R9" s="170"/>
      <c r="S9" s="170"/>
      <c r="T9" s="170"/>
      <c r="U9" s="170"/>
      <c r="V9" s="170"/>
      <c r="W9" s="170"/>
      <c r="X9" s="170"/>
      <c r="Y9" s="170"/>
      <c r="Z9" s="170"/>
      <c r="AA9" s="170"/>
      <c r="AB9" s="170"/>
    </row>
    <row r="10" spans="1:30" x14ac:dyDescent="0.3">
      <c r="A10" s="158" t="s">
        <v>3</v>
      </c>
      <c r="B10" s="159" t="s">
        <v>2</v>
      </c>
      <c r="C10" s="160">
        <f>+C$2*COBERTURA_BOSQUE!C35</f>
        <v>30.773897677795656</v>
      </c>
      <c r="D10" s="160">
        <f>+D$2*COBERTURA_BOSQUE!D35</f>
        <v>32.174712706273489</v>
      </c>
      <c r="E10" s="160">
        <f>+E$2*COBERTURA_BOSQUE!E35</f>
        <v>33.476282023602636</v>
      </c>
      <c r="F10" s="160">
        <f>+F$2*COBERTURA_BOSQUE!F35</f>
        <v>33.001894243294018</v>
      </c>
      <c r="G10" s="160">
        <f>+G$2*COBERTURA_BOSQUE!G35</f>
        <v>32.548648336331468</v>
      </c>
      <c r="H10" s="160">
        <f>+H$2*COBERTURA_BOSQUE!H35</f>
        <v>22.784394780612285</v>
      </c>
      <c r="I10" s="160">
        <f>+I$2*COBERTURA_BOSQUE!I35</f>
        <v>13.206956445635463</v>
      </c>
      <c r="J10" s="160">
        <f>+J$2*COBERTURA_BOSQUE!J35</f>
        <v>18.362594510925078</v>
      </c>
      <c r="K10" s="160">
        <f>+K$2*COBERTURA_BOSQUE!K35</f>
        <v>23.339643042368767</v>
      </c>
      <c r="L10" s="160">
        <f>+L$2*COBERTURA_BOSQUE!L35</f>
        <v>0.89608328373776491</v>
      </c>
      <c r="M10" s="160">
        <f>+M$2*COBERTURA_BOSQUE!M35</f>
        <v>0.89608328373776491</v>
      </c>
      <c r="N10" s="160">
        <f>+N$2*COBERTURA_BOSQUE!N35</f>
        <v>5.3012924501930323</v>
      </c>
      <c r="O10" s="160">
        <f>+O$2*COBERTURA_BOSQUE!P35</f>
        <v>5.3012924501930323</v>
      </c>
      <c r="P10" s="311">
        <f>+P$2*COBERTURA_BOSQUE!$P35</f>
        <v>5.3012924501930323</v>
      </c>
      <c r="Q10" s="311">
        <f>+Q$2*COBERTURA_BOSQUE!$P35</f>
        <v>5.3012924501930323</v>
      </c>
      <c r="R10" s="311">
        <f>+R$2*COBERTURA_BOSQUE!$P35</f>
        <v>5.3012924501930323</v>
      </c>
      <c r="S10" s="311">
        <f>+S$2*COBERTURA_BOSQUE!$P35</f>
        <v>5.3012924501930323</v>
      </c>
      <c r="T10" s="311">
        <f>+T$2*COBERTURA_BOSQUE!$P35</f>
        <v>5.3012924501930323</v>
      </c>
      <c r="U10" s="311">
        <f>+U$2*COBERTURA_BOSQUE!$P35</f>
        <v>5.3012924501930323</v>
      </c>
      <c r="V10" s="311">
        <f>+V$2*COBERTURA_BOSQUE!$P35</f>
        <v>5.3012924501930323</v>
      </c>
      <c r="W10" s="311">
        <f>+W$2*COBERTURA_BOSQUE!$P35</f>
        <v>5.3012924501930323</v>
      </c>
      <c r="X10" s="311">
        <f>+X$2*COBERTURA_BOSQUE!$P35</f>
        <v>5.3012924501930323</v>
      </c>
      <c r="Y10" s="311">
        <f>+Y$2*COBERTURA_BOSQUE!$P35</f>
        <v>5.3012924501930323</v>
      </c>
      <c r="Z10" s="311">
        <f>+Z$2*COBERTURA_BOSQUE!$P35</f>
        <v>5.3012924501930323</v>
      </c>
      <c r="AA10" s="311">
        <f>+AA$2*COBERTURA_BOSQUE!$P35</f>
        <v>5.3012924501930323</v>
      </c>
      <c r="AB10" s="312">
        <f>+AB$2*COBERTURA_BOSQUE!$P35</f>
        <v>5.3012924501930323</v>
      </c>
    </row>
    <row r="11" spans="1:30" x14ac:dyDescent="0.3">
      <c r="A11" s="161" t="s">
        <v>3</v>
      </c>
      <c r="B11" s="162" t="s">
        <v>4</v>
      </c>
      <c r="C11" s="163">
        <f>+C$2*COBERTURA_BOSQUE!C36</f>
        <v>300.51283081230059</v>
      </c>
      <c r="D11" s="163">
        <f>+D$2*COBERTURA_BOSQUE!D36</f>
        <v>302.9952960307171</v>
      </c>
      <c r="E11" s="163">
        <f>+E$2*COBERTURA_BOSQUE!E36</f>
        <v>305.30188219230251</v>
      </c>
      <c r="F11" s="163">
        <f>+F$2*COBERTURA_BOSQUE!F36</f>
        <v>307.76622082528536</v>
      </c>
      <c r="G11" s="163">
        <f>+G$2*COBERTURA_BOSQUE!G36</f>
        <v>310.12073214520689</v>
      </c>
      <c r="H11" s="163">
        <f>+H$2*COBERTURA_BOSQUE!H36</f>
        <v>216.18475562122003</v>
      </c>
      <c r="I11" s="163">
        <f>+I$2*COBERTURA_BOSQUE!I36</f>
        <v>124.79097647891442</v>
      </c>
      <c r="J11" s="163">
        <f>+J$2*COBERTURA_BOSQUE!J36</f>
        <v>173.75526466011661</v>
      </c>
      <c r="K11" s="163">
        <f>+K$2*COBERTURA_BOSQUE!K36</f>
        <v>221.16803209759436</v>
      </c>
      <c r="L11" s="163">
        <f>+L$2*COBERTURA_BOSQUE!L36</f>
        <v>8.4913456516907253</v>
      </c>
      <c r="M11" s="163">
        <f>+M$2*COBERTURA_BOSQUE!M36</f>
        <v>8.4913456516907253</v>
      </c>
      <c r="N11" s="163">
        <f>+N$2*COBERTURA_BOSQUE!N36</f>
        <v>54.193322292820397</v>
      </c>
      <c r="O11" s="163">
        <f>+O$2*COBERTURA_BOSQUE!P36</f>
        <v>54.193322292820397</v>
      </c>
      <c r="P11" s="313">
        <f>+P$2*COBERTURA_BOSQUE!$P36</f>
        <v>54.193322292820397</v>
      </c>
      <c r="Q11" s="313">
        <f>+Q$2*COBERTURA_BOSQUE!$P36</f>
        <v>54.193322292820397</v>
      </c>
      <c r="R11" s="313">
        <f>+R$2*COBERTURA_BOSQUE!$P36</f>
        <v>54.193322292820397</v>
      </c>
      <c r="S11" s="313">
        <f>+S$2*COBERTURA_BOSQUE!$P36</f>
        <v>54.193322292820397</v>
      </c>
      <c r="T11" s="313">
        <f>+T$2*COBERTURA_BOSQUE!$P36</f>
        <v>54.193322292820397</v>
      </c>
      <c r="U11" s="313">
        <f>+U$2*COBERTURA_BOSQUE!$P36</f>
        <v>54.193322292820397</v>
      </c>
      <c r="V11" s="313">
        <f>+V$2*COBERTURA_BOSQUE!$P36</f>
        <v>54.193322292820397</v>
      </c>
      <c r="W11" s="313">
        <f>+W$2*COBERTURA_BOSQUE!$P36</f>
        <v>54.193322292820397</v>
      </c>
      <c r="X11" s="313">
        <f>+X$2*COBERTURA_BOSQUE!$P36</f>
        <v>54.193322292820397</v>
      </c>
      <c r="Y11" s="313">
        <f>+Y$2*COBERTURA_BOSQUE!$P36</f>
        <v>54.193322292820397</v>
      </c>
      <c r="Z11" s="313">
        <f>+Z$2*COBERTURA_BOSQUE!$P36</f>
        <v>54.193322292820397</v>
      </c>
      <c r="AA11" s="313">
        <f>+AA$2*COBERTURA_BOSQUE!$P36</f>
        <v>54.193322292820397</v>
      </c>
      <c r="AB11" s="314">
        <f>+AB$2*COBERTURA_BOSQUE!$P36</f>
        <v>54.193322292820397</v>
      </c>
    </row>
    <row r="12" spans="1:30" x14ac:dyDescent="0.3">
      <c r="A12" s="161" t="s">
        <v>3</v>
      </c>
      <c r="B12" s="162" t="s">
        <v>5</v>
      </c>
      <c r="C12" s="163">
        <f>+C$2*COBERTURA_BOSQUE!C37</f>
        <v>2873.5330814723607</v>
      </c>
      <c r="D12" s="163">
        <f>+D$2*COBERTURA_BOSQUE!D37</f>
        <v>2781.7094882088722</v>
      </c>
      <c r="E12" s="163">
        <f>+E$2*COBERTURA_BOSQUE!E37</f>
        <v>2696.3914632241349</v>
      </c>
      <c r="F12" s="163">
        <f>+F$2*COBERTURA_BOSQUE!F37</f>
        <v>2712.3204164013255</v>
      </c>
      <c r="G12" s="163">
        <f>+G$2*COBERTURA_BOSQUE!G37</f>
        <v>2727.5394695250411</v>
      </c>
      <c r="H12" s="163">
        <f>+H$2*COBERTURA_BOSQUE!H37</f>
        <v>1905.1370487338397</v>
      </c>
      <c r="I12" s="163">
        <f>+I$2*COBERTURA_BOSQUE!I37</f>
        <v>1101.9087611067027</v>
      </c>
      <c r="J12" s="163">
        <f>+J$2*COBERTURA_BOSQUE!J37</f>
        <v>1547.4546974880873</v>
      </c>
      <c r="K12" s="163">
        <f>+K$2*COBERTURA_BOSQUE!K37</f>
        <v>1986.4941283828653</v>
      </c>
      <c r="L12" s="163">
        <f>+L$2*COBERTURA_BOSQUE!L37</f>
        <v>76.267840877246172</v>
      </c>
      <c r="M12" s="163">
        <f>+M$2*COBERTURA_BOSQUE!M37</f>
        <v>76.267840877246172</v>
      </c>
      <c r="N12" s="163">
        <f>+N$2*COBERTURA_BOSQUE!N37</f>
        <v>488.92340882888465</v>
      </c>
      <c r="O12" s="163">
        <f>+O$2*COBERTURA_BOSQUE!P37</f>
        <v>488.92340882888465</v>
      </c>
      <c r="P12" s="313">
        <f>+P$2*COBERTURA_BOSQUE!$P37</f>
        <v>488.92340882888465</v>
      </c>
      <c r="Q12" s="313">
        <f>+Q$2*COBERTURA_BOSQUE!$P37</f>
        <v>488.92340882888465</v>
      </c>
      <c r="R12" s="313">
        <f>+R$2*COBERTURA_BOSQUE!$P37</f>
        <v>488.92340882888465</v>
      </c>
      <c r="S12" s="313">
        <f>+S$2*COBERTURA_BOSQUE!$P37</f>
        <v>488.92340882888465</v>
      </c>
      <c r="T12" s="313">
        <f>+T$2*COBERTURA_BOSQUE!$P37</f>
        <v>488.92340882888465</v>
      </c>
      <c r="U12" s="313">
        <f>+U$2*COBERTURA_BOSQUE!$P37</f>
        <v>488.92340882888465</v>
      </c>
      <c r="V12" s="313">
        <f>+V$2*COBERTURA_BOSQUE!$P37</f>
        <v>488.92340882888465</v>
      </c>
      <c r="W12" s="313">
        <f>+W$2*COBERTURA_BOSQUE!$P37</f>
        <v>488.92340882888465</v>
      </c>
      <c r="X12" s="313">
        <f>+X$2*COBERTURA_BOSQUE!$P37</f>
        <v>488.92340882888465</v>
      </c>
      <c r="Y12" s="313">
        <f>+Y$2*COBERTURA_BOSQUE!$P37</f>
        <v>488.92340882888465</v>
      </c>
      <c r="Z12" s="313">
        <f>+Z$2*COBERTURA_BOSQUE!$P37</f>
        <v>488.92340882888465</v>
      </c>
      <c r="AA12" s="313">
        <f>+AA$2*COBERTURA_BOSQUE!$P37</f>
        <v>488.92340882888465</v>
      </c>
      <c r="AB12" s="314">
        <f>+AB$2*COBERTURA_BOSQUE!$P37</f>
        <v>488.92340882888465</v>
      </c>
    </row>
    <row r="13" spans="1:30" x14ac:dyDescent="0.3">
      <c r="A13" s="161" t="s">
        <v>3</v>
      </c>
      <c r="B13" s="162" t="s">
        <v>6</v>
      </c>
      <c r="C13" s="163">
        <f>+C$2*COBERTURA_BOSQUE!C38</f>
        <v>1168.0726668690256</v>
      </c>
      <c r="D13" s="163">
        <f>+D$2*COBERTURA_BOSQUE!D38</f>
        <v>1127.5938514085751</v>
      </c>
      <c r="E13" s="163">
        <f>+E$2*COBERTURA_BOSQUE!E38</f>
        <v>1089.9829012587891</v>
      </c>
      <c r="F13" s="163">
        <f>+F$2*COBERTURA_BOSQUE!F38</f>
        <v>1106.4600286063433</v>
      </c>
      <c r="G13" s="163">
        <f>+G$2*COBERTURA_BOSQUE!G38</f>
        <v>1122.2028256149856</v>
      </c>
      <c r="H13" s="163">
        <f>+H$2*COBERTURA_BOSQUE!H38</f>
        <v>782.39367258868594</v>
      </c>
      <c r="I13" s="163">
        <f>+I$2*COBERTURA_BOSQUE!I38</f>
        <v>451.69292626599446</v>
      </c>
      <c r="J13" s="163">
        <f>+J$2*COBERTURA_BOSQUE!J38</f>
        <v>639.39477902948818</v>
      </c>
      <c r="K13" s="163">
        <f>+K$2*COBERTURA_BOSQUE!K38</f>
        <v>827.1915139505777</v>
      </c>
      <c r="L13" s="163">
        <f>+L$2*COBERTURA_BOSQUE!L38</f>
        <v>31.758518618098719</v>
      </c>
      <c r="M13" s="163">
        <f>+M$2*COBERTURA_BOSQUE!M38</f>
        <v>31.758518618098719</v>
      </c>
      <c r="N13" s="163">
        <f>+N$2*COBERTURA_BOSQUE!N38</f>
        <v>200.28815533276418</v>
      </c>
      <c r="O13" s="163">
        <f>+O$2*COBERTURA_BOSQUE!P38</f>
        <v>200.28815533276418</v>
      </c>
      <c r="P13" s="313">
        <f>+P$2*COBERTURA_BOSQUE!$P38</f>
        <v>200.28815533276418</v>
      </c>
      <c r="Q13" s="313">
        <f>+Q$2*COBERTURA_BOSQUE!$P38</f>
        <v>200.28815533276418</v>
      </c>
      <c r="R13" s="313">
        <f>+R$2*COBERTURA_BOSQUE!$P38</f>
        <v>200.28815533276418</v>
      </c>
      <c r="S13" s="313">
        <f>+S$2*COBERTURA_BOSQUE!$P38</f>
        <v>200.28815533276418</v>
      </c>
      <c r="T13" s="313">
        <f>+T$2*COBERTURA_BOSQUE!$P38</f>
        <v>200.28815533276418</v>
      </c>
      <c r="U13" s="313">
        <f>+U$2*COBERTURA_BOSQUE!$P38</f>
        <v>200.28815533276418</v>
      </c>
      <c r="V13" s="313">
        <f>+V$2*COBERTURA_BOSQUE!$P38</f>
        <v>200.28815533276418</v>
      </c>
      <c r="W13" s="313">
        <f>+W$2*COBERTURA_BOSQUE!$P38</f>
        <v>200.28815533276418</v>
      </c>
      <c r="X13" s="313">
        <f>+X$2*COBERTURA_BOSQUE!$P38</f>
        <v>200.28815533276418</v>
      </c>
      <c r="Y13" s="313">
        <f>+Y$2*COBERTURA_BOSQUE!$P38</f>
        <v>200.28815533276418</v>
      </c>
      <c r="Z13" s="313">
        <f>+Z$2*COBERTURA_BOSQUE!$P38</f>
        <v>200.28815533276418</v>
      </c>
      <c r="AA13" s="313">
        <f>+AA$2*COBERTURA_BOSQUE!$P38</f>
        <v>200.28815533276418</v>
      </c>
      <c r="AB13" s="314">
        <f>+AB$2*COBERTURA_BOSQUE!$P38</f>
        <v>200.28815533276418</v>
      </c>
    </row>
    <row r="14" spans="1:30" ht="28.8" x14ac:dyDescent="0.3">
      <c r="A14" s="161" t="s">
        <v>3</v>
      </c>
      <c r="B14" s="162" t="s">
        <v>7</v>
      </c>
      <c r="C14" s="163">
        <f>+C$2*COBERTURA_BOSQUE!C39</f>
        <v>804.42139938864511</v>
      </c>
      <c r="D14" s="163">
        <f>+D$2*COBERTURA_BOSQUE!D39</f>
        <v>781.09436835952022</v>
      </c>
      <c r="E14" s="163">
        <f>+E$2*COBERTURA_BOSQUE!E39</f>
        <v>759.42002361402876</v>
      </c>
      <c r="F14" s="163">
        <f>+F$2*COBERTURA_BOSQUE!F39</f>
        <v>754.77857387589597</v>
      </c>
      <c r="G14" s="163">
        <f>+G$2*COBERTURA_BOSQUE!G39</f>
        <v>750.34397799568023</v>
      </c>
      <c r="H14" s="163">
        <f>+H$2*COBERTURA_BOSQUE!H39</f>
        <v>525.32288967527063</v>
      </c>
      <c r="I14" s="163">
        <f>+I$2*COBERTURA_BOSQUE!I39</f>
        <v>304.54578122246102</v>
      </c>
      <c r="J14" s="163">
        <f>+J$2*COBERTURA_BOSQUE!J39</f>
        <v>444.71291668277627</v>
      </c>
      <c r="K14" s="163">
        <f>+K$2*COBERTURA_BOSQUE!K39</f>
        <v>592.36821911262905</v>
      </c>
      <c r="L14" s="163">
        <f>+L$2*COBERTURA_BOSQUE!L39</f>
        <v>22.742903908202351</v>
      </c>
      <c r="M14" s="163">
        <f>+M$2*COBERTURA_BOSQUE!M39</f>
        <v>22.742903908202351</v>
      </c>
      <c r="N14" s="163">
        <f>+N$2*COBERTURA_BOSQUE!N39</f>
        <v>145.8425016281231</v>
      </c>
      <c r="O14" s="163">
        <f>+O$2*COBERTURA_BOSQUE!P39</f>
        <v>145.8425016281231</v>
      </c>
      <c r="P14" s="313">
        <f>+P$2*COBERTURA_BOSQUE!$P39</f>
        <v>145.8425016281231</v>
      </c>
      <c r="Q14" s="313">
        <f>+Q$2*COBERTURA_BOSQUE!$P39</f>
        <v>145.8425016281231</v>
      </c>
      <c r="R14" s="313">
        <f>+R$2*COBERTURA_BOSQUE!$P39</f>
        <v>145.8425016281231</v>
      </c>
      <c r="S14" s="313">
        <f>+S$2*COBERTURA_BOSQUE!$P39</f>
        <v>145.8425016281231</v>
      </c>
      <c r="T14" s="313">
        <f>+T$2*COBERTURA_BOSQUE!$P39</f>
        <v>145.8425016281231</v>
      </c>
      <c r="U14" s="313">
        <f>+U$2*COBERTURA_BOSQUE!$P39</f>
        <v>145.8425016281231</v>
      </c>
      <c r="V14" s="313">
        <f>+V$2*COBERTURA_BOSQUE!$P39</f>
        <v>145.8425016281231</v>
      </c>
      <c r="W14" s="313">
        <f>+W$2*COBERTURA_BOSQUE!$P39</f>
        <v>145.8425016281231</v>
      </c>
      <c r="X14" s="313">
        <f>+X$2*COBERTURA_BOSQUE!$P39</f>
        <v>145.8425016281231</v>
      </c>
      <c r="Y14" s="313">
        <f>+Y$2*COBERTURA_BOSQUE!$P39</f>
        <v>145.8425016281231</v>
      </c>
      <c r="Z14" s="313">
        <f>+Z$2*COBERTURA_BOSQUE!$P39</f>
        <v>145.8425016281231</v>
      </c>
      <c r="AA14" s="313">
        <f>+AA$2*COBERTURA_BOSQUE!$P39</f>
        <v>145.8425016281231</v>
      </c>
      <c r="AB14" s="314">
        <f>+AB$2*COBERTURA_BOSQUE!$P39</f>
        <v>145.8425016281231</v>
      </c>
    </row>
    <row r="15" spans="1:30" ht="28.8" x14ac:dyDescent="0.3">
      <c r="A15" s="161" t="s">
        <v>3</v>
      </c>
      <c r="B15" s="162" t="s">
        <v>8</v>
      </c>
      <c r="C15" s="163">
        <f>+C$2*COBERTURA_BOSQUE!C40</f>
        <v>5886.3513002366108</v>
      </c>
      <c r="D15" s="163">
        <f>+D$2*COBERTURA_BOSQUE!D40</f>
        <v>6088.7211109079462</v>
      </c>
      <c r="E15" s="163">
        <f>+E$2*COBERTURA_BOSQUE!E40</f>
        <v>6276.7533142815309</v>
      </c>
      <c r="F15" s="163">
        <f>+F$2*COBERTURA_BOSQUE!F40</f>
        <v>6264.7842690427051</v>
      </c>
      <c r="G15" s="163">
        <f>+G$2*COBERTURA_BOSQUE!G40</f>
        <v>6253.3486440330971</v>
      </c>
      <c r="H15" s="163">
        <f>+H$2*COBERTURA_BOSQUE!H40</f>
        <v>4414.2823496652791</v>
      </c>
      <c r="I15" s="163">
        <f>+I$2*COBERTURA_BOSQUE!I40</f>
        <v>2579.9828018089447</v>
      </c>
      <c r="J15" s="163">
        <f>+J$2*COBERTURA_BOSQUE!J40</f>
        <v>3672.2124068108783</v>
      </c>
      <c r="K15" s="163">
        <f>+K$2*COBERTURA_BOSQUE!K40</f>
        <v>4775.9533715793887</v>
      </c>
      <c r="L15" s="163">
        <f>+L$2*COBERTURA_BOSQUE!L40</f>
        <v>183.3640716961437</v>
      </c>
      <c r="M15" s="163">
        <f>+M$2*COBERTURA_BOSQUE!M40</f>
        <v>183.3640716961437</v>
      </c>
      <c r="N15" s="163">
        <f>+N$2*COBERTURA_BOSQUE!N40</f>
        <v>1138.7502775288792</v>
      </c>
      <c r="O15" s="163">
        <f>+O$2*COBERTURA_BOSQUE!P40</f>
        <v>1138.7502775288792</v>
      </c>
      <c r="P15" s="313">
        <f>+P$2*COBERTURA_BOSQUE!$P40</f>
        <v>1138.7502775288792</v>
      </c>
      <c r="Q15" s="313">
        <f>+Q$2*COBERTURA_BOSQUE!$P40</f>
        <v>1138.7502775288792</v>
      </c>
      <c r="R15" s="313">
        <f>+R$2*COBERTURA_BOSQUE!$P40</f>
        <v>1138.7502775288792</v>
      </c>
      <c r="S15" s="313">
        <f>+S$2*COBERTURA_BOSQUE!$P40</f>
        <v>1138.7502775288792</v>
      </c>
      <c r="T15" s="313">
        <f>+T$2*COBERTURA_BOSQUE!$P40</f>
        <v>1138.7502775288792</v>
      </c>
      <c r="U15" s="313">
        <f>+U$2*COBERTURA_BOSQUE!$P40</f>
        <v>1138.7502775288792</v>
      </c>
      <c r="V15" s="313">
        <f>+V$2*COBERTURA_BOSQUE!$P40</f>
        <v>1138.7502775288792</v>
      </c>
      <c r="W15" s="313">
        <f>+W$2*COBERTURA_BOSQUE!$P40</f>
        <v>1138.7502775288792</v>
      </c>
      <c r="X15" s="313">
        <f>+X$2*COBERTURA_BOSQUE!$P40</f>
        <v>1138.7502775288792</v>
      </c>
      <c r="Y15" s="313">
        <f>+Y$2*COBERTURA_BOSQUE!$P40</f>
        <v>1138.7502775288792</v>
      </c>
      <c r="Z15" s="313">
        <f>+Z$2*COBERTURA_BOSQUE!$P40</f>
        <v>1138.7502775288792</v>
      </c>
      <c r="AA15" s="313">
        <f>+AA$2*COBERTURA_BOSQUE!$P40</f>
        <v>1138.7502775288792</v>
      </c>
      <c r="AB15" s="314">
        <f>+AB$2*COBERTURA_BOSQUE!$P40</f>
        <v>1138.7502775288792</v>
      </c>
    </row>
    <row r="16" spans="1:30" ht="28.8" x14ac:dyDescent="0.3">
      <c r="A16" s="161" t="s">
        <v>3</v>
      </c>
      <c r="B16" s="162" t="s">
        <v>9</v>
      </c>
      <c r="C16" s="163">
        <f>+C$2*COBERTURA_BOSQUE!C41</f>
        <v>652.16169204405151</v>
      </c>
      <c r="D16" s="163">
        <f>+D$2*COBERTURA_BOSQUE!D41</f>
        <v>632.85923339184023</v>
      </c>
      <c r="E16" s="163">
        <f>+E$2*COBERTURA_BOSQUE!E41</f>
        <v>614.92432591299018</v>
      </c>
      <c r="F16" s="163">
        <f>+F$2*COBERTURA_BOSQUE!F41</f>
        <v>610.28049975482691</v>
      </c>
      <c r="G16" s="163">
        <f>+G$2*COBERTURA_BOSQUE!G41</f>
        <v>605.84363336365652</v>
      </c>
      <c r="H16" s="163">
        <f>+H$2*COBERTURA_BOSQUE!H41</f>
        <v>414.9653989644421</v>
      </c>
      <c r="I16" s="163">
        <f>+I$2*COBERTURA_BOSQUE!I41</f>
        <v>235.27244977038291</v>
      </c>
      <c r="J16" s="163">
        <f>+J$2*COBERTURA_BOSQUE!J41</f>
        <v>326.63938021811566</v>
      </c>
      <c r="K16" s="163">
        <f>+K$2*COBERTURA_BOSQUE!K41</f>
        <v>414.56468043570902</v>
      </c>
      <c r="L16" s="163">
        <f>+L$2*COBERTURA_BOSQUE!L41</f>
        <v>15.916459368815817</v>
      </c>
      <c r="M16" s="163">
        <f>+M$2*COBERTURA_BOSQUE!M41</f>
        <v>15.916459368815817</v>
      </c>
      <c r="N16" s="163">
        <f>+N$2*COBERTURA_BOSQUE!N41</f>
        <v>93.501424090177622</v>
      </c>
      <c r="O16" s="163">
        <f>+O$2*COBERTURA_BOSQUE!P41</f>
        <v>93.501424090177622</v>
      </c>
      <c r="P16" s="313">
        <f>+P$2*COBERTURA_BOSQUE!$P41</f>
        <v>93.501424090177622</v>
      </c>
      <c r="Q16" s="313">
        <f>+Q$2*COBERTURA_BOSQUE!$P41</f>
        <v>93.501424090177622</v>
      </c>
      <c r="R16" s="313">
        <f>+R$2*COBERTURA_BOSQUE!$P41</f>
        <v>93.501424090177622</v>
      </c>
      <c r="S16" s="313">
        <f>+S$2*COBERTURA_BOSQUE!$P41</f>
        <v>93.501424090177622</v>
      </c>
      <c r="T16" s="313">
        <f>+T$2*COBERTURA_BOSQUE!$P41</f>
        <v>93.501424090177622</v>
      </c>
      <c r="U16" s="313">
        <f>+U$2*COBERTURA_BOSQUE!$P41</f>
        <v>93.501424090177622</v>
      </c>
      <c r="V16" s="313">
        <f>+V$2*COBERTURA_BOSQUE!$P41</f>
        <v>93.501424090177622</v>
      </c>
      <c r="W16" s="313">
        <f>+W$2*COBERTURA_BOSQUE!$P41</f>
        <v>93.501424090177622</v>
      </c>
      <c r="X16" s="313">
        <f>+X$2*COBERTURA_BOSQUE!$P41</f>
        <v>93.501424090177622</v>
      </c>
      <c r="Y16" s="313">
        <f>+Y$2*COBERTURA_BOSQUE!$P41</f>
        <v>93.501424090177622</v>
      </c>
      <c r="Z16" s="313">
        <f>+Z$2*COBERTURA_BOSQUE!$P41</f>
        <v>93.501424090177622</v>
      </c>
      <c r="AA16" s="313">
        <f>+AA$2*COBERTURA_BOSQUE!$P41</f>
        <v>93.501424090177622</v>
      </c>
      <c r="AB16" s="314">
        <f>+AB$2*COBERTURA_BOSQUE!$P41</f>
        <v>93.501424090177622</v>
      </c>
    </row>
    <row r="17" spans="1:28" x14ac:dyDescent="0.3">
      <c r="A17" s="161" t="s">
        <v>3</v>
      </c>
      <c r="B17" s="162" t="s">
        <v>10</v>
      </c>
      <c r="C17" s="163">
        <f>+C$2*COBERTURA_BOSQUE!C42</f>
        <v>161.96574451012307</v>
      </c>
      <c r="D17" s="163">
        <f>+D$2*COBERTURA_BOSQUE!D42</f>
        <v>156.84545430363301</v>
      </c>
      <c r="E17" s="163">
        <f>+E$2*COBERTURA_BOSQUE!E42</f>
        <v>152.08792922494354</v>
      </c>
      <c r="F17" s="163">
        <f>+F$2*COBERTURA_BOSQUE!F42</f>
        <v>145.06136727991444</v>
      </c>
      <c r="G17" s="163">
        <f>+G$2*COBERTURA_BOSQUE!G42</f>
        <v>138.34795564959938</v>
      </c>
      <c r="H17" s="163">
        <f>+H$2*COBERTURA_BOSQUE!H42</f>
        <v>101.50905530492327</v>
      </c>
      <c r="I17" s="163">
        <f>+I$2*COBERTURA_BOSQUE!I42</f>
        <v>61.527241381356973</v>
      </c>
      <c r="J17" s="163">
        <f>+J$2*COBERTURA_BOSQUE!J42</f>
        <v>85.265014053552363</v>
      </c>
      <c r="K17" s="163">
        <f>+K$2*COBERTURA_BOSQUE!K42</f>
        <v>108.01764767897488</v>
      </c>
      <c r="L17" s="163">
        <f>+L$2*COBERTURA_BOSQUE!L42</f>
        <v>4.1471417646831821</v>
      </c>
      <c r="M17" s="163">
        <f>+M$2*COBERTURA_BOSQUE!M42</f>
        <v>4.1471417646831821</v>
      </c>
      <c r="N17" s="163">
        <f>+N$2*COBERTURA_BOSQUE!N42</f>
        <v>38.136257613647523</v>
      </c>
      <c r="O17" s="163">
        <f>+O$2*COBERTURA_BOSQUE!P42</f>
        <v>38.136257613647523</v>
      </c>
      <c r="P17" s="313">
        <f>+P$2*COBERTURA_BOSQUE!$P42</f>
        <v>38.136257613647523</v>
      </c>
      <c r="Q17" s="313">
        <f>+Q$2*COBERTURA_BOSQUE!$P42</f>
        <v>38.136257613647523</v>
      </c>
      <c r="R17" s="313">
        <f>+R$2*COBERTURA_BOSQUE!$P42</f>
        <v>38.136257613647523</v>
      </c>
      <c r="S17" s="313">
        <f>+S$2*COBERTURA_BOSQUE!$P42</f>
        <v>38.136257613647523</v>
      </c>
      <c r="T17" s="313">
        <f>+T$2*COBERTURA_BOSQUE!$P42</f>
        <v>38.136257613647523</v>
      </c>
      <c r="U17" s="313">
        <f>+U$2*COBERTURA_BOSQUE!$P42</f>
        <v>38.136257613647523</v>
      </c>
      <c r="V17" s="313">
        <f>+V$2*COBERTURA_BOSQUE!$P42</f>
        <v>38.136257613647523</v>
      </c>
      <c r="W17" s="313">
        <f>+W$2*COBERTURA_BOSQUE!$P42</f>
        <v>38.136257613647523</v>
      </c>
      <c r="X17" s="313">
        <f>+X$2*COBERTURA_BOSQUE!$P42</f>
        <v>38.136257613647523</v>
      </c>
      <c r="Y17" s="313">
        <f>+Y$2*COBERTURA_BOSQUE!$P42</f>
        <v>38.136257613647523</v>
      </c>
      <c r="Z17" s="313">
        <f>+Z$2*COBERTURA_BOSQUE!$P42</f>
        <v>38.136257613647523</v>
      </c>
      <c r="AA17" s="313">
        <f>+AA$2*COBERTURA_BOSQUE!$P42</f>
        <v>38.136257613647523</v>
      </c>
      <c r="AB17" s="314">
        <f>+AB$2*COBERTURA_BOSQUE!$P42</f>
        <v>38.136257613647523</v>
      </c>
    </row>
    <row r="18" spans="1:28" x14ac:dyDescent="0.3">
      <c r="A18" s="161" t="s">
        <v>3</v>
      </c>
      <c r="B18" s="162" t="s">
        <v>11</v>
      </c>
      <c r="C18" s="163">
        <f>+C$2*COBERTURA_BOSQUE!C43</f>
        <v>677.31301934062503</v>
      </c>
      <c r="D18" s="163">
        <f>+D$2*COBERTURA_BOSQUE!D43</f>
        <v>654.61549799162231</v>
      </c>
      <c r="E18" s="163">
        <f>+E$2*COBERTURA_BOSQUE!E43</f>
        <v>633.52606307930046</v>
      </c>
      <c r="F18" s="163">
        <f>+F$2*COBERTURA_BOSQUE!F43</f>
        <v>629.43103026981373</v>
      </c>
      <c r="G18" s="163">
        <f>+G$2*COBERTURA_BOSQUE!G43</f>
        <v>625.51849934717939</v>
      </c>
      <c r="H18" s="163">
        <f>+H$2*COBERTURA_BOSQUE!H43</f>
        <v>446.85694743119041</v>
      </c>
      <c r="I18" s="163">
        <f>+I$2*COBERTURA_BOSQUE!I43</f>
        <v>264.19918864408368</v>
      </c>
      <c r="J18" s="163">
        <f>+J$2*COBERTURA_BOSQUE!J43</f>
        <v>370.4081173243967</v>
      </c>
      <c r="K18" s="163">
        <f>+K$2*COBERTURA_BOSQUE!K43</f>
        <v>474.72028418631868</v>
      </c>
      <c r="L18" s="163">
        <f>+L$2*COBERTURA_BOSQUE!L43</f>
        <v>18.226024722759774</v>
      </c>
      <c r="M18" s="163">
        <f>+M$2*COBERTURA_BOSQUE!M43</f>
        <v>18.226024722759774</v>
      </c>
      <c r="N18" s="163">
        <f>+N$2*COBERTURA_BOSQUE!N43</f>
        <v>106.08300265183853</v>
      </c>
      <c r="O18" s="163">
        <f>+O$2*COBERTURA_BOSQUE!P43</f>
        <v>106.08300265183853</v>
      </c>
      <c r="P18" s="313">
        <f>+P$2*COBERTURA_BOSQUE!$P43</f>
        <v>106.08300265183853</v>
      </c>
      <c r="Q18" s="313">
        <f>+Q$2*COBERTURA_BOSQUE!$P43</f>
        <v>106.08300265183853</v>
      </c>
      <c r="R18" s="313">
        <f>+R$2*COBERTURA_BOSQUE!$P43</f>
        <v>106.08300265183853</v>
      </c>
      <c r="S18" s="313">
        <f>+S$2*COBERTURA_BOSQUE!$P43</f>
        <v>106.08300265183853</v>
      </c>
      <c r="T18" s="313">
        <f>+T$2*COBERTURA_BOSQUE!$P43</f>
        <v>106.08300265183853</v>
      </c>
      <c r="U18" s="313">
        <f>+U$2*COBERTURA_BOSQUE!$P43</f>
        <v>106.08300265183853</v>
      </c>
      <c r="V18" s="313">
        <f>+V$2*COBERTURA_BOSQUE!$P43</f>
        <v>106.08300265183853</v>
      </c>
      <c r="W18" s="313">
        <f>+W$2*COBERTURA_BOSQUE!$P43</f>
        <v>106.08300265183853</v>
      </c>
      <c r="X18" s="313">
        <f>+X$2*COBERTURA_BOSQUE!$P43</f>
        <v>106.08300265183853</v>
      </c>
      <c r="Y18" s="313">
        <f>+Y$2*COBERTURA_BOSQUE!$P43</f>
        <v>106.08300265183853</v>
      </c>
      <c r="Z18" s="313">
        <f>+Z$2*COBERTURA_BOSQUE!$P43</f>
        <v>106.08300265183853</v>
      </c>
      <c r="AA18" s="313">
        <f>+AA$2*COBERTURA_BOSQUE!$P43</f>
        <v>106.08300265183853</v>
      </c>
      <c r="AB18" s="314">
        <f>+AB$2*COBERTURA_BOSQUE!$P43</f>
        <v>106.08300265183853</v>
      </c>
    </row>
    <row r="19" spans="1:28" ht="15" thickBot="1" x14ac:dyDescent="0.35">
      <c r="A19" s="164" t="s">
        <v>3</v>
      </c>
      <c r="B19" s="165" t="s">
        <v>12</v>
      </c>
      <c r="C19" s="166">
        <f>+C$2*COBERTURA_BOSQUE!C44</f>
        <v>95.394367648465078</v>
      </c>
      <c r="D19" s="166">
        <f>+D$2*COBERTURA_BOSQUE!D44</f>
        <v>91.890986691000165</v>
      </c>
      <c r="E19" s="166">
        <f>+E$2*COBERTURA_BOSQUE!E44</f>
        <v>88.635815188373968</v>
      </c>
      <c r="F19" s="166">
        <f>+F$2*COBERTURA_BOSQUE!F44</f>
        <v>86.615699700598043</v>
      </c>
      <c r="G19" s="166">
        <f>+G$2*COBERTURA_BOSQUE!G44</f>
        <v>84.685613989219846</v>
      </c>
      <c r="H19" s="166">
        <f>+H$2*COBERTURA_BOSQUE!H44</f>
        <v>112.06348723453627</v>
      </c>
      <c r="I19" s="166">
        <f>+I$2*COBERTURA_BOSQUE!I44</f>
        <v>95.372916875522876</v>
      </c>
      <c r="J19" s="166">
        <f>+J$2*COBERTURA_BOSQUE!J44</f>
        <v>126.65482922166387</v>
      </c>
      <c r="K19" s="166">
        <f>+K$2*COBERTURA_BOSQUE!K44</f>
        <v>153.40247953357397</v>
      </c>
      <c r="L19" s="166">
        <f>+L$2*COBERTURA_BOSQUE!L44</f>
        <v>5.8896101086218282</v>
      </c>
      <c r="M19" s="166">
        <f>+M$2*COBERTURA_BOSQUE!M44</f>
        <v>5.8896101086218282</v>
      </c>
      <c r="N19" s="166">
        <f>+N$2*COBERTURA_BOSQUE!N44</f>
        <v>44.770357582671629</v>
      </c>
      <c r="O19" s="166">
        <f>+O$2*COBERTURA_BOSQUE!P44</f>
        <v>44.770357582671629</v>
      </c>
      <c r="P19" s="315">
        <f>+P$2*COBERTURA_BOSQUE!$P44</f>
        <v>44.770357582671629</v>
      </c>
      <c r="Q19" s="315">
        <f>+Q$2*COBERTURA_BOSQUE!$P44</f>
        <v>44.770357582671629</v>
      </c>
      <c r="R19" s="315">
        <f>+R$2*COBERTURA_BOSQUE!$P44</f>
        <v>44.770357582671629</v>
      </c>
      <c r="S19" s="315">
        <f>+S$2*COBERTURA_BOSQUE!$P44</f>
        <v>44.770357582671629</v>
      </c>
      <c r="T19" s="315">
        <f>+T$2*COBERTURA_BOSQUE!$P44</f>
        <v>44.770357582671629</v>
      </c>
      <c r="U19" s="315">
        <f>+U$2*COBERTURA_BOSQUE!$P44</f>
        <v>44.770357582671629</v>
      </c>
      <c r="V19" s="315">
        <f>+V$2*COBERTURA_BOSQUE!$P44</f>
        <v>44.770357582671629</v>
      </c>
      <c r="W19" s="315">
        <f>+W$2*COBERTURA_BOSQUE!$P44</f>
        <v>44.770357582671629</v>
      </c>
      <c r="X19" s="315">
        <f>+X$2*COBERTURA_BOSQUE!$P44</f>
        <v>44.770357582671629</v>
      </c>
      <c r="Y19" s="315">
        <f>+Y$2*COBERTURA_BOSQUE!$P44</f>
        <v>44.770357582671629</v>
      </c>
      <c r="Z19" s="315">
        <f>+Z$2*COBERTURA_BOSQUE!$P44</f>
        <v>44.770357582671629</v>
      </c>
      <c r="AA19" s="315">
        <f>+AA$2*COBERTURA_BOSQUE!$P44</f>
        <v>44.770357582671629</v>
      </c>
      <c r="AB19" s="316">
        <f>+AB$2*COBERTURA_BOSQUE!$P44</f>
        <v>44.770357582671629</v>
      </c>
    </row>
    <row r="20" spans="1:28" ht="15" thickBot="1" x14ac:dyDescent="0.35">
      <c r="A20" s="502" t="s">
        <v>31</v>
      </c>
      <c r="B20" s="503"/>
      <c r="C20" s="167">
        <f>+SUM(C10:C19)</f>
        <v>12650.500000000005</v>
      </c>
      <c r="D20" s="167">
        <f t="shared" ref="D20:O20" si="16">+SUM(D10:D19)</f>
        <v>12650.500000000002</v>
      </c>
      <c r="E20" s="167">
        <f t="shared" si="16"/>
        <v>12650.499999999996</v>
      </c>
      <c r="F20" s="167">
        <f t="shared" si="16"/>
        <v>12650.5</v>
      </c>
      <c r="G20" s="167">
        <f t="shared" si="16"/>
        <v>12650.499999999996</v>
      </c>
      <c r="H20" s="167">
        <f t="shared" si="16"/>
        <v>8941.4999999999982</v>
      </c>
      <c r="I20" s="167">
        <f t="shared" si="16"/>
        <v>5232.4999999999991</v>
      </c>
      <c r="J20" s="167">
        <f t="shared" si="16"/>
        <v>7404.8600000000006</v>
      </c>
      <c r="K20" s="167">
        <f t="shared" si="16"/>
        <v>9577.2199999999993</v>
      </c>
      <c r="L20" s="167">
        <f t="shared" si="16"/>
        <v>367.70000000000005</v>
      </c>
      <c r="M20" s="167">
        <f t="shared" si="16"/>
        <v>367.70000000000005</v>
      </c>
      <c r="N20" s="167">
        <f t="shared" si="16"/>
        <v>2315.79</v>
      </c>
      <c r="O20" s="167">
        <f t="shared" si="16"/>
        <v>2315.79</v>
      </c>
      <c r="P20" s="317">
        <f t="shared" ref="P20:AB20" si="17">+SUM(P10:P19)</f>
        <v>2315.79</v>
      </c>
      <c r="Q20" s="317">
        <f t="shared" si="17"/>
        <v>2315.79</v>
      </c>
      <c r="R20" s="317">
        <f t="shared" si="17"/>
        <v>2315.79</v>
      </c>
      <c r="S20" s="317">
        <f t="shared" si="17"/>
        <v>2315.79</v>
      </c>
      <c r="T20" s="317">
        <f t="shared" si="17"/>
        <v>2315.79</v>
      </c>
      <c r="U20" s="317">
        <f t="shared" si="17"/>
        <v>2315.79</v>
      </c>
      <c r="V20" s="317">
        <f t="shared" si="17"/>
        <v>2315.79</v>
      </c>
      <c r="W20" s="317">
        <f t="shared" si="17"/>
        <v>2315.79</v>
      </c>
      <c r="X20" s="317">
        <f t="shared" si="17"/>
        <v>2315.79</v>
      </c>
      <c r="Y20" s="317">
        <f t="shared" si="17"/>
        <v>2315.79</v>
      </c>
      <c r="Z20" s="317">
        <f t="shared" si="17"/>
        <v>2315.79</v>
      </c>
      <c r="AA20" s="317">
        <f t="shared" si="17"/>
        <v>2315.79</v>
      </c>
      <c r="AB20" s="318">
        <f t="shared" si="17"/>
        <v>2315.79</v>
      </c>
    </row>
    <row r="22" spans="1:28" ht="15" thickBot="1" x14ac:dyDescent="0.35">
      <c r="A22" s="168" t="s">
        <v>198</v>
      </c>
      <c r="B22" s="169"/>
      <c r="C22" s="170"/>
      <c r="D22" s="170"/>
      <c r="E22" s="170"/>
      <c r="F22" s="170"/>
      <c r="G22" s="170"/>
      <c r="H22" s="170"/>
      <c r="I22" s="170"/>
      <c r="J22" s="170"/>
      <c r="K22" s="170"/>
      <c r="L22" s="170"/>
      <c r="M22" s="170"/>
      <c r="N22" s="170"/>
      <c r="O22" s="170"/>
      <c r="P22" s="170"/>
      <c r="Q22" s="170"/>
      <c r="R22" s="170"/>
      <c r="S22" s="170"/>
      <c r="T22" s="170"/>
      <c r="U22" s="170"/>
      <c r="V22" s="170"/>
      <c r="W22" s="170"/>
      <c r="X22" s="170"/>
      <c r="Y22" s="170"/>
      <c r="Z22" s="170"/>
      <c r="AA22" s="170"/>
      <c r="AB22" s="170"/>
    </row>
    <row r="23" spans="1:28" x14ac:dyDescent="0.3">
      <c r="A23" s="158" t="s">
        <v>15</v>
      </c>
      <c r="B23" s="159" t="s">
        <v>2</v>
      </c>
      <c r="C23" s="160">
        <f>+C$3*COBERTURA_BOSQUE!C35</f>
        <v>4.4070858437971054</v>
      </c>
      <c r="D23" s="160">
        <f>+D$3*COBERTURA_BOSQUE!D35</f>
        <v>4.607694559222753</v>
      </c>
      <c r="E23" s="160">
        <f>+E$3*COBERTURA_BOSQUE!E35</f>
        <v>4.7940904383921543</v>
      </c>
      <c r="F23" s="160">
        <f>+F$3*COBERTURA_BOSQUE!F35</f>
        <v>4.7261540433031142</v>
      </c>
      <c r="G23" s="160">
        <f>+G$3*COBERTURA_BOSQUE!G35</f>
        <v>4.6612453456383749</v>
      </c>
      <c r="H23" s="160">
        <f>+H$3*COBERTURA_BOSQUE!H35</f>
        <v>6.2935281285018885</v>
      </c>
      <c r="I23" s="160">
        <f>+I$3*COBERTURA_BOSQUE!I35</f>
        <v>7.8951475894787819</v>
      </c>
      <c r="J23" s="160">
        <f>+J$3*COBERTURA_BOSQUE!J35</f>
        <v>7.31173652903367</v>
      </c>
      <c r="K23" s="160">
        <f>+K$3*COBERTURA_BOSQUE!K35</f>
        <v>6.7481139384508655</v>
      </c>
      <c r="L23" s="160">
        <f>+L$3*COBERTURA_BOSQUE!L35</f>
        <v>0.17261239865962982</v>
      </c>
      <c r="M23" s="160">
        <f>+M$3*COBERTURA_BOSQUE!M35</f>
        <v>0.17261239865962982</v>
      </c>
      <c r="N23" s="160">
        <f>+N$3*COBERTURA_BOSQUE!N35</f>
        <v>0.12938524187638353</v>
      </c>
      <c r="O23" s="160">
        <f>+O$3*COBERTURA_BOSQUE!$P35</f>
        <v>0.12938524187638353</v>
      </c>
      <c r="P23" s="311">
        <f>+P$3*COBERTURA_BOSQUE!$P35</f>
        <v>0.12938524187638353</v>
      </c>
      <c r="Q23" s="311">
        <f>+Q$3*COBERTURA_BOSQUE!$P35</f>
        <v>0.12938524187638353</v>
      </c>
      <c r="R23" s="311">
        <f>+R$3*COBERTURA_BOSQUE!$P35</f>
        <v>0.12938524187638353</v>
      </c>
      <c r="S23" s="311">
        <f>+S$3*COBERTURA_BOSQUE!$P35</f>
        <v>0.12938524187638353</v>
      </c>
      <c r="T23" s="311">
        <f>+T$3*COBERTURA_BOSQUE!$P35</f>
        <v>0.12938524187638353</v>
      </c>
      <c r="U23" s="311">
        <f>+U$3*COBERTURA_BOSQUE!$P35</f>
        <v>0.12938524187638353</v>
      </c>
      <c r="V23" s="311">
        <f>+V$3*COBERTURA_BOSQUE!$P35</f>
        <v>0.12938524187638353</v>
      </c>
      <c r="W23" s="311">
        <f>+W$3*COBERTURA_BOSQUE!$P35</f>
        <v>0.12938524187638353</v>
      </c>
      <c r="X23" s="311">
        <f>+X$3*COBERTURA_BOSQUE!$P35</f>
        <v>0.12938524187638353</v>
      </c>
      <c r="Y23" s="311">
        <f>+Y$3*COBERTURA_BOSQUE!$P35</f>
        <v>0.12938524187638353</v>
      </c>
      <c r="Z23" s="311">
        <f>+Z$3*COBERTURA_BOSQUE!$P35</f>
        <v>0.12938524187638353</v>
      </c>
      <c r="AA23" s="311">
        <f>+AA$3*COBERTURA_BOSQUE!$P35</f>
        <v>0.12938524187638353</v>
      </c>
      <c r="AB23" s="312">
        <f>+AB$3*COBERTURA_BOSQUE!$P35</f>
        <v>0.12938524187638353</v>
      </c>
    </row>
    <row r="24" spans="1:28" x14ac:dyDescent="0.3">
      <c r="A24" s="161" t="s">
        <v>15</v>
      </c>
      <c r="B24" s="162" t="s">
        <v>4</v>
      </c>
      <c r="C24" s="163">
        <f>+C$3*COBERTURA_BOSQUE!C36</f>
        <v>43.036012416063592</v>
      </c>
      <c r="D24" s="163">
        <f>+D$3*COBERTURA_BOSQUE!D36</f>
        <v>43.39152270716643</v>
      </c>
      <c r="E24" s="163">
        <f>+E$3*COBERTURA_BOSQUE!E36</f>
        <v>43.721845610253091</v>
      </c>
      <c r="F24" s="163">
        <f>+F$3*COBERTURA_BOSQUE!F36</f>
        <v>44.074760018998184</v>
      </c>
      <c r="G24" s="163">
        <f>+G$3*COBERTURA_BOSQUE!G36</f>
        <v>44.411946215421167</v>
      </c>
      <c r="H24" s="163">
        <f>+H$3*COBERTURA_BOSQUE!H36</f>
        <v>59.714767653744651</v>
      </c>
      <c r="I24" s="163">
        <f>+I$3*COBERTURA_BOSQUE!I36</f>
        <v>74.600320004977405</v>
      </c>
      <c r="J24" s="163">
        <f>+J$3*COBERTURA_BOSQUE!J36</f>
        <v>69.186993971435498</v>
      </c>
      <c r="K24" s="163">
        <f>+K$3*COBERTURA_BOSQUE!K36</f>
        <v>63.945582947786704</v>
      </c>
      <c r="L24" s="163">
        <f>+L$3*COBERTURA_BOSQUE!L36</f>
        <v>1.6356867351353117</v>
      </c>
      <c r="M24" s="163">
        <f>+M$3*COBERTURA_BOSQUE!M36</f>
        <v>1.6356867351353117</v>
      </c>
      <c r="N24" s="163">
        <f>+N$3*COBERTURA_BOSQUE!N36</f>
        <v>1.3226616299363108</v>
      </c>
      <c r="O24" s="163">
        <f>+O$3*COBERTURA_BOSQUE!$P36</f>
        <v>1.3226616299363108</v>
      </c>
      <c r="P24" s="313">
        <f>+P$3*COBERTURA_BOSQUE!$P36</f>
        <v>1.3226616299363108</v>
      </c>
      <c r="Q24" s="313">
        <f>+Q$3*COBERTURA_BOSQUE!$P36</f>
        <v>1.3226616299363108</v>
      </c>
      <c r="R24" s="313">
        <f>+R$3*COBERTURA_BOSQUE!$P36</f>
        <v>1.3226616299363108</v>
      </c>
      <c r="S24" s="313">
        <f>+S$3*COBERTURA_BOSQUE!$P36</f>
        <v>1.3226616299363108</v>
      </c>
      <c r="T24" s="313">
        <f>+T$3*COBERTURA_BOSQUE!$P36</f>
        <v>1.3226616299363108</v>
      </c>
      <c r="U24" s="313">
        <f>+U$3*COBERTURA_BOSQUE!$P36</f>
        <v>1.3226616299363108</v>
      </c>
      <c r="V24" s="313">
        <f>+V$3*COBERTURA_BOSQUE!$P36</f>
        <v>1.3226616299363108</v>
      </c>
      <c r="W24" s="313">
        <f>+W$3*COBERTURA_BOSQUE!$P36</f>
        <v>1.3226616299363108</v>
      </c>
      <c r="X24" s="313">
        <f>+X$3*COBERTURA_BOSQUE!$P36</f>
        <v>1.3226616299363108</v>
      </c>
      <c r="Y24" s="313">
        <f>+Y$3*COBERTURA_BOSQUE!$P36</f>
        <v>1.3226616299363108</v>
      </c>
      <c r="Z24" s="313">
        <f>+Z$3*COBERTURA_BOSQUE!$P36</f>
        <v>1.3226616299363108</v>
      </c>
      <c r="AA24" s="313">
        <f>+AA$3*COBERTURA_BOSQUE!$P36</f>
        <v>1.3226616299363108</v>
      </c>
      <c r="AB24" s="314">
        <f>+AB$3*COBERTURA_BOSQUE!$P36</f>
        <v>1.3226616299363108</v>
      </c>
    </row>
    <row r="25" spans="1:28" x14ac:dyDescent="0.3">
      <c r="A25" s="161" t="s">
        <v>15</v>
      </c>
      <c r="B25" s="162" t="s">
        <v>5</v>
      </c>
      <c r="C25" s="163">
        <f>+C$3*COBERTURA_BOSQUE!C37</f>
        <v>411.51456008697022</v>
      </c>
      <c r="D25" s="163">
        <f>+D$3*COBERTURA_BOSQUE!D37</f>
        <v>398.36463471076127</v>
      </c>
      <c r="E25" s="163">
        <f>+E$3*COBERTURA_BOSQUE!E37</f>
        <v>386.1463624571864</v>
      </c>
      <c r="F25" s="163">
        <f>+F$3*COBERTURA_BOSQUE!F37</f>
        <v>388.42752504467217</v>
      </c>
      <c r="G25" s="163">
        <f>+G$3*COBERTURA_BOSQUE!G37</f>
        <v>390.6070238614866</v>
      </c>
      <c r="H25" s="163">
        <f>+H$3*COBERTURA_BOSQUE!H37</f>
        <v>526.2388455040317</v>
      </c>
      <c r="I25" s="163">
        <f>+I$3*COBERTURA_BOSQUE!I37</f>
        <v>658.72347916708384</v>
      </c>
      <c r="J25" s="163">
        <f>+J$3*COBERTURA_BOSQUE!J37</f>
        <v>616.17551005205883</v>
      </c>
      <c r="K25" s="163">
        <f>+K$3*COBERTURA_BOSQUE!K37</f>
        <v>574.34848905172964</v>
      </c>
      <c r="L25" s="163">
        <f>+L$3*COBERTURA_BOSQUE!L37</f>
        <v>14.691463609832327</v>
      </c>
      <c r="M25" s="163">
        <f>+M$3*COBERTURA_BOSQUE!M37</f>
        <v>14.691463609832327</v>
      </c>
      <c r="N25" s="163">
        <f>+N$3*COBERTURA_BOSQUE!N37</f>
        <v>11.932839794199198</v>
      </c>
      <c r="O25" s="163">
        <f>+O$3*COBERTURA_BOSQUE!$P37</f>
        <v>11.932839794199198</v>
      </c>
      <c r="P25" s="313">
        <f>+P$3*COBERTURA_BOSQUE!$P37</f>
        <v>11.932839794199198</v>
      </c>
      <c r="Q25" s="313">
        <f>+Q$3*COBERTURA_BOSQUE!$P37</f>
        <v>11.932839794199198</v>
      </c>
      <c r="R25" s="313">
        <f>+R$3*COBERTURA_BOSQUE!$P37</f>
        <v>11.932839794199198</v>
      </c>
      <c r="S25" s="313">
        <f>+S$3*COBERTURA_BOSQUE!$P37</f>
        <v>11.932839794199198</v>
      </c>
      <c r="T25" s="313">
        <f>+T$3*COBERTURA_BOSQUE!$P37</f>
        <v>11.932839794199198</v>
      </c>
      <c r="U25" s="313">
        <f>+U$3*COBERTURA_BOSQUE!$P37</f>
        <v>11.932839794199198</v>
      </c>
      <c r="V25" s="313">
        <f>+V$3*COBERTURA_BOSQUE!$P37</f>
        <v>11.932839794199198</v>
      </c>
      <c r="W25" s="313">
        <f>+W$3*COBERTURA_BOSQUE!$P37</f>
        <v>11.932839794199198</v>
      </c>
      <c r="X25" s="313">
        <f>+X$3*COBERTURA_BOSQUE!$P37</f>
        <v>11.932839794199198</v>
      </c>
      <c r="Y25" s="313">
        <f>+Y$3*COBERTURA_BOSQUE!$P37</f>
        <v>11.932839794199198</v>
      </c>
      <c r="Z25" s="313">
        <f>+Z$3*COBERTURA_BOSQUE!$P37</f>
        <v>11.932839794199198</v>
      </c>
      <c r="AA25" s="313">
        <f>+AA$3*COBERTURA_BOSQUE!$P37</f>
        <v>11.932839794199198</v>
      </c>
      <c r="AB25" s="314">
        <f>+AB$3*COBERTURA_BOSQUE!$P37</f>
        <v>11.932839794199198</v>
      </c>
    </row>
    <row r="26" spans="1:28" x14ac:dyDescent="0.3">
      <c r="A26" s="161" t="s">
        <v>15</v>
      </c>
      <c r="B26" s="162" t="s">
        <v>6</v>
      </c>
      <c r="C26" s="163">
        <f>+C$3*COBERTURA_BOSQUE!C38</f>
        <v>167.27801491323973</v>
      </c>
      <c r="D26" s="163">
        <f>+D$3*COBERTURA_BOSQUE!D38</f>
        <v>161.48110168316347</v>
      </c>
      <c r="E26" s="163">
        <f>+E$3*COBERTURA_BOSQUE!E38</f>
        <v>156.09489133982831</v>
      </c>
      <c r="F26" s="163">
        <f>+F$3*COBERTURA_BOSQUE!F38</f>
        <v>158.45455716572212</v>
      </c>
      <c r="G26" s="163">
        <f>+G$3*COBERTURA_BOSQUE!G38</f>
        <v>160.70906059473103</v>
      </c>
      <c r="H26" s="163">
        <f>+H$3*COBERTURA_BOSQUE!H38</f>
        <v>216.11355637977007</v>
      </c>
      <c r="I26" s="163">
        <f>+I$3*COBERTURA_BOSQUE!I38</f>
        <v>270.02302405351759</v>
      </c>
      <c r="J26" s="163">
        <f>+J$3*COBERTURA_BOSQUE!J38</f>
        <v>254.59834445082438</v>
      </c>
      <c r="K26" s="163">
        <f>+K$3*COBERTURA_BOSQUE!K38</f>
        <v>239.16315150686404</v>
      </c>
      <c r="L26" s="163">
        <f>+L$3*COBERTURA_BOSQUE!L38</f>
        <v>6.1176390364969606</v>
      </c>
      <c r="M26" s="163">
        <f>+M$3*COBERTURA_BOSQUE!M38</f>
        <v>6.1176390364969606</v>
      </c>
      <c r="N26" s="163">
        <f>+N$3*COBERTURA_BOSQUE!N38</f>
        <v>4.8883044401296454</v>
      </c>
      <c r="O26" s="163">
        <f>+O$3*COBERTURA_BOSQUE!$P38</f>
        <v>4.8883044401296454</v>
      </c>
      <c r="P26" s="313">
        <f>+P$3*COBERTURA_BOSQUE!$P38</f>
        <v>4.8883044401296454</v>
      </c>
      <c r="Q26" s="313">
        <f>+Q$3*COBERTURA_BOSQUE!$P38</f>
        <v>4.8883044401296454</v>
      </c>
      <c r="R26" s="313">
        <f>+R$3*COBERTURA_BOSQUE!$P38</f>
        <v>4.8883044401296454</v>
      </c>
      <c r="S26" s="313">
        <f>+S$3*COBERTURA_BOSQUE!$P38</f>
        <v>4.8883044401296454</v>
      </c>
      <c r="T26" s="313">
        <f>+T$3*COBERTURA_BOSQUE!$P38</f>
        <v>4.8883044401296454</v>
      </c>
      <c r="U26" s="313">
        <f>+U$3*COBERTURA_BOSQUE!$P38</f>
        <v>4.8883044401296454</v>
      </c>
      <c r="V26" s="313">
        <f>+V$3*COBERTURA_BOSQUE!$P38</f>
        <v>4.8883044401296454</v>
      </c>
      <c r="W26" s="313">
        <f>+W$3*COBERTURA_BOSQUE!$P38</f>
        <v>4.8883044401296454</v>
      </c>
      <c r="X26" s="313">
        <f>+X$3*COBERTURA_BOSQUE!$P38</f>
        <v>4.8883044401296454</v>
      </c>
      <c r="Y26" s="313">
        <f>+Y$3*COBERTURA_BOSQUE!$P38</f>
        <v>4.8883044401296454</v>
      </c>
      <c r="Z26" s="313">
        <f>+Z$3*COBERTURA_BOSQUE!$P38</f>
        <v>4.8883044401296454</v>
      </c>
      <c r="AA26" s="313">
        <f>+AA$3*COBERTURA_BOSQUE!$P38</f>
        <v>4.8883044401296454</v>
      </c>
      <c r="AB26" s="314">
        <f>+AB$3*COBERTURA_BOSQUE!$P38</f>
        <v>4.8883044401296454</v>
      </c>
    </row>
    <row r="27" spans="1:28" ht="28.8" x14ac:dyDescent="0.3">
      <c r="A27" s="161" t="s">
        <v>15</v>
      </c>
      <c r="B27" s="162" t="s">
        <v>7</v>
      </c>
      <c r="C27" s="163">
        <f>+C$3*COBERTURA_BOSQUE!C39</f>
        <v>115.20003734369654</v>
      </c>
      <c r="D27" s="163">
        <f>+D$3*COBERTURA_BOSQUE!D39</f>
        <v>111.85940661493288</v>
      </c>
      <c r="E27" s="163">
        <f>+E$3*COBERTURA_BOSQUE!E39</f>
        <v>108.75545472357547</v>
      </c>
      <c r="F27" s="163">
        <f>+F$3*COBERTURA_BOSQUE!F39</f>
        <v>108.09075934927519</v>
      </c>
      <c r="G27" s="163">
        <f>+G$3*COBERTURA_BOSQUE!G39</f>
        <v>107.45568721992443</v>
      </c>
      <c r="H27" s="163">
        <f>+H$3*COBERTURA_BOSQUE!H39</f>
        <v>145.10520970828983</v>
      </c>
      <c r="I27" s="163">
        <f>+I$3*COBERTURA_BOSQUE!I39</f>
        <v>182.0581373461745</v>
      </c>
      <c r="J27" s="163">
        <f>+J$3*COBERTURA_BOSQUE!J39</f>
        <v>177.07866259901149</v>
      </c>
      <c r="K27" s="163">
        <f>+K$3*COBERTURA_BOSQUE!K39</f>
        <v>171.26946752496482</v>
      </c>
      <c r="L27" s="163">
        <f>+L$3*COBERTURA_BOSQUE!L39</f>
        <v>4.3809624253956283</v>
      </c>
      <c r="M27" s="163">
        <f>+M$3*COBERTURA_BOSQUE!M39</f>
        <v>4.3809624253956283</v>
      </c>
      <c r="N27" s="163">
        <f>+N$3*COBERTURA_BOSQUE!N39</f>
        <v>3.5594843193992194</v>
      </c>
      <c r="O27" s="163">
        <f>+O$3*COBERTURA_BOSQUE!$P39</f>
        <v>3.5594843193992194</v>
      </c>
      <c r="P27" s="313">
        <f>+P$3*COBERTURA_BOSQUE!$P39</f>
        <v>3.5594843193992194</v>
      </c>
      <c r="Q27" s="313">
        <f>+Q$3*COBERTURA_BOSQUE!$P39</f>
        <v>3.5594843193992194</v>
      </c>
      <c r="R27" s="313">
        <f>+R$3*COBERTURA_BOSQUE!$P39</f>
        <v>3.5594843193992194</v>
      </c>
      <c r="S27" s="313">
        <f>+S$3*COBERTURA_BOSQUE!$P39</f>
        <v>3.5594843193992194</v>
      </c>
      <c r="T27" s="313">
        <f>+T$3*COBERTURA_BOSQUE!$P39</f>
        <v>3.5594843193992194</v>
      </c>
      <c r="U27" s="313">
        <f>+U$3*COBERTURA_BOSQUE!$P39</f>
        <v>3.5594843193992194</v>
      </c>
      <c r="V27" s="313">
        <f>+V$3*COBERTURA_BOSQUE!$P39</f>
        <v>3.5594843193992194</v>
      </c>
      <c r="W27" s="313">
        <f>+W$3*COBERTURA_BOSQUE!$P39</f>
        <v>3.5594843193992194</v>
      </c>
      <c r="X27" s="313">
        <f>+X$3*COBERTURA_BOSQUE!$P39</f>
        <v>3.5594843193992194</v>
      </c>
      <c r="Y27" s="313">
        <f>+Y$3*COBERTURA_BOSQUE!$P39</f>
        <v>3.5594843193992194</v>
      </c>
      <c r="Z27" s="313">
        <f>+Z$3*COBERTURA_BOSQUE!$P39</f>
        <v>3.5594843193992194</v>
      </c>
      <c r="AA27" s="313">
        <f>+AA$3*COBERTURA_BOSQUE!$P39</f>
        <v>3.5594843193992194</v>
      </c>
      <c r="AB27" s="314">
        <f>+AB$3*COBERTURA_BOSQUE!$P39</f>
        <v>3.5594843193992194</v>
      </c>
    </row>
    <row r="28" spans="1:28" ht="28.8" x14ac:dyDescent="0.3">
      <c r="A28" s="161" t="s">
        <v>15</v>
      </c>
      <c r="B28" s="162" t="s">
        <v>8</v>
      </c>
      <c r="C28" s="163">
        <f>+C$3*COBERTURA_BOSQUE!C40</f>
        <v>842.9759453449791</v>
      </c>
      <c r="D28" s="163">
        <f>+D$3*COBERTURA_BOSQUE!D40</f>
        <v>871.9570363058765</v>
      </c>
      <c r="E28" s="163">
        <f>+E$3*COBERTURA_BOSQUE!E40</f>
        <v>898.88485904519814</v>
      </c>
      <c r="F28" s="163">
        <f>+F$3*COBERTURA_BOSQUE!F40</f>
        <v>897.17078920626909</v>
      </c>
      <c r="G28" s="163">
        <f>+G$3*COBERTURA_BOSQUE!G40</f>
        <v>895.53310971495205</v>
      </c>
      <c r="H28" s="163">
        <f>+H$3*COBERTURA_BOSQUE!H40</f>
        <v>1219.3174496084323</v>
      </c>
      <c r="I28" s="163">
        <f>+I$3*COBERTURA_BOSQUE!I40</f>
        <v>1542.3193892132592</v>
      </c>
      <c r="J28" s="163">
        <f>+J$3*COBERTURA_BOSQUE!J40</f>
        <v>1462.225263498294</v>
      </c>
      <c r="K28" s="163">
        <f>+K$3*COBERTURA_BOSQUE!K40</f>
        <v>1380.8556308098255</v>
      </c>
      <c r="L28" s="163">
        <f>+L$3*COBERTURA_BOSQUE!L40</f>
        <v>35.321395698226432</v>
      </c>
      <c r="M28" s="163">
        <f>+M$3*COBERTURA_BOSQUE!M40</f>
        <v>35.321395698226432</v>
      </c>
      <c r="N28" s="163">
        <f>+N$3*COBERTURA_BOSQUE!N40</f>
        <v>27.792747047846422</v>
      </c>
      <c r="O28" s="163">
        <f>+O$3*COBERTURA_BOSQUE!$P40</f>
        <v>27.792747047846422</v>
      </c>
      <c r="P28" s="313">
        <f>+P$3*COBERTURA_BOSQUE!$P40</f>
        <v>27.792747047846422</v>
      </c>
      <c r="Q28" s="313">
        <f>+Q$3*COBERTURA_BOSQUE!$P40</f>
        <v>27.792747047846422</v>
      </c>
      <c r="R28" s="313">
        <f>+R$3*COBERTURA_BOSQUE!$P40</f>
        <v>27.792747047846422</v>
      </c>
      <c r="S28" s="313">
        <f>+S$3*COBERTURA_BOSQUE!$P40</f>
        <v>27.792747047846422</v>
      </c>
      <c r="T28" s="313">
        <f>+T$3*COBERTURA_BOSQUE!$P40</f>
        <v>27.792747047846422</v>
      </c>
      <c r="U28" s="313">
        <f>+U$3*COBERTURA_BOSQUE!$P40</f>
        <v>27.792747047846422</v>
      </c>
      <c r="V28" s="313">
        <f>+V$3*COBERTURA_BOSQUE!$P40</f>
        <v>27.792747047846422</v>
      </c>
      <c r="W28" s="313">
        <f>+W$3*COBERTURA_BOSQUE!$P40</f>
        <v>27.792747047846422</v>
      </c>
      <c r="X28" s="313">
        <f>+X$3*COBERTURA_BOSQUE!$P40</f>
        <v>27.792747047846422</v>
      </c>
      <c r="Y28" s="313">
        <f>+Y$3*COBERTURA_BOSQUE!$P40</f>
        <v>27.792747047846422</v>
      </c>
      <c r="Z28" s="313">
        <f>+Z$3*COBERTURA_BOSQUE!$P40</f>
        <v>27.792747047846422</v>
      </c>
      <c r="AA28" s="313">
        <f>+AA$3*COBERTURA_BOSQUE!$P40</f>
        <v>27.792747047846422</v>
      </c>
      <c r="AB28" s="314">
        <f>+AB$3*COBERTURA_BOSQUE!$P40</f>
        <v>27.792747047846422</v>
      </c>
    </row>
    <row r="29" spans="1:28" ht="28.8" x14ac:dyDescent="0.3">
      <c r="A29" s="161" t="s">
        <v>15</v>
      </c>
      <c r="B29" s="162" t="s">
        <v>9</v>
      </c>
      <c r="C29" s="163">
        <f>+C$3*COBERTURA_BOSQUE!C41</f>
        <v>93.395142564209038</v>
      </c>
      <c r="D29" s="163">
        <f>+D$3*COBERTURA_BOSQUE!D41</f>
        <v>90.630865085701075</v>
      </c>
      <c r="E29" s="163">
        <f>+E$3*COBERTURA_BOSQUE!E41</f>
        <v>88.062432653533676</v>
      </c>
      <c r="F29" s="163">
        <f>+F$3*COBERTURA_BOSQUE!F41</f>
        <v>87.397396955521899</v>
      </c>
      <c r="G29" s="163">
        <f>+G$3*COBERTURA_BOSQUE!G41</f>
        <v>86.761999669546825</v>
      </c>
      <c r="H29" s="163">
        <f>+H$3*COBERTURA_BOSQUE!H41</f>
        <v>114.62215414911904</v>
      </c>
      <c r="I29" s="163">
        <f>+I$3*COBERTURA_BOSQUE!I41</f>
        <v>140.64638755504208</v>
      </c>
      <c r="J29" s="163">
        <f>+J$3*COBERTURA_BOSQUE!J41</f>
        <v>130.06337893813219</v>
      </c>
      <c r="K29" s="163">
        <f>+K$3*COBERTURA_BOSQUE!K41</f>
        <v>119.86171739470238</v>
      </c>
      <c r="L29" s="163">
        <f>+L$3*COBERTURA_BOSQUE!L41</f>
        <v>3.0659853606016436</v>
      </c>
      <c r="M29" s="163">
        <f>+M$3*COBERTURA_BOSQUE!M41</f>
        <v>3.0659853606016436</v>
      </c>
      <c r="N29" s="163">
        <f>+N$3*COBERTURA_BOSQUE!N41</f>
        <v>2.2820292382197174</v>
      </c>
      <c r="O29" s="163">
        <f>+O$3*COBERTURA_BOSQUE!$P41</f>
        <v>2.2820292382197174</v>
      </c>
      <c r="P29" s="313">
        <f>+P$3*COBERTURA_BOSQUE!$P41</f>
        <v>2.2820292382197174</v>
      </c>
      <c r="Q29" s="313">
        <f>+Q$3*COBERTURA_BOSQUE!$P41</f>
        <v>2.2820292382197174</v>
      </c>
      <c r="R29" s="313">
        <f>+R$3*COBERTURA_BOSQUE!$P41</f>
        <v>2.2820292382197174</v>
      </c>
      <c r="S29" s="313">
        <f>+S$3*COBERTURA_BOSQUE!$P41</f>
        <v>2.2820292382197174</v>
      </c>
      <c r="T29" s="313">
        <f>+T$3*COBERTURA_BOSQUE!$P41</f>
        <v>2.2820292382197174</v>
      </c>
      <c r="U29" s="313">
        <f>+U$3*COBERTURA_BOSQUE!$P41</f>
        <v>2.2820292382197174</v>
      </c>
      <c r="V29" s="313">
        <f>+V$3*COBERTURA_BOSQUE!$P41</f>
        <v>2.2820292382197174</v>
      </c>
      <c r="W29" s="313">
        <f>+W$3*COBERTURA_BOSQUE!$P41</f>
        <v>2.2820292382197174</v>
      </c>
      <c r="X29" s="313">
        <f>+X$3*COBERTURA_BOSQUE!$P41</f>
        <v>2.2820292382197174</v>
      </c>
      <c r="Y29" s="313">
        <f>+Y$3*COBERTURA_BOSQUE!$P41</f>
        <v>2.2820292382197174</v>
      </c>
      <c r="Z29" s="313">
        <f>+Z$3*COBERTURA_BOSQUE!$P41</f>
        <v>2.2820292382197174</v>
      </c>
      <c r="AA29" s="313">
        <f>+AA$3*COBERTURA_BOSQUE!$P41</f>
        <v>2.2820292382197174</v>
      </c>
      <c r="AB29" s="314">
        <f>+AB$3*COBERTURA_BOSQUE!$P41</f>
        <v>2.2820292382197174</v>
      </c>
    </row>
    <row r="30" spans="1:28" x14ac:dyDescent="0.3">
      <c r="A30" s="161" t="s">
        <v>15</v>
      </c>
      <c r="B30" s="162" t="s">
        <v>10</v>
      </c>
      <c r="C30" s="163">
        <f>+C$3*COBERTURA_BOSQUE!C42</f>
        <v>23.194882470986094</v>
      </c>
      <c r="D30" s="163">
        <f>+D$3*COBERTURA_BOSQUE!D42</f>
        <v>22.461613038513875</v>
      </c>
      <c r="E30" s="163">
        <f>+E$3*COBERTURA_BOSQUE!E42</f>
        <v>21.780294680815874</v>
      </c>
      <c r="F30" s="163">
        <f>+F$3*COBERTURA_BOSQUE!F42</f>
        <v>20.774030800863983</v>
      </c>
      <c r="G30" s="163">
        <f>+G$3*COBERTURA_BOSQUE!G42</f>
        <v>19.812612729311351</v>
      </c>
      <c r="H30" s="163">
        <f>+H$3*COBERTURA_BOSQUE!H42</f>
        <v>28.038931953672048</v>
      </c>
      <c r="I30" s="163">
        <f>+I$3*COBERTURA_BOSQUE!I42</f>
        <v>36.781120122481532</v>
      </c>
      <c r="J30" s="163">
        <f>+J$3*COBERTURA_BOSQUE!J42</f>
        <v>33.951374220729356</v>
      </c>
      <c r="K30" s="163">
        <f>+K$3*COBERTURA_BOSQUE!K42</f>
        <v>31.230785859833212</v>
      </c>
      <c r="L30" s="163">
        <f>+L$3*COBERTURA_BOSQUE!L42</f>
        <v>0.79886334292224581</v>
      </c>
      <c r="M30" s="163">
        <f>+M$3*COBERTURA_BOSQUE!M42</f>
        <v>0.79886334292224581</v>
      </c>
      <c r="N30" s="163">
        <f>+N$3*COBERTURA_BOSQUE!N42</f>
        <v>0.93076715951073208</v>
      </c>
      <c r="O30" s="163">
        <f>+O$3*COBERTURA_BOSQUE!$P42</f>
        <v>0.93076715951073208</v>
      </c>
      <c r="P30" s="313">
        <f>+P$3*COBERTURA_BOSQUE!$P42</f>
        <v>0.93076715951073208</v>
      </c>
      <c r="Q30" s="313">
        <f>+Q$3*COBERTURA_BOSQUE!$P42</f>
        <v>0.93076715951073208</v>
      </c>
      <c r="R30" s="313">
        <f>+R$3*COBERTURA_BOSQUE!$P42</f>
        <v>0.93076715951073208</v>
      </c>
      <c r="S30" s="313">
        <f>+S$3*COBERTURA_BOSQUE!$P42</f>
        <v>0.93076715951073208</v>
      </c>
      <c r="T30" s="313">
        <f>+T$3*COBERTURA_BOSQUE!$P42</f>
        <v>0.93076715951073208</v>
      </c>
      <c r="U30" s="313">
        <f>+U$3*COBERTURA_BOSQUE!$P42</f>
        <v>0.93076715951073208</v>
      </c>
      <c r="V30" s="313">
        <f>+V$3*COBERTURA_BOSQUE!$P42</f>
        <v>0.93076715951073208</v>
      </c>
      <c r="W30" s="313">
        <f>+W$3*COBERTURA_BOSQUE!$P42</f>
        <v>0.93076715951073208</v>
      </c>
      <c r="X30" s="313">
        <f>+X$3*COBERTURA_BOSQUE!$P42</f>
        <v>0.93076715951073208</v>
      </c>
      <c r="Y30" s="313">
        <f>+Y$3*COBERTURA_BOSQUE!$P42</f>
        <v>0.93076715951073208</v>
      </c>
      <c r="Z30" s="313">
        <f>+Z$3*COBERTURA_BOSQUE!$P42</f>
        <v>0.93076715951073208</v>
      </c>
      <c r="AA30" s="313">
        <f>+AA$3*COBERTURA_BOSQUE!$P42</f>
        <v>0.93076715951073208</v>
      </c>
      <c r="AB30" s="314">
        <f>+AB$3*COBERTURA_BOSQUE!$P42</f>
        <v>0.93076715951073208</v>
      </c>
    </row>
    <row r="31" spans="1:28" x14ac:dyDescent="0.3">
      <c r="A31" s="161" t="s">
        <v>15</v>
      </c>
      <c r="B31" s="162" t="s">
        <v>11</v>
      </c>
      <c r="C31" s="163">
        <f>+C$3*COBERTURA_BOSQUE!C43</f>
        <v>96.997028150558236</v>
      </c>
      <c r="D31" s="163">
        <f>+D$3*COBERTURA_BOSQUE!D43</f>
        <v>93.746548602150312</v>
      </c>
      <c r="E31" s="163">
        <f>+E$3*COBERTURA_BOSQUE!E43</f>
        <v>90.726360810896452</v>
      </c>
      <c r="F31" s="163">
        <f>+F$3*COBERTURA_BOSQUE!F43</f>
        <v>90.13991702293275</v>
      </c>
      <c r="G31" s="163">
        <f>+G$3*COBERTURA_BOSQUE!G43</f>
        <v>89.579609068994188</v>
      </c>
      <c r="H31" s="163">
        <f>+H$3*COBERTURA_BOSQUE!H43</f>
        <v>123.43126930313448</v>
      </c>
      <c r="I31" s="163">
        <f>+I$3*COBERTURA_BOSQUE!I43</f>
        <v>157.93885562899069</v>
      </c>
      <c r="J31" s="163">
        <f>+J$3*COBERTURA_BOSQUE!J43</f>
        <v>147.49149748310484</v>
      </c>
      <c r="K31" s="163">
        <f>+K$3*COBERTURA_BOSQUE!K43</f>
        <v>137.25430850710771</v>
      </c>
      <c r="L31" s="163">
        <f>+L$3*COBERTURA_BOSQUE!L43</f>
        <v>3.5108766143950909</v>
      </c>
      <c r="M31" s="163">
        <f>+M$3*COBERTURA_BOSQUE!M43</f>
        <v>3.5108766143950909</v>
      </c>
      <c r="N31" s="163">
        <f>+N$3*COBERTURA_BOSQUE!N43</f>
        <v>2.589099749926338</v>
      </c>
      <c r="O31" s="163">
        <f>+O$3*COBERTURA_BOSQUE!$P43</f>
        <v>2.589099749926338</v>
      </c>
      <c r="P31" s="313">
        <f>+P$3*COBERTURA_BOSQUE!$P43</f>
        <v>2.589099749926338</v>
      </c>
      <c r="Q31" s="313">
        <f>+Q$3*COBERTURA_BOSQUE!$P43</f>
        <v>2.589099749926338</v>
      </c>
      <c r="R31" s="313">
        <f>+R$3*COBERTURA_BOSQUE!$P43</f>
        <v>2.589099749926338</v>
      </c>
      <c r="S31" s="313">
        <f>+S$3*COBERTURA_BOSQUE!$P43</f>
        <v>2.589099749926338</v>
      </c>
      <c r="T31" s="313">
        <f>+T$3*COBERTURA_BOSQUE!$P43</f>
        <v>2.589099749926338</v>
      </c>
      <c r="U31" s="313">
        <f>+U$3*COBERTURA_BOSQUE!$P43</f>
        <v>2.589099749926338</v>
      </c>
      <c r="V31" s="313">
        <f>+V$3*COBERTURA_BOSQUE!$P43</f>
        <v>2.589099749926338</v>
      </c>
      <c r="W31" s="313">
        <f>+W$3*COBERTURA_BOSQUE!$P43</f>
        <v>2.589099749926338</v>
      </c>
      <c r="X31" s="313">
        <f>+X$3*COBERTURA_BOSQUE!$P43</f>
        <v>2.589099749926338</v>
      </c>
      <c r="Y31" s="313">
        <f>+Y$3*COBERTURA_BOSQUE!$P43</f>
        <v>2.589099749926338</v>
      </c>
      <c r="Z31" s="313">
        <f>+Z$3*COBERTURA_BOSQUE!$P43</f>
        <v>2.589099749926338</v>
      </c>
      <c r="AA31" s="313">
        <f>+AA$3*COBERTURA_BOSQUE!$P43</f>
        <v>2.589099749926338</v>
      </c>
      <c r="AB31" s="314">
        <f>+AB$3*COBERTURA_BOSQUE!$P43</f>
        <v>2.589099749926338</v>
      </c>
    </row>
    <row r="32" spans="1:28" ht="15" thickBot="1" x14ac:dyDescent="0.35">
      <c r="A32" s="164" t="s">
        <v>15</v>
      </c>
      <c r="B32" s="165" t="s">
        <v>12</v>
      </c>
      <c r="C32" s="166">
        <f>+C$3*COBERTURA_BOSQUE!C44</f>
        <v>13.661290865500829</v>
      </c>
      <c r="D32" s="166">
        <f>+D$3*COBERTURA_BOSQUE!D44</f>
        <v>13.15957669251155</v>
      </c>
      <c r="E32" s="166">
        <f>+E$3*COBERTURA_BOSQUE!E44</f>
        <v>12.693408240320114</v>
      </c>
      <c r="F32" s="166">
        <f>+F$3*COBERTURA_BOSQUE!F44</f>
        <v>12.404110392441838</v>
      </c>
      <c r="G32" s="166">
        <f>+G$3*COBERTURA_BOSQUE!G44</f>
        <v>12.127705579993679</v>
      </c>
      <c r="H32" s="166">
        <f>+H$3*COBERTURA_BOSQUE!H44</f>
        <v>30.954287611303997</v>
      </c>
      <c r="I32" s="166">
        <f>+I$3*COBERTURA_BOSQUE!I44</f>
        <v>57.014139318993898</v>
      </c>
      <c r="J32" s="166">
        <f>+J$3*COBERTURA_BOSQUE!J44</f>
        <v>50.432238257376142</v>
      </c>
      <c r="K32" s="166">
        <f>+K$3*COBERTURA_BOSQUE!K44</f>
        <v>44.352752458735665</v>
      </c>
      <c r="L32" s="166">
        <f>+L$3*COBERTURA_BOSQUE!L44</f>
        <v>1.1345147783347407</v>
      </c>
      <c r="M32" s="166">
        <f>+M$3*COBERTURA_BOSQUE!M44</f>
        <v>1.1345147783347407</v>
      </c>
      <c r="N32" s="166">
        <f>+N$3*COBERTURA_BOSQUE!N44</f>
        <v>1.0926813789560368</v>
      </c>
      <c r="O32" s="166">
        <f>+O$3*COBERTURA_BOSQUE!$P44</f>
        <v>1.0926813789560368</v>
      </c>
      <c r="P32" s="315">
        <f>+P$3*COBERTURA_BOSQUE!$P44</f>
        <v>1.0926813789560368</v>
      </c>
      <c r="Q32" s="315">
        <f>+Q$3*COBERTURA_BOSQUE!$P44</f>
        <v>1.0926813789560368</v>
      </c>
      <c r="R32" s="315">
        <f>+R$3*COBERTURA_BOSQUE!$P44</f>
        <v>1.0926813789560368</v>
      </c>
      <c r="S32" s="315">
        <f>+S$3*COBERTURA_BOSQUE!$P44</f>
        <v>1.0926813789560368</v>
      </c>
      <c r="T32" s="315">
        <f>+T$3*COBERTURA_BOSQUE!$P44</f>
        <v>1.0926813789560368</v>
      </c>
      <c r="U32" s="315">
        <f>+U$3*COBERTURA_BOSQUE!$P44</f>
        <v>1.0926813789560368</v>
      </c>
      <c r="V32" s="315">
        <f>+V$3*COBERTURA_BOSQUE!$P44</f>
        <v>1.0926813789560368</v>
      </c>
      <c r="W32" s="315">
        <f>+W$3*COBERTURA_BOSQUE!$P44</f>
        <v>1.0926813789560368</v>
      </c>
      <c r="X32" s="315">
        <f>+X$3*COBERTURA_BOSQUE!$P44</f>
        <v>1.0926813789560368</v>
      </c>
      <c r="Y32" s="315">
        <f>+Y$3*COBERTURA_BOSQUE!$P44</f>
        <v>1.0926813789560368</v>
      </c>
      <c r="Z32" s="315">
        <f>+Z$3*COBERTURA_BOSQUE!$P44</f>
        <v>1.0926813789560368</v>
      </c>
      <c r="AA32" s="315">
        <f>+AA$3*COBERTURA_BOSQUE!$P44</f>
        <v>1.0926813789560368</v>
      </c>
      <c r="AB32" s="316">
        <f>+AB$3*COBERTURA_BOSQUE!$P44</f>
        <v>1.0926813789560368</v>
      </c>
    </row>
    <row r="33" spans="1:28" ht="15" thickBot="1" x14ac:dyDescent="0.35">
      <c r="A33" s="502" t="s">
        <v>31</v>
      </c>
      <c r="B33" s="503"/>
      <c r="C33" s="167">
        <f>+SUM(C23:C32)</f>
        <v>1811.6600000000003</v>
      </c>
      <c r="D33" s="167">
        <f t="shared" ref="D33" si="18">+SUM(D23:D32)</f>
        <v>1811.66</v>
      </c>
      <c r="E33" s="167">
        <f t="shared" ref="E33" si="19">+SUM(E23:E32)</f>
        <v>1811.6599999999996</v>
      </c>
      <c r="F33" s="167">
        <f t="shared" ref="F33" si="20">+SUM(F23:F32)</f>
        <v>1811.6600000000003</v>
      </c>
      <c r="G33" s="167">
        <f t="shared" ref="G33" si="21">+SUM(G23:G32)</f>
        <v>1811.6599999999996</v>
      </c>
      <c r="H33" s="167">
        <f t="shared" ref="H33" si="22">+SUM(H23:H32)</f>
        <v>2469.8300000000004</v>
      </c>
      <c r="I33" s="167">
        <f t="shared" ref="I33" si="23">+SUM(I23:I32)</f>
        <v>3127.9999999999995</v>
      </c>
      <c r="J33" s="167">
        <f t="shared" ref="J33" si="24">+SUM(J23:J32)</f>
        <v>2948.5150000000003</v>
      </c>
      <c r="K33" s="167">
        <f t="shared" ref="K33" si="25">+SUM(K23:K32)</f>
        <v>2769.0300000000007</v>
      </c>
      <c r="L33" s="167">
        <f t="shared" ref="L33" si="26">+SUM(L23:L32)</f>
        <v>70.830000000000013</v>
      </c>
      <c r="M33" s="167">
        <f t="shared" ref="M33" si="27">+SUM(M23:M32)</f>
        <v>70.830000000000013</v>
      </c>
      <c r="N33" s="167">
        <f t="shared" ref="N33" si="28">+SUM(N23:N32)</f>
        <v>56.52</v>
      </c>
      <c r="O33" s="167">
        <f t="shared" ref="O33:AA33" si="29">+SUM(O23:O32)</f>
        <v>56.52</v>
      </c>
      <c r="P33" s="317">
        <f t="shared" si="29"/>
        <v>56.52</v>
      </c>
      <c r="Q33" s="317">
        <f t="shared" si="29"/>
        <v>56.52</v>
      </c>
      <c r="R33" s="317">
        <f t="shared" si="29"/>
        <v>56.52</v>
      </c>
      <c r="S33" s="317">
        <f t="shared" si="29"/>
        <v>56.52</v>
      </c>
      <c r="T33" s="317">
        <f t="shared" si="29"/>
        <v>56.52</v>
      </c>
      <c r="U33" s="317">
        <f t="shared" si="29"/>
        <v>56.52</v>
      </c>
      <c r="V33" s="317">
        <f t="shared" si="29"/>
        <v>56.52</v>
      </c>
      <c r="W33" s="317">
        <f t="shared" si="29"/>
        <v>56.52</v>
      </c>
      <c r="X33" s="317">
        <f t="shared" si="29"/>
        <v>56.52</v>
      </c>
      <c r="Y33" s="317">
        <f t="shared" si="29"/>
        <v>56.52</v>
      </c>
      <c r="Z33" s="317">
        <f t="shared" si="29"/>
        <v>56.52</v>
      </c>
      <c r="AA33" s="317">
        <f t="shared" si="29"/>
        <v>56.52</v>
      </c>
      <c r="AB33" s="318">
        <f t="shared" ref="AB33" si="30">+SUM(AB23:AB32)</f>
        <v>56.52</v>
      </c>
    </row>
    <row r="35" spans="1:28" ht="15" thickBot="1" x14ac:dyDescent="0.35">
      <c r="A35" s="168" t="s">
        <v>196</v>
      </c>
      <c r="B35" s="169"/>
      <c r="C35" s="170"/>
      <c r="D35" s="170"/>
      <c r="E35" s="170"/>
      <c r="F35" s="170"/>
      <c r="G35" s="170"/>
      <c r="H35" s="170"/>
      <c r="I35" s="170"/>
      <c r="J35" s="170"/>
      <c r="K35" s="170"/>
      <c r="L35" s="170"/>
      <c r="M35" s="170"/>
      <c r="N35" s="170"/>
      <c r="O35" s="170"/>
      <c r="P35" s="170"/>
      <c r="Q35" s="170"/>
      <c r="R35" s="170"/>
      <c r="S35" s="170"/>
      <c r="T35" s="170"/>
      <c r="U35" s="170"/>
      <c r="V35" s="170"/>
      <c r="W35" s="170"/>
      <c r="X35" s="170"/>
      <c r="Y35" s="170"/>
      <c r="Z35" s="170"/>
      <c r="AA35" s="170"/>
      <c r="AB35" s="170"/>
    </row>
    <row r="36" spans="1:28" x14ac:dyDescent="0.3">
      <c r="A36" s="158" t="s">
        <v>16</v>
      </c>
      <c r="B36" s="159" t="s">
        <v>2</v>
      </c>
      <c r="C36" s="160">
        <f>+C$4*COBERTURA_BOSQUE!C35</f>
        <v>9.0396271902840719E-2</v>
      </c>
      <c r="D36" s="160">
        <f>+D$4*COBERTURA_BOSQUE!D35</f>
        <v>9.4511072618878519E-2</v>
      </c>
      <c r="E36" s="160">
        <f>+E$4*COBERTURA_BOSQUE!E35</f>
        <v>9.8334345677805135E-2</v>
      </c>
      <c r="F36" s="160">
        <f>+F$4*COBERTURA_BOSQUE!F35</f>
        <v>9.6940863213375417E-2</v>
      </c>
      <c r="G36" s="160">
        <f>+G$4*COBERTURA_BOSQUE!G35</f>
        <v>9.5609483591800895E-2</v>
      </c>
      <c r="H36" s="160">
        <f>+H$4*COBERTURA_BOSQUE!H35</f>
        <v>0.10021923018749439</v>
      </c>
      <c r="I36" s="160">
        <f>+I$4*COBERTURA_BOSQUE!I35</f>
        <v>0.10474700286552732</v>
      </c>
      <c r="J36" s="160">
        <f>+J$4*COBERTURA_BOSQUE!J35</f>
        <v>0.10206869408330153</v>
      </c>
      <c r="K36" s="160">
        <f>+K$4*COBERTURA_BOSQUE!K35</f>
        <v>9.9478160571595226E-2</v>
      </c>
      <c r="L36" s="160">
        <f>+L$4*COBERTURA_BOSQUE!L35</f>
        <v>2.4126256483556902E-3</v>
      </c>
      <c r="M36" s="160">
        <f>+M$4*COBERTURA_BOSQUE!M35</f>
        <v>2.4126256483556902E-3</v>
      </c>
      <c r="N36" s="160">
        <f>+N$4*COBERTURA_BOSQUE!N35</f>
        <v>2.7813706454318115E-2</v>
      </c>
      <c r="O36" s="160">
        <f>+O$4*COBERTURA_BOSQUE!$P35</f>
        <v>2.7813706454318115E-2</v>
      </c>
      <c r="P36" s="311">
        <f>+P$4*COBERTURA_BOSQUE!$P35</f>
        <v>2.7813706454318115E-2</v>
      </c>
      <c r="Q36" s="311">
        <f>+Q$4*COBERTURA_BOSQUE!$P35</f>
        <v>2.7813706454318115E-2</v>
      </c>
      <c r="R36" s="311">
        <f>+R$4*COBERTURA_BOSQUE!$P35</f>
        <v>2.7813706454318115E-2</v>
      </c>
      <c r="S36" s="311">
        <f>+S$4*COBERTURA_BOSQUE!$P35</f>
        <v>2.7813706454318115E-2</v>
      </c>
      <c r="T36" s="311">
        <f>+T$4*COBERTURA_BOSQUE!$P35</f>
        <v>2.7813706454318115E-2</v>
      </c>
      <c r="U36" s="311">
        <f>+U$4*COBERTURA_BOSQUE!$P35</f>
        <v>2.7813706454318115E-2</v>
      </c>
      <c r="V36" s="311">
        <f>+V$4*COBERTURA_BOSQUE!$P35</f>
        <v>2.7813706454318115E-2</v>
      </c>
      <c r="W36" s="311">
        <f>+W$4*COBERTURA_BOSQUE!$P35</f>
        <v>2.7813706454318115E-2</v>
      </c>
      <c r="X36" s="311">
        <f>+X$4*COBERTURA_BOSQUE!$P35</f>
        <v>2.7813706454318115E-2</v>
      </c>
      <c r="Y36" s="311">
        <f>+Y$4*COBERTURA_BOSQUE!$P35</f>
        <v>2.7813706454318115E-2</v>
      </c>
      <c r="Z36" s="311">
        <f>+Z$4*COBERTURA_BOSQUE!$P35</f>
        <v>2.7813706454318115E-2</v>
      </c>
      <c r="AA36" s="311">
        <f>+AA$4*COBERTURA_BOSQUE!$P35</f>
        <v>2.7813706454318115E-2</v>
      </c>
      <c r="AB36" s="312">
        <f>+AB$4*COBERTURA_BOSQUE!$P35</f>
        <v>2.7813706454318115E-2</v>
      </c>
    </row>
    <row r="37" spans="1:28" x14ac:dyDescent="0.3">
      <c r="A37" s="161" t="s">
        <v>16</v>
      </c>
      <c r="B37" s="162" t="s">
        <v>4</v>
      </c>
      <c r="C37" s="163">
        <f>+C$4*COBERTURA_BOSQUE!C36</f>
        <v>0.88273639721632258</v>
      </c>
      <c r="D37" s="163">
        <f>+D$4*COBERTURA_BOSQUE!D36</f>
        <v>0.89002847322251655</v>
      </c>
      <c r="E37" s="163">
        <f>+E$4*COBERTURA_BOSQUE!E36</f>
        <v>0.8968039162298691</v>
      </c>
      <c r="F37" s="163">
        <f>+F$4*COBERTURA_BOSQUE!F36</f>
        <v>0.90404274660034023</v>
      </c>
      <c r="G37" s="163">
        <f>+G$4*COBERTURA_BOSQUE!G36</f>
        <v>0.91095896656384223</v>
      </c>
      <c r="H37" s="163">
        <f>+H$4*COBERTURA_BOSQUE!H36</f>
        <v>0.95090828592323251</v>
      </c>
      <c r="I37" s="163">
        <f>+I$4*COBERTURA_BOSQUE!I36</f>
        <v>0.98974209725273732</v>
      </c>
      <c r="J37" s="163">
        <f>+J$4*COBERTURA_BOSQUE!J36</f>
        <v>0.96582064933170919</v>
      </c>
      <c r="K37" s="163">
        <f>+K$4*COBERTURA_BOSQUE!K36</f>
        <v>0.9426617609519049</v>
      </c>
      <c r="L37" s="163">
        <f>+L$4*COBERTURA_BOSQUE!L36</f>
        <v>2.2862203413581229E-2</v>
      </c>
      <c r="M37" s="163">
        <f>+M$4*COBERTURA_BOSQUE!M36</f>
        <v>2.2862203413581229E-2</v>
      </c>
      <c r="N37" s="163">
        <f>+N$4*COBERTURA_BOSQUE!N36</f>
        <v>0.28433012745446168</v>
      </c>
      <c r="O37" s="163">
        <f>+O$4*COBERTURA_BOSQUE!$P36</f>
        <v>0.28433012745446168</v>
      </c>
      <c r="P37" s="313">
        <f>+P$4*COBERTURA_BOSQUE!$P36</f>
        <v>0.28433012745446168</v>
      </c>
      <c r="Q37" s="313">
        <f>+Q$4*COBERTURA_BOSQUE!$P36</f>
        <v>0.28433012745446168</v>
      </c>
      <c r="R37" s="313">
        <f>+R$4*COBERTURA_BOSQUE!$P36</f>
        <v>0.28433012745446168</v>
      </c>
      <c r="S37" s="313">
        <f>+S$4*COBERTURA_BOSQUE!$P36</f>
        <v>0.28433012745446168</v>
      </c>
      <c r="T37" s="313">
        <f>+T$4*COBERTURA_BOSQUE!$P36</f>
        <v>0.28433012745446168</v>
      </c>
      <c r="U37" s="313">
        <f>+U$4*COBERTURA_BOSQUE!$P36</f>
        <v>0.28433012745446168</v>
      </c>
      <c r="V37" s="313">
        <f>+V$4*COBERTURA_BOSQUE!$P36</f>
        <v>0.28433012745446168</v>
      </c>
      <c r="W37" s="313">
        <f>+W$4*COBERTURA_BOSQUE!$P36</f>
        <v>0.28433012745446168</v>
      </c>
      <c r="X37" s="313">
        <f>+X$4*COBERTURA_BOSQUE!$P36</f>
        <v>0.28433012745446168</v>
      </c>
      <c r="Y37" s="313">
        <f>+Y$4*COBERTURA_BOSQUE!$P36</f>
        <v>0.28433012745446168</v>
      </c>
      <c r="Z37" s="313">
        <f>+Z$4*COBERTURA_BOSQUE!$P36</f>
        <v>0.28433012745446168</v>
      </c>
      <c r="AA37" s="313">
        <f>+AA$4*COBERTURA_BOSQUE!$P36</f>
        <v>0.28433012745446168</v>
      </c>
      <c r="AB37" s="314">
        <f>+AB$4*COBERTURA_BOSQUE!$P36</f>
        <v>0.28433012745446168</v>
      </c>
    </row>
    <row r="38" spans="1:28" x14ac:dyDescent="0.3">
      <c r="A38" s="161" t="s">
        <v>16</v>
      </c>
      <c r="B38" s="162" t="s">
        <v>5</v>
      </c>
      <c r="C38" s="163">
        <f>+C$4*COBERTURA_BOSQUE!C37</f>
        <v>8.4408117708796411</v>
      </c>
      <c r="D38" s="163">
        <f>+D$4*COBERTURA_BOSQUE!D37</f>
        <v>8.1710860900234525</v>
      </c>
      <c r="E38" s="163">
        <f>+E$4*COBERTURA_BOSQUE!E37</f>
        <v>7.9204700820844112</v>
      </c>
      <c r="F38" s="163">
        <f>+F$4*COBERTURA_BOSQUE!F37</f>
        <v>7.9672603196295197</v>
      </c>
      <c r="G38" s="163">
        <f>+G$4*COBERTURA_BOSQUE!G37</f>
        <v>8.0119652731157291</v>
      </c>
      <c r="H38" s="163">
        <f>+H$4*COBERTURA_BOSQUE!H37</f>
        <v>8.3799183723873973</v>
      </c>
      <c r="I38" s="163">
        <f>+I$4*COBERTURA_BOSQUE!I37</f>
        <v>8.7394579237320897</v>
      </c>
      <c r="J38" s="163">
        <f>+J$4*COBERTURA_BOSQUE!J37</f>
        <v>8.6015448433339277</v>
      </c>
      <c r="K38" s="163">
        <f>+K$4*COBERTURA_BOSQUE!K37</f>
        <v>8.4668296562664924</v>
      </c>
      <c r="L38" s="163">
        <f>+L$4*COBERTURA_BOSQUE!L37</f>
        <v>0.20534447231023584</v>
      </c>
      <c r="M38" s="163">
        <f>+M$4*COBERTURA_BOSQUE!M37</f>
        <v>0.20534447231023584</v>
      </c>
      <c r="N38" s="163">
        <f>+N$4*COBERTURA_BOSQUE!N37</f>
        <v>2.5651805290077894</v>
      </c>
      <c r="O38" s="163">
        <f>+O$4*COBERTURA_BOSQUE!$P37</f>
        <v>2.5651805290077894</v>
      </c>
      <c r="P38" s="313">
        <f>+P$4*COBERTURA_BOSQUE!$P37</f>
        <v>2.5651805290077894</v>
      </c>
      <c r="Q38" s="313">
        <f>+Q$4*COBERTURA_BOSQUE!$P37</f>
        <v>2.5651805290077894</v>
      </c>
      <c r="R38" s="313">
        <f>+R$4*COBERTURA_BOSQUE!$P37</f>
        <v>2.5651805290077894</v>
      </c>
      <c r="S38" s="313">
        <f>+S$4*COBERTURA_BOSQUE!$P37</f>
        <v>2.5651805290077894</v>
      </c>
      <c r="T38" s="313">
        <f>+T$4*COBERTURA_BOSQUE!$P37</f>
        <v>2.5651805290077894</v>
      </c>
      <c r="U38" s="313">
        <f>+U$4*COBERTURA_BOSQUE!$P37</f>
        <v>2.5651805290077894</v>
      </c>
      <c r="V38" s="313">
        <f>+V$4*COBERTURA_BOSQUE!$P37</f>
        <v>2.5651805290077894</v>
      </c>
      <c r="W38" s="313">
        <f>+W$4*COBERTURA_BOSQUE!$P37</f>
        <v>2.5651805290077894</v>
      </c>
      <c r="X38" s="313">
        <f>+X$4*COBERTURA_BOSQUE!$P37</f>
        <v>2.5651805290077894</v>
      </c>
      <c r="Y38" s="313">
        <f>+Y$4*COBERTURA_BOSQUE!$P37</f>
        <v>2.5651805290077894</v>
      </c>
      <c r="Z38" s="313">
        <f>+Z$4*COBERTURA_BOSQUE!$P37</f>
        <v>2.5651805290077894</v>
      </c>
      <c r="AA38" s="313">
        <f>+AA$4*COBERTURA_BOSQUE!$P37</f>
        <v>2.5651805290077894</v>
      </c>
      <c r="AB38" s="314">
        <f>+AB$4*COBERTURA_BOSQUE!$P37</f>
        <v>2.5651805290077894</v>
      </c>
    </row>
    <row r="39" spans="1:28" x14ac:dyDescent="0.3">
      <c r="A39" s="161" t="s">
        <v>16</v>
      </c>
      <c r="B39" s="162" t="s">
        <v>6</v>
      </c>
      <c r="C39" s="163">
        <f>+C$4*COBERTURA_BOSQUE!C38</f>
        <v>3.4311355520218956</v>
      </c>
      <c r="D39" s="163">
        <f>+D$4*COBERTURA_BOSQUE!D38</f>
        <v>3.3122317314211021</v>
      </c>
      <c r="E39" s="163">
        <f>+E$4*COBERTURA_BOSQUE!E38</f>
        <v>3.2017520738924627</v>
      </c>
      <c r="F39" s="163">
        <f>+F$4*COBERTURA_BOSQUE!F38</f>
        <v>3.2501525365014592</v>
      </c>
      <c r="G39" s="163">
        <f>+G$4*COBERTURA_BOSQUE!G38</f>
        <v>3.2963959527175097</v>
      </c>
      <c r="H39" s="163">
        <f>+H$4*COBERTURA_BOSQUE!H38</f>
        <v>3.4414296418848087</v>
      </c>
      <c r="I39" s="163">
        <f>+I$4*COBERTURA_BOSQUE!I38</f>
        <v>3.5824665915028704</v>
      </c>
      <c r="J39" s="163">
        <f>+J$4*COBERTURA_BOSQUE!J38</f>
        <v>3.5540832783946938</v>
      </c>
      <c r="K39" s="163">
        <f>+K$4*COBERTURA_BOSQUE!K38</f>
        <v>3.5256533314952128</v>
      </c>
      <c r="L39" s="163">
        <f>+L$4*COBERTURA_BOSQUE!L38</f>
        <v>8.5507025923083305E-2</v>
      </c>
      <c r="M39" s="163">
        <f>+M$4*COBERTURA_BOSQUE!M38</f>
        <v>8.5507025923083305E-2</v>
      </c>
      <c r="N39" s="163">
        <f>+N$4*COBERTURA_BOSQUE!N38</f>
        <v>1.0508297761425194</v>
      </c>
      <c r="O39" s="163">
        <f>+O$4*COBERTURA_BOSQUE!$P38</f>
        <v>1.0508297761425194</v>
      </c>
      <c r="P39" s="313">
        <f>+P$4*COBERTURA_BOSQUE!$P38</f>
        <v>1.0508297761425194</v>
      </c>
      <c r="Q39" s="313">
        <f>+Q$4*COBERTURA_BOSQUE!$P38</f>
        <v>1.0508297761425194</v>
      </c>
      <c r="R39" s="313">
        <f>+R$4*COBERTURA_BOSQUE!$P38</f>
        <v>1.0508297761425194</v>
      </c>
      <c r="S39" s="313">
        <f>+S$4*COBERTURA_BOSQUE!$P38</f>
        <v>1.0508297761425194</v>
      </c>
      <c r="T39" s="313">
        <f>+T$4*COBERTURA_BOSQUE!$P38</f>
        <v>1.0508297761425194</v>
      </c>
      <c r="U39" s="313">
        <f>+U$4*COBERTURA_BOSQUE!$P38</f>
        <v>1.0508297761425194</v>
      </c>
      <c r="V39" s="313">
        <f>+V$4*COBERTURA_BOSQUE!$P38</f>
        <v>1.0508297761425194</v>
      </c>
      <c r="W39" s="313">
        <f>+W$4*COBERTURA_BOSQUE!$P38</f>
        <v>1.0508297761425194</v>
      </c>
      <c r="X39" s="313">
        <f>+X$4*COBERTURA_BOSQUE!$P38</f>
        <v>1.0508297761425194</v>
      </c>
      <c r="Y39" s="313">
        <f>+Y$4*COBERTURA_BOSQUE!$P38</f>
        <v>1.0508297761425194</v>
      </c>
      <c r="Z39" s="313">
        <f>+Z$4*COBERTURA_BOSQUE!$P38</f>
        <v>1.0508297761425194</v>
      </c>
      <c r="AA39" s="313">
        <f>+AA$4*COBERTURA_BOSQUE!$P38</f>
        <v>1.0508297761425194</v>
      </c>
      <c r="AB39" s="314">
        <f>+AB$4*COBERTURA_BOSQUE!$P38</f>
        <v>1.0508297761425194</v>
      </c>
    </row>
    <row r="40" spans="1:28" ht="28.8" x14ac:dyDescent="0.3">
      <c r="A40" s="161" t="s">
        <v>16</v>
      </c>
      <c r="B40" s="162" t="s">
        <v>7</v>
      </c>
      <c r="C40" s="163">
        <f>+C$4*COBERTURA_BOSQUE!C39</f>
        <v>2.3629342082354099</v>
      </c>
      <c r="D40" s="163">
        <f>+D$4*COBERTURA_BOSQUE!D39</f>
        <v>2.294412610429609</v>
      </c>
      <c r="E40" s="163">
        <f>+E$4*COBERTURA_BOSQUE!E39</f>
        <v>2.2307456683528168</v>
      </c>
      <c r="F40" s="163">
        <f>+F$4*COBERTURA_BOSQUE!F39</f>
        <v>2.2171117193176784</v>
      </c>
      <c r="G40" s="163">
        <f>+G$4*COBERTURA_BOSQUE!G39</f>
        <v>2.2040853896936463</v>
      </c>
      <c r="H40" s="163">
        <f>+H$4*COBERTURA_BOSQUE!H39</f>
        <v>2.3106804508112053</v>
      </c>
      <c r="I40" s="163">
        <f>+I$4*COBERTURA_BOSQUE!I39</f>
        <v>2.4154132672206656</v>
      </c>
      <c r="J40" s="163">
        <f>+J$4*COBERTURA_BOSQUE!J39</f>
        <v>2.471941893656743</v>
      </c>
      <c r="K40" s="163">
        <f>+K$4*COBERTURA_BOSQUE!K39</f>
        <v>2.5247901483079138</v>
      </c>
      <c r="L40" s="163">
        <f>+L$4*COBERTURA_BOSQUE!L39</f>
        <v>6.1233274052543724E-2</v>
      </c>
      <c r="M40" s="163">
        <f>+M$4*COBERTURA_BOSQUE!M39</f>
        <v>6.1233274052543724E-2</v>
      </c>
      <c r="N40" s="163">
        <f>+N$4*COBERTURA_BOSQUE!N39</f>
        <v>0.76517576929760289</v>
      </c>
      <c r="O40" s="163">
        <f>+O$4*COBERTURA_BOSQUE!$P39</f>
        <v>0.76517576929760289</v>
      </c>
      <c r="P40" s="313">
        <f>+P$4*COBERTURA_BOSQUE!$P39</f>
        <v>0.76517576929760289</v>
      </c>
      <c r="Q40" s="313">
        <f>+Q$4*COBERTURA_BOSQUE!$P39</f>
        <v>0.76517576929760289</v>
      </c>
      <c r="R40" s="313">
        <f>+R$4*COBERTURA_BOSQUE!$P39</f>
        <v>0.76517576929760289</v>
      </c>
      <c r="S40" s="313">
        <f>+S$4*COBERTURA_BOSQUE!$P39</f>
        <v>0.76517576929760289</v>
      </c>
      <c r="T40" s="313">
        <f>+T$4*COBERTURA_BOSQUE!$P39</f>
        <v>0.76517576929760289</v>
      </c>
      <c r="U40" s="313">
        <f>+U$4*COBERTURA_BOSQUE!$P39</f>
        <v>0.76517576929760289</v>
      </c>
      <c r="V40" s="313">
        <f>+V$4*COBERTURA_BOSQUE!$P39</f>
        <v>0.76517576929760289</v>
      </c>
      <c r="W40" s="313">
        <f>+W$4*COBERTURA_BOSQUE!$P39</f>
        <v>0.76517576929760289</v>
      </c>
      <c r="X40" s="313">
        <f>+X$4*COBERTURA_BOSQUE!$P39</f>
        <v>0.76517576929760289</v>
      </c>
      <c r="Y40" s="313">
        <f>+Y$4*COBERTURA_BOSQUE!$P39</f>
        <v>0.76517576929760289</v>
      </c>
      <c r="Z40" s="313">
        <f>+Z$4*COBERTURA_BOSQUE!$P39</f>
        <v>0.76517576929760289</v>
      </c>
      <c r="AA40" s="313">
        <f>+AA$4*COBERTURA_BOSQUE!$P39</f>
        <v>0.76517576929760289</v>
      </c>
      <c r="AB40" s="314">
        <f>+AB$4*COBERTURA_BOSQUE!$P39</f>
        <v>0.76517576929760289</v>
      </c>
    </row>
    <row r="41" spans="1:28" ht="28.8" x14ac:dyDescent="0.3">
      <c r="A41" s="161" t="s">
        <v>16</v>
      </c>
      <c r="B41" s="162" t="s">
        <v>8</v>
      </c>
      <c r="C41" s="163">
        <f>+C$4*COBERTURA_BOSQUE!C40</f>
        <v>17.290764342657795</v>
      </c>
      <c r="D41" s="163">
        <f>+D$4*COBERTURA_BOSQUE!D40</f>
        <v>17.885212164051957</v>
      </c>
      <c r="E41" s="163">
        <f>+E$4*COBERTURA_BOSQUE!E40</f>
        <v>18.437544220283915</v>
      </c>
      <c r="F41" s="163">
        <f>+F$4*COBERTURA_BOSQUE!F40</f>
        <v>18.402385948193896</v>
      </c>
      <c r="G41" s="163">
        <f>+G$4*COBERTURA_BOSQUE!G40</f>
        <v>18.368794562449697</v>
      </c>
      <c r="H41" s="163">
        <f>+H$4*COBERTURA_BOSQUE!H40</f>
        <v>19.41662191045523</v>
      </c>
      <c r="I41" s="163">
        <f>+I$4*COBERTURA_BOSQUE!I40</f>
        <v>20.462357625431668</v>
      </c>
      <c r="J41" s="163">
        <f>+J$4*COBERTURA_BOSQUE!J40</f>
        <v>20.412035158576359</v>
      </c>
      <c r="K41" s="163">
        <f>+K$4*COBERTURA_BOSQUE!K40</f>
        <v>20.35605495413812</v>
      </c>
      <c r="L41" s="163">
        <f>+L$4*COBERTURA_BOSQUE!L40</f>
        <v>0.49369168066136054</v>
      </c>
      <c r="M41" s="163">
        <f>+M$4*COBERTURA_BOSQUE!M40</f>
        <v>0.49369168066136054</v>
      </c>
      <c r="N41" s="163">
        <f>+N$4*COBERTURA_BOSQUE!N40</f>
        <v>5.9745554959542462</v>
      </c>
      <c r="O41" s="163">
        <f>+O$4*COBERTURA_BOSQUE!$P40</f>
        <v>5.9745554959542462</v>
      </c>
      <c r="P41" s="313">
        <f>+P$4*COBERTURA_BOSQUE!$P40</f>
        <v>5.9745554959542462</v>
      </c>
      <c r="Q41" s="313">
        <f>+Q$4*COBERTURA_BOSQUE!$P40</f>
        <v>5.9745554959542462</v>
      </c>
      <c r="R41" s="313">
        <f>+R$4*COBERTURA_BOSQUE!$P40</f>
        <v>5.9745554959542462</v>
      </c>
      <c r="S41" s="313">
        <f>+S$4*COBERTURA_BOSQUE!$P40</f>
        <v>5.9745554959542462</v>
      </c>
      <c r="T41" s="313">
        <f>+T$4*COBERTURA_BOSQUE!$P40</f>
        <v>5.9745554959542462</v>
      </c>
      <c r="U41" s="313">
        <f>+U$4*COBERTURA_BOSQUE!$P40</f>
        <v>5.9745554959542462</v>
      </c>
      <c r="V41" s="313">
        <f>+V$4*COBERTURA_BOSQUE!$P40</f>
        <v>5.9745554959542462</v>
      </c>
      <c r="W41" s="313">
        <f>+W$4*COBERTURA_BOSQUE!$P40</f>
        <v>5.9745554959542462</v>
      </c>
      <c r="X41" s="313">
        <f>+X$4*COBERTURA_BOSQUE!$P40</f>
        <v>5.9745554959542462</v>
      </c>
      <c r="Y41" s="313">
        <f>+Y$4*COBERTURA_BOSQUE!$P40</f>
        <v>5.9745554959542462</v>
      </c>
      <c r="Z41" s="313">
        <f>+Z$4*COBERTURA_BOSQUE!$P40</f>
        <v>5.9745554959542462</v>
      </c>
      <c r="AA41" s="313">
        <f>+AA$4*COBERTURA_BOSQUE!$P40</f>
        <v>5.9745554959542462</v>
      </c>
      <c r="AB41" s="314">
        <f>+AB$4*COBERTURA_BOSQUE!$P40</f>
        <v>5.9745554959542462</v>
      </c>
    </row>
    <row r="42" spans="1:28" ht="28.8" x14ac:dyDescent="0.3">
      <c r="A42" s="161" t="s">
        <v>16</v>
      </c>
      <c r="B42" s="162" t="s">
        <v>9</v>
      </c>
      <c r="C42" s="163">
        <f>+C$4*COBERTURA_BOSQUE!C41</f>
        <v>1.9156814731715703</v>
      </c>
      <c r="D42" s="163">
        <f>+D$4*COBERTURA_BOSQUE!D41</f>
        <v>1.8589817882961766</v>
      </c>
      <c r="E42" s="163">
        <f>+E$4*COBERTURA_BOSQUE!E41</f>
        <v>1.8062991937810136</v>
      </c>
      <c r="F42" s="163">
        <f>+F$4*COBERTURA_BOSQUE!F41</f>
        <v>1.7926582641705362</v>
      </c>
      <c r="G42" s="163">
        <f>+G$4*COBERTURA_BOSQUE!G41</f>
        <v>1.779625265072011</v>
      </c>
      <c r="H42" s="163">
        <f>+H$4*COBERTURA_BOSQUE!H41</f>
        <v>1.8252630029940733</v>
      </c>
      <c r="I42" s="163">
        <f>+I$4*COBERTURA_BOSQUE!I41</f>
        <v>1.8659926737641452</v>
      </c>
      <c r="J42" s="163">
        <f>+J$4*COBERTURA_BOSQUE!J41</f>
        <v>1.8156287748556543</v>
      </c>
      <c r="K42" s="163">
        <f>+K$4*COBERTURA_BOSQUE!K41</f>
        <v>1.766956408580532</v>
      </c>
      <c r="L42" s="163">
        <f>+L$4*COBERTURA_BOSQUE!L41</f>
        <v>4.2853670859743426E-2</v>
      </c>
      <c r="M42" s="163">
        <f>+M$4*COBERTURA_BOSQUE!M41</f>
        <v>4.2853670859743426E-2</v>
      </c>
      <c r="N42" s="163">
        <f>+N$4*COBERTURA_BOSQUE!N41</f>
        <v>0.49056361012685012</v>
      </c>
      <c r="O42" s="163">
        <f>+O$4*COBERTURA_BOSQUE!$P41</f>
        <v>0.49056361012685012</v>
      </c>
      <c r="P42" s="313">
        <f>+P$4*COBERTURA_BOSQUE!$P41</f>
        <v>0.49056361012685012</v>
      </c>
      <c r="Q42" s="313">
        <f>+Q$4*COBERTURA_BOSQUE!$P41</f>
        <v>0.49056361012685012</v>
      </c>
      <c r="R42" s="313">
        <f>+R$4*COBERTURA_BOSQUE!$P41</f>
        <v>0.49056361012685012</v>
      </c>
      <c r="S42" s="313">
        <f>+S$4*COBERTURA_BOSQUE!$P41</f>
        <v>0.49056361012685012</v>
      </c>
      <c r="T42" s="313">
        <f>+T$4*COBERTURA_BOSQUE!$P41</f>
        <v>0.49056361012685012</v>
      </c>
      <c r="U42" s="313">
        <f>+U$4*COBERTURA_BOSQUE!$P41</f>
        <v>0.49056361012685012</v>
      </c>
      <c r="V42" s="313">
        <f>+V$4*COBERTURA_BOSQUE!$P41</f>
        <v>0.49056361012685012</v>
      </c>
      <c r="W42" s="313">
        <f>+W$4*COBERTURA_BOSQUE!$P41</f>
        <v>0.49056361012685012</v>
      </c>
      <c r="X42" s="313">
        <f>+X$4*COBERTURA_BOSQUE!$P41</f>
        <v>0.49056361012685012</v>
      </c>
      <c r="Y42" s="313">
        <f>+Y$4*COBERTURA_BOSQUE!$P41</f>
        <v>0.49056361012685012</v>
      </c>
      <c r="Z42" s="313">
        <f>+Z$4*COBERTURA_BOSQUE!$P41</f>
        <v>0.49056361012685012</v>
      </c>
      <c r="AA42" s="313">
        <f>+AA$4*COBERTURA_BOSQUE!$P41</f>
        <v>0.49056361012685012</v>
      </c>
      <c r="AB42" s="314">
        <f>+AB$4*COBERTURA_BOSQUE!$P41</f>
        <v>0.49056361012685012</v>
      </c>
    </row>
    <row r="43" spans="1:28" x14ac:dyDescent="0.3">
      <c r="A43" s="161" t="s">
        <v>16</v>
      </c>
      <c r="B43" s="162" t="s">
        <v>10</v>
      </c>
      <c r="C43" s="163">
        <f>+C$4*COBERTURA_BOSQUE!C42</f>
        <v>0.47576357187432694</v>
      </c>
      <c r="D43" s="163">
        <f>+D$4*COBERTURA_BOSQUE!D42</f>
        <v>0.46072306090059695</v>
      </c>
      <c r="E43" s="163">
        <f>+E$4*COBERTURA_BOSQUE!E42</f>
        <v>0.44674814829444698</v>
      </c>
      <c r="F43" s="163">
        <f>+F$4*COBERTURA_BOSQUE!F42</f>
        <v>0.42610809123130472</v>
      </c>
      <c r="G43" s="163">
        <f>+G$4*COBERTURA_BOSQUE!G42</f>
        <v>0.40638789233145828</v>
      </c>
      <c r="H43" s="163">
        <f>+H$4*COBERTURA_BOSQUE!H42</f>
        <v>0.44649680088828853</v>
      </c>
      <c r="I43" s="163">
        <f>+I$4*COBERTURA_BOSQUE!I42</f>
        <v>0.48798480980913794</v>
      </c>
      <c r="J43" s="163">
        <f>+J$4*COBERTURA_BOSQUE!J42</f>
        <v>0.47394656731446844</v>
      </c>
      <c r="K43" s="163">
        <f>+K$4*COBERTURA_BOSQUE!K42</f>
        <v>0.46039251246768426</v>
      </c>
      <c r="L43" s="163">
        <f>+L$4*COBERTURA_BOSQUE!L42</f>
        <v>1.1165815466511695E-2</v>
      </c>
      <c r="M43" s="163">
        <f>+M$4*COBERTURA_BOSQUE!M42</f>
        <v>1.1165815466511695E-2</v>
      </c>
      <c r="N43" s="163">
        <f>+N$4*COBERTURA_BOSQUE!N42</f>
        <v>0.20008529702858094</v>
      </c>
      <c r="O43" s="163">
        <f>+O$4*COBERTURA_BOSQUE!$P42</f>
        <v>0.20008529702858094</v>
      </c>
      <c r="P43" s="313">
        <f>+P$4*COBERTURA_BOSQUE!$P42</f>
        <v>0.20008529702858094</v>
      </c>
      <c r="Q43" s="313">
        <f>+Q$4*COBERTURA_BOSQUE!$P42</f>
        <v>0.20008529702858094</v>
      </c>
      <c r="R43" s="313">
        <f>+R$4*COBERTURA_BOSQUE!$P42</f>
        <v>0.20008529702858094</v>
      </c>
      <c r="S43" s="313">
        <f>+S$4*COBERTURA_BOSQUE!$P42</f>
        <v>0.20008529702858094</v>
      </c>
      <c r="T43" s="313">
        <f>+T$4*COBERTURA_BOSQUE!$P42</f>
        <v>0.20008529702858094</v>
      </c>
      <c r="U43" s="313">
        <f>+U$4*COBERTURA_BOSQUE!$P42</f>
        <v>0.20008529702858094</v>
      </c>
      <c r="V43" s="313">
        <f>+V$4*COBERTURA_BOSQUE!$P42</f>
        <v>0.20008529702858094</v>
      </c>
      <c r="W43" s="313">
        <f>+W$4*COBERTURA_BOSQUE!$P42</f>
        <v>0.20008529702858094</v>
      </c>
      <c r="X43" s="313">
        <f>+X$4*COBERTURA_BOSQUE!$P42</f>
        <v>0.20008529702858094</v>
      </c>
      <c r="Y43" s="313">
        <f>+Y$4*COBERTURA_BOSQUE!$P42</f>
        <v>0.20008529702858094</v>
      </c>
      <c r="Z43" s="313">
        <f>+Z$4*COBERTURA_BOSQUE!$P42</f>
        <v>0.20008529702858094</v>
      </c>
      <c r="AA43" s="313">
        <f>+AA$4*COBERTURA_BOSQUE!$P42</f>
        <v>0.20008529702858094</v>
      </c>
      <c r="AB43" s="314">
        <f>+AB$4*COBERTURA_BOSQUE!$P42</f>
        <v>0.20008529702858094</v>
      </c>
    </row>
    <row r="44" spans="1:28" x14ac:dyDescent="0.3">
      <c r="A44" s="161" t="s">
        <v>16</v>
      </c>
      <c r="B44" s="162" t="s">
        <v>11</v>
      </c>
      <c r="C44" s="163">
        <f>+C$4*COBERTURA_BOSQUE!C43</f>
        <v>1.989561819587971</v>
      </c>
      <c r="D44" s="163">
        <f>+D$4*COBERTURA_BOSQUE!D43</f>
        <v>1.9228893644811416</v>
      </c>
      <c r="E44" s="163">
        <f>+E$4*COBERTURA_BOSQUE!E43</f>
        <v>1.8609405560275722</v>
      </c>
      <c r="F44" s="163">
        <f>+F$4*COBERTURA_BOSQUE!F43</f>
        <v>1.8489116702759791</v>
      </c>
      <c r="G44" s="163">
        <f>+G$4*COBERTURA_BOSQUE!G43</f>
        <v>1.8374188716446926</v>
      </c>
      <c r="H44" s="163">
        <f>+H$4*COBERTURA_BOSQUE!H43</f>
        <v>1.9655408759680946</v>
      </c>
      <c r="I44" s="163">
        <f>+I$4*COBERTURA_BOSQUE!I43</f>
        <v>2.0954164030061104</v>
      </c>
      <c r="J44" s="163">
        <f>+J$4*COBERTURA_BOSQUE!J43</f>
        <v>2.0589178065584179</v>
      </c>
      <c r="K44" s="163">
        <f>+K$4*COBERTURA_BOSQUE!K43</f>
        <v>2.0233514527687082</v>
      </c>
      <c r="L44" s="163">
        <f>+L$4*COBERTURA_BOSQUE!L43</f>
        <v>4.9071973009334184E-2</v>
      </c>
      <c r="M44" s="163">
        <f>+M$4*COBERTURA_BOSQUE!M43</f>
        <v>4.9071973009334184E-2</v>
      </c>
      <c r="N44" s="163">
        <f>+N$4*COBERTURA_BOSQUE!N43</f>
        <v>0.55657399082811398</v>
      </c>
      <c r="O44" s="163">
        <f>+O$4*COBERTURA_BOSQUE!$P43</f>
        <v>0.55657399082811398</v>
      </c>
      <c r="P44" s="313">
        <f>+P$4*COBERTURA_BOSQUE!$P43</f>
        <v>0.55657399082811398</v>
      </c>
      <c r="Q44" s="313">
        <f>+Q$4*COBERTURA_BOSQUE!$P43</f>
        <v>0.55657399082811398</v>
      </c>
      <c r="R44" s="313">
        <f>+R$4*COBERTURA_BOSQUE!$P43</f>
        <v>0.55657399082811398</v>
      </c>
      <c r="S44" s="313">
        <f>+S$4*COBERTURA_BOSQUE!$P43</f>
        <v>0.55657399082811398</v>
      </c>
      <c r="T44" s="313">
        <f>+T$4*COBERTURA_BOSQUE!$P43</f>
        <v>0.55657399082811398</v>
      </c>
      <c r="U44" s="313">
        <f>+U$4*COBERTURA_BOSQUE!$P43</f>
        <v>0.55657399082811398</v>
      </c>
      <c r="V44" s="313">
        <f>+V$4*COBERTURA_BOSQUE!$P43</f>
        <v>0.55657399082811398</v>
      </c>
      <c r="W44" s="313">
        <f>+W$4*COBERTURA_BOSQUE!$P43</f>
        <v>0.55657399082811398</v>
      </c>
      <c r="X44" s="313">
        <f>+X$4*COBERTURA_BOSQUE!$P43</f>
        <v>0.55657399082811398</v>
      </c>
      <c r="Y44" s="313">
        <f>+Y$4*COBERTURA_BOSQUE!$P43</f>
        <v>0.55657399082811398</v>
      </c>
      <c r="Z44" s="313">
        <f>+Z$4*COBERTURA_BOSQUE!$P43</f>
        <v>0.55657399082811398</v>
      </c>
      <c r="AA44" s="313">
        <f>+AA$4*COBERTURA_BOSQUE!$P43</f>
        <v>0.55657399082811398</v>
      </c>
      <c r="AB44" s="314">
        <f>+AB$4*COBERTURA_BOSQUE!$P43</f>
        <v>0.55657399082811398</v>
      </c>
    </row>
    <row r="45" spans="1:28" ht="15" thickBot="1" x14ac:dyDescent="0.35">
      <c r="A45" s="164" t="s">
        <v>16</v>
      </c>
      <c r="B45" s="165" t="s">
        <v>12</v>
      </c>
      <c r="C45" s="166">
        <f>+C$4*COBERTURA_BOSQUE!C44</f>
        <v>0.28021459245223207</v>
      </c>
      <c r="D45" s="166">
        <f>+D$4*COBERTURA_BOSQUE!D44</f>
        <v>0.26992364455456824</v>
      </c>
      <c r="E45" s="166">
        <f>+E$4*COBERTURA_BOSQUE!E44</f>
        <v>0.260361795375675</v>
      </c>
      <c r="F45" s="166">
        <f>+F$4*COBERTURA_BOSQUE!F44</f>
        <v>0.25442784086591225</v>
      </c>
      <c r="G45" s="166">
        <f>+G$4*COBERTURA_BOSQUE!G44</f>
        <v>0.24875834281960468</v>
      </c>
      <c r="H45" s="166">
        <f>+H$4*COBERTURA_BOSQUE!H44</f>
        <v>0.49292142850017462</v>
      </c>
      <c r="I45" s="166">
        <f>+I$4*COBERTURA_BOSQUE!I44</f>
        <v>0.75642160541504055</v>
      </c>
      <c r="J45" s="166">
        <f>+J$4*COBERTURA_BOSQUE!J44</f>
        <v>0.70401233389472384</v>
      </c>
      <c r="K45" s="166">
        <f>+K$4*COBERTURA_BOSQUE!K44</f>
        <v>0.65383161445184401</v>
      </c>
      <c r="L45" s="166">
        <f>+L$4*COBERTURA_BOSQUE!L44</f>
        <v>1.5857258655250502E-2</v>
      </c>
      <c r="M45" s="166">
        <f>+M$4*COBERTURA_BOSQUE!M44</f>
        <v>1.5857258655250502E-2</v>
      </c>
      <c r="N45" s="166">
        <f>+N$4*COBERTURA_BOSQUE!N44</f>
        <v>0.23489169770551746</v>
      </c>
      <c r="O45" s="166">
        <f>+O$4*COBERTURA_BOSQUE!$P44</f>
        <v>0.23489169770551746</v>
      </c>
      <c r="P45" s="315">
        <f>+P$4*COBERTURA_BOSQUE!$P44</f>
        <v>0.23489169770551746</v>
      </c>
      <c r="Q45" s="315">
        <f>+Q$4*COBERTURA_BOSQUE!$P44</f>
        <v>0.23489169770551746</v>
      </c>
      <c r="R45" s="315">
        <f>+R$4*COBERTURA_BOSQUE!$P44</f>
        <v>0.23489169770551746</v>
      </c>
      <c r="S45" s="315">
        <f>+S$4*COBERTURA_BOSQUE!$P44</f>
        <v>0.23489169770551746</v>
      </c>
      <c r="T45" s="315">
        <f>+T$4*COBERTURA_BOSQUE!$P44</f>
        <v>0.23489169770551746</v>
      </c>
      <c r="U45" s="315">
        <f>+U$4*COBERTURA_BOSQUE!$P44</f>
        <v>0.23489169770551746</v>
      </c>
      <c r="V45" s="315">
        <f>+V$4*COBERTURA_BOSQUE!$P44</f>
        <v>0.23489169770551746</v>
      </c>
      <c r="W45" s="315">
        <f>+W$4*COBERTURA_BOSQUE!$P44</f>
        <v>0.23489169770551746</v>
      </c>
      <c r="X45" s="315">
        <f>+X$4*COBERTURA_BOSQUE!$P44</f>
        <v>0.23489169770551746</v>
      </c>
      <c r="Y45" s="315">
        <f>+Y$4*COBERTURA_BOSQUE!$P44</f>
        <v>0.23489169770551746</v>
      </c>
      <c r="Z45" s="315">
        <f>+Z$4*COBERTURA_BOSQUE!$P44</f>
        <v>0.23489169770551746</v>
      </c>
      <c r="AA45" s="315">
        <f>+AA$4*COBERTURA_BOSQUE!$P44</f>
        <v>0.23489169770551746</v>
      </c>
      <c r="AB45" s="316">
        <f>+AB$4*COBERTURA_BOSQUE!$P44</f>
        <v>0.23489169770551746</v>
      </c>
    </row>
    <row r="46" spans="1:28" ht="15" thickBot="1" x14ac:dyDescent="0.35">
      <c r="A46" s="502" t="s">
        <v>31</v>
      </c>
      <c r="B46" s="503"/>
      <c r="C46" s="167">
        <f>+SUM(C36:C45)</f>
        <v>37.159999999999997</v>
      </c>
      <c r="D46" s="167">
        <f t="shared" ref="D46" si="31">+SUM(D36:D45)</f>
        <v>37.159999999999997</v>
      </c>
      <c r="E46" s="167">
        <f t="shared" ref="E46" si="32">+SUM(E36:E45)</f>
        <v>37.159999999999982</v>
      </c>
      <c r="F46" s="167">
        <f t="shared" ref="F46" si="33">+SUM(F36:F45)</f>
        <v>37.160000000000011</v>
      </c>
      <c r="G46" s="167">
        <f t="shared" ref="G46" si="34">+SUM(G36:G45)</f>
        <v>37.159999999999997</v>
      </c>
      <c r="H46" s="167">
        <f t="shared" ref="H46" si="35">+SUM(H36:H45)</f>
        <v>39.33</v>
      </c>
      <c r="I46" s="167">
        <f t="shared" ref="I46" si="36">+SUM(I36:I45)</f>
        <v>41.5</v>
      </c>
      <c r="J46" s="167">
        <f t="shared" ref="J46" si="37">+SUM(J36:J45)</f>
        <v>41.160000000000004</v>
      </c>
      <c r="K46" s="167">
        <f t="shared" ref="K46" si="38">+SUM(K36:K45)</f>
        <v>40.820000000000007</v>
      </c>
      <c r="L46" s="167">
        <f t="shared" ref="L46" si="39">+SUM(L36:L45)</f>
        <v>0.9900000000000001</v>
      </c>
      <c r="M46" s="167">
        <f t="shared" ref="M46" si="40">+SUM(M36:M45)</f>
        <v>0.9900000000000001</v>
      </c>
      <c r="N46" s="167">
        <f t="shared" ref="N46" si="41">+SUM(N36:N45)</f>
        <v>12.149999999999999</v>
      </c>
      <c r="O46" s="167">
        <f t="shared" ref="O46:AA46" si="42">+SUM(O36:O45)</f>
        <v>12.149999999999999</v>
      </c>
      <c r="P46" s="317">
        <f t="shared" si="42"/>
        <v>12.149999999999999</v>
      </c>
      <c r="Q46" s="317">
        <f t="shared" si="42"/>
        <v>12.149999999999999</v>
      </c>
      <c r="R46" s="317">
        <f t="shared" si="42"/>
        <v>12.149999999999999</v>
      </c>
      <c r="S46" s="317">
        <f t="shared" si="42"/>
        <v>12.149999999999999</v>
      </c>
      <c r="T46" s="317">
        <f t="shared" si="42"/>
        <v>12.149999999999999</v>
      </c>
      <c r="U46" s="317">
        <f t="shared" si="42"/>
        <v>12.149999999999999</v>
      </c>
      <c r="V46" s="317">
        <f t="shared" si="42"/>
        <v>12.149999999999999</v>
      </c>
      <c r="W46" s="317">
        <f t="shared" si="42"/>
        <v>12.149999999999999</v>
      </c>
      <c r="X46" s="317">
        <f t="shared" si="42"/>
        <v>12.149999999999999</v>
      </c>
      <c r="Y46" s="317">
        <f t="shared" si="42"/>
        <v>12.149999999999999</v>
      </c>
      <c r="Z46" s="317">
        <f t="shared" si="42"/>
        <v>12.149999999999999</v>
      </c>
      <c r="AA46" s="317">
        <f t="shared" si="42"/>
        <v>12.149999999999999</v>
      </c>
      <c r="AB46" s="318">
        <f t="shared" ref="AB46" si="43">+SUM(AB36:AB45)</f>
        <v>12.149999999999999</v>
      </c>
    </row>
    <row r="48" spans="1:28" ht="15" thickBot="1" x14ac:dyDescent="0.35">
      <c r="A48" s="168" t="s">
        <v>195</v>
      </c>
      <c r="B48" s="169"/>
      <c r="C48" s="170"/>
      <c r="D48" s="170"/>
      <c r="E48" s="170"/>
      <c r="F48" s="170"/>
      <c r="G48" s="170"/>
      <c r="H48" s="170"/>
      <c r="I48" s="170"/>
      <c r="J48" s="170"/>
      <c r="K48" s="170"/>
      <c r="L48" s="170"/>
      <c r="M48" s="170"/>
      <c r="N48" s="170"/>
      <c r="O48" s="170"/>
      <c r="P48" s="170"/>
      <c r="Q48" s="170"/>
      <c r="R48" s="170"/>
      <c r="S48" s="170"/>
      <c r="T48" s="170"/>
      <c r="U48" s="170"/>
      <c r="V48" s="170"/>
      <c r="W48" s="170"/>
      <c r="X48" s="170"/>
      <c r="Y48" s="170"/>
      <c r="Z48" s="170"/>
      <c r="AA48" s="170"/>
      <c r="AB48" s="170"/>
    </row>
    <row r="49" spans="1:28" x14ac:dyDescent="0.3">
      <c r="A49" s="158" t="s">
        <v>14</v>
      </c>
      <c r="B49" s="159" t="s">
        <v>2</v>
      </c>
      <c r="C49" s="160">
        <f>+C$6*COBERTURA_BOSQUE!C35</f>
        <v>1.904743834766531E-2</v>
      </c>
      <c r="D49" s="160">
        <f>+D$6*COBERTURA_BOSQUE!D35</f>
        <v>1.9914469822546257E-2</v>
      </c>
      <c r="E49" s="160">
        <f>+E$6*COBERTURA_BOSQUE!E35</f>
        <v>2.0720073376136013E-2</v>
      </c>
      <c r="F49" s="160">
        <f>+F$6*COBERTURA_BOSQUE!F35</f>
        <v>2.0426452071063767E-2</v>
      </c>
      <c r="G49" s="160">
        <f>+G$6*COBERTURA_BOSQUE!G35</f>
        <v>2.0145916483417681E-2</v>
      </c>
      <c r="H49" s="160">
        <f>+H$6*COBERTURA_BOSQUE!H35</f>
        <v>3.9279924570054053E-2</v>
      </c>
      <c r="I49" s="160">
        <f>+I$6*COBERTURA_BOSQUE!I35</f>
        <v>5.8052555804991045E-2</v>
      </c>
      <c r="J49" s="160">
        <f>+J$6*COBERTURA_BOSQUE!J35</f>
        <v>0.15562004123414938</v>
      </c>
      <c r="K49" s="160">
        <f>+K$6*COBERTURA_BOSQUE!K35</f>
        <v>0.24981641940701191</v>
      </c>
      <c r="L49" s="160">
        <f>+L$6*COBERTURA_BOSQUE!L35</f>
        <v>5.7025697142952672E-3</v>
      </c>
      <c r="M49" s="160">
        <f>+M$6*COBERTURA_BOSQUE!M35</f>
        <v>5.7025697142952672E-3</v>
      </c>
      <c r="N49" s="160">
        <f>+N$6*COBERTURA_BOSQUE!N35</f>
        <v>8.7470100709423473E-2</v>
      </c>
      <c r="O49" s="160">
        <f>+O$6*COBERTURA_BOSQUE!$P35</f>
        <v>8.7470100709423473E-2</v>
      </c>
      <c r="P49" s="311">
        <f>+P$6*COBERTURA_BOSQUE!$P35</f>
        <v>8.7470100709423473E-2</v>
      </c>
      <c r="Q49" s="311">
        <f>+Q$6*COBERTURA_BOSQUE!$P35</f>
        <v>8.7470100709423473E-2</v>
      </c>
      <c r="R49" s="311">
        <f>+R$6*COBERTURA_BOSQUE!$P35</f>
        <v>8.7470100709423473E-2</v>
      </c>
      <c r="S49" s="311">
        <f>+S$6*COBERTURA_BOSQUE!$P35</f>
        <v>8.7470100709423473E-2</v>
      </c>
      <c r="T49" s="311">
        <f>+T$6*COBERTURA_BOSQUE!$P35</f>
        <v>8.7470100709423473E-2</v>
      </c>
      <c r="U49" s="311">
        <f>+U$6*COBERTURA_BOSQUE!$P35</f>
        <v>8.7470100709423473E-2</v>
      </c>
      <c r="V49" s="311">
        <f>+V$6*COBERTURA_BOSQUE!$P35</f>
        <v>8.7470100709423473E-2</v>
      </c>
      <c r="W49" s="311">
        <f>+W$6*COBERTURA_BOSQUE!$P35</f>
        <v>8.7470100709423473E-2</v>
      </c>
      <c r="X49" s="311">
        <f>+X$6*COBERTURA_BOSQUE!$P35</f>
        <v>8.7470100709423473E-2</v>
      </c>
      <c r="Y49" s="311">
        <f>+Y$6*COBERTURA_BOSQUE!$P35</f>
        <v>8.7470100709423473E-2</v>
      </c>
      <c r="Z49" s="311">
        <f>+Z$6*COBERTURA_BOSQUE!$P35</f>
        <v>8.7470100709423473E-2</v>
      </c>
      <c r="AA49" s="311">
        <f>+AA$6*COBERTURA_BOSQUE!$P35</f>
        <v>8.7470100709423473E-2</v>
      </c>
      <c r="AB49" s="312">
        <f>+AB$6*COBERTURA_BOSQUE!$P35</f>
        <v>8.7470100709423473E-2</v>
      </c>
    </row>
    <row r="50" spans="1:28" x14ac:dyDescent="0.3">
      <c r="A50" s="161" t="s">
        <v>14</v>
      </c>
      <c r="B50" s="162" t="s">
        <v>4</v>
      </c>
      <c r="C50" s="163">
        <f>+C$6*COBERTURA_BOSQUE!C36</f>
        <v>0.18600177583971492</v>
      </c>
      <c r="D50" s="163">
        <f>+D$6*COBERTURA_BOSQUE!D36</f>
        <v>0.18753829239322672</v>
      </c>
      <c r="E50" s="163">
        <f>+E$6*COBERTURA_BOSQUE!E36</f>
        <v>0.18896594897954455</v>
      </c>
      <c r="F50" s="163">
        <f>+F$6*COBERTURA_BOSQUE!F36</f>
        <v>0.19049124612165405</v>
      </c>
      <c r="G50" s="163">
        <f>+G$6*COBERTURA_BOSQUE!G36</f>
        <v>0.1919485658825319</v>
      </c>
      <c r="H50" s="163">
        <f>+H$6*COBERTURA_BOSQUE!H36</f>
        <v>0.37269898874921503</v>
      </c>
      <c r="I50" s="163">
        <f>+I$6*COBERTURA_BOSQUE!I36</f>
        <v>0.548531764742481</v>
      </c>
      <c r="J50" s="163">
        <f>+J$6*COBERTURA_BOSQUE!J36</f>
        <v>1.4725479798059138</v>
      </c>
      <c r="K50" s="163">
        <f>+K$6*COBERTURA_BOSQUE!K36</f>
        <v>2.367277244369911</v>
      </c>
      <c r="L50" s="163">
        <f>+L$6*COBERTURA_BOSQUE!L36</f>
        <v>5.4037935341191994E-2</v>
      </c>
      <c r="M50" s="163">
        <f>+M$6*COBERTURA_BOSQUE!M36</f>
        <v>5.4037935341191994E-2</v>
      </c>
      <c r="N50" s="163">
        <f>+N$6*COBERTURA_BOSQUE!N36</f>
        <v>0.8941772979452659</v>
      </c>
      <c r="O50" s="163">
        <f>+O$6*COBERTURA_BOSQUE!$P36</f>
        <v>0.8941772979452659</v>
      </c>
      <c r="P50" s="313">
        <f>+P$6*COBERTURA_BOSQUE!$P36</f>
        <v>0.8941772979452659</v>
      </c>
      <c r="Q50" s="313">
        <f>+Q$6*COBERTURA_BOSQUE!$P36</f>
        <v>0.8941772979452659</v>
      </c>
      <c r="R50" s="313">
        <f>+R$6*COBERTURA_BOSQUE!$P36</f>
        <v>0.8941772979452659</v>
      </c>
      <c r="S50" s="313">
        <f>+S$6*COBERTURA_BOSQUE!$P36</f>
        <v>0.8941772979452659</v>
      </c>
      <c r="T50" s="313">
        <f>+T$6*COBERTURA_BOSQUE!$P36</f>
        <v>0.8941772979452659</v>
      </c>
      <c r="U50" s="313">
        <f>+U$6*COBERTURA_BOSQUE!$P36</f>
        <v>0.8941772979452659</v>
      </c>
      <c r="V50" s="313">
        <f>+V$6*COBERTURA_BOSQUE!$P36</f>
        <v>0.8941772979452659</v>
      </c>
      <c r="W50" s="313">
        <f>+W$6*COBERTURA_BOSQUE!$P36</f>
        <v>0.8941772979452659</v>
      </c>
      <c r="X50" s="313">
        <f>+X$6*COBERTURA_BOSQUE!$P36</f>
        <v>0.8941772979452659</v>
      </c>
      <c r="Y50" s="313">
        <f>+Y$6*COBERTURA_BOSQUE!$P36</f>
        <v>0.8941772979452659</v>
      </c>
      <c r="Z50" s="313">
        <f>+Z$6*COBERTURA_BOSQUE!$P36</f>
        <v>0.8941772979452659</v>
      </c>
      <c r="AA50" s="313">
        <f>+AA$6*COBERTURA_BOSQUE!$P36</f>
        <v>0.8941772979452659</v>
      </c>
      <c r="AB50" s="314">
        <f>+AB$6*COBERTURA_BOSQUE!$P36</f>
        <v>0.8941772979452659</v>
      </c>
    </row>
    <row r="51" spans="1:28" x14ac:dyDescent="0.3">
      <c r="A51" s="161" t="s">
        <v>14</v>
      </c>
      <c r="B51" s="162" t="s">
        <v>5</v>
      </c>
      <c r="C51" s="163">
        <f>+C$6*COBERTURA_BOSQUE!C37</f>
        <v>1.7785671734657589</v>
      </c>
      <c r="D51" s="163">
        <f>+D$6*COBERTURA_BOSQUE!D37</f>
        <v>1.7217331562132303</v>
      </c>
      <c r="E51" s="163">
        <f>+E$6*COBERTURA_BOSQUE!E37</f>
        <v>1.6689257465748371</v>
      </c>
      <c r="F51" s="163">
        <f>+F$6*COBERTURA_BOSQUE!F37</f>
        <v>1.6787849381781257</v>
      </c>
      <c r="G51" s="163">
        <f>+G$6*COBERTURA_BOSQUE!G37</f>
        <v>1.6882047386570549</v>
      </c>
      <c r="H51" s="163">
        <f>+H$6*COBERTURA_BOSQUE!H37</f>
        <v>3.2844251642601505</v>
      </c>
      <c r="I51" s="163">
        <f>+I$6*COBERTURA_BOSQUE!I37</f>
        <v>4.8435549938756166</v>
      </c>
      <c r="J51" s="163">
        <f>+J$6*COBERTURA_BOSQUE!J37</f>
        <v>13.114430190559299</v>
      </c>
      <c r="K51" s="163">
        <f>+K$6*COBERTURA_BOSQUE!K37</f>
        <v>21.262486723759874</v>
      </c>
      <c r="L51" s="163">
        <f>+L$6*COBERTURA_BOSQUE!L37</f>
        <v>0.48535966182419377</v>
      </c>
      <c r="M51" s="163">
        <f>+M$6*COBERTURA_BOSQUE!M37</f>
        <v>0.48535966182419377</v>
      </c>
      <c r="N51" s="163">
        <f>+N$6*COBERTURA_BOSQUE!N37</f>
        <v>8.0671232932829327</v>
      </c>
      <c r="O51" s="163">
        <f>+O$6*COBERTURA_BOSQUE!$P37</f>
        <v>8.0671232932829327</v>
      </c>
      <c r="P51" s="313">
        <f>+P$6*COBERTURA_BOSQUE!$P37</f>
        <v>8.0671232932829327</v>
      </c>
      <c r="Q51" s="313">
        <f>+Q$6*COBERTURA_BOSQUE!$P37</f>
        <v>8.0671232932829327</v>
      </c>
      <c r="R51" s="313">
        <f>+R$6*COBERTURA_BOSQUE!$P37</f>
        <v>8.0671232932829327</v>
      </c>
      <c r="S51" s="313">
        <f>+S$6*COBERTURA_BOSQUE!$P37</f>
        <v>8.0671232932829327</v>
      </c>
      <c r="T51" s="313">
        <f>+T$6*COBERTURA_BOSQUE!$P37</f>
        <v>8.0671232932829327</v>
      </c>
      <c r="U51" s="313">
        <f>+U$6*COBERTURA_BOSQUE!$P37</f>
        <v>8.0671232932829327</v>
      </c>
      <c r="V51" s="313">
        <f>+V$6*COBERTURA_BOSQUE!$P37</f>
        <v>8.0671232932829327</v>
      </c>
      <c r="W51" s="313">
        <f>+W$6*COBERTURA_BOSQUE!$P37</f>
        <v>8.0671232932829327</v>
      </c>
      <c r="X51" s="313">
        <f>+X$6*COBERTURA_BOSQUE!$P37</f>
        <v>8.0671232932829327</v>
      </c>
      <c r="Y51" s="313">
        <f>+Y$6*COBERTURA_BOSQUE!$P37</f>
        <v>8.0671232932829327</v>
      </c>
      <c r="Z51" s="313">
        <f>+Z$6*COBERTURA_BOSQUE!$P37</f>
        <v>8.0671232932829327</v>
      </c>
      <c r="AA51" s="313">
        <f>+AA$6*COBERTURA_BOSQUE!$P37</f>
        <v>8.0671232932829327</v>
      </c>
      <c r="AB51" s="314">
        <f>+AB$6*COBERTURA_BOSQUE!$P37</f>
        <v>8.0671232932829327</v>
      </c>
    </row>
    <row r="52" spans="1:28" x14ac:dyDescent="0.3">
      <c r="A52" s="161" t="s">
        <v>14</v>
      </c>
      <c r="B52" s="162" t="s">
        <v>6</v>
      </c>
      <c r="C52" s="163">
        <f>+C$6*COBERTURA_BOSQUE!C38</f>
        <v>0.72297608644594846</v>
      </c>
      <c r="D52" s="163">
        <f>+D$6*COBERTURA_BOSQUE!D38</f>
        <v>0.69792180993076514</v>
      </c>
      <c r="E52" s="163">
        <f>+E$6*COBERTURA_BOSQUE!E38</f>
        <v>0.67464259253439152</v>
      </c>
      <c r="F52" s="163">
        <f>+F$6*COBERTURA_BOSQUE!F38</f>
        <v>0.68484107537154004</v>
      </c>
      <c r="G52" s="163">
        <f>+G$6*COBERTURA_BOSQUE!G38</f>
        <v>0.69458504601125148</v>
      </c>
      <c r="H52" s="163">
        <f>+H$6*COBERTURA_BOSQUE!H38</f>
        <v>1.348833916340054</v>
      </c>
      <c r="I52" s="163">
        <f>+I$6*COBERTURA_BOSQUE!I38</f>
        <v>1.9854634121582175</v>
      </c>
      <c r="J52" s="163">
        <f>+J$6*COBERTURA_BOSQUE!J38</f>
        <v>5.4187681276885087</v>
      </c>
      <c r="K52" s="163">
        <f>+K$6*COBERTURA_BOSQUE!K38</f>
        <v>8.8538638660356277</v>
      </c>
      <c r="L52" s="163">
        <f>+L$6*COBERTURA_BOSQUE!L38</f>
        <v>0.20210751581819691</v>
      </c>
      <c r="M52" s="163">
        <f>+M$6*COBERTURA_BOSQUE!M38</f>
        <v>0.20210751581819691</v>
      </c>
      <c r="N52" s="163">
        <f>+N$6*COBERTURA_BOSQUE!N38</f>
        <v>3.3047082918852397</v>
      </c>
      <c r="O52" s="163">
        <f>+O$6*COBERTURA_BOSQUE!$P38</f>
        <v>3.3047082918852397</v>
      </c>
      <c r="P52" s="313">
        <f>+P$6*COBERTURA_BOSQUE!$P38</f>
        <v>3.3047082918852397</v>
      </c>
      <c r="Q52" s="313">
        <f>+Q$6*COBERTURA_BOSQUE!$P38</f>
        <v>3.3047082918852397</v>
      </c>
      <c r="R52" s="313">
        <f>+R$6*COBERTURA_BOSQUE!$P38</f>
        <v>3.3047082918852397</v>
      </c>
      <c r="S52" s="313">
        <f>+S$6*COBERTURA_BOSQUE!$P38</f>
        <v>3.3047082918852397</v>
      </c>
      <c r="T52" s="313">
        <f>+T$6*COBERTURA_BOSQUE!$P38</f>
        <v>3.3047082918852397</v>
      </c>
      <c r="U52" s="313">
        <f>+U$6*COBERTURA_BOSQUE!$P38</f>
        <v>3.3047082918852397</v>
      </c>
      <c r="V52" s="313">
        <f>+V$6*COBERTURA_BOSQUE!$P38</f>
        <v>3.3047082918852397</v>
      </c>
      <c r="W52" s="313">
        <f>+W$6*COBERTURA_BOSQUE!$P38</f>
        <v>3.3047082918852397</v>
      </c>
      <c r="X52" s="313">
        <f>+X$6*COBERTURA_BOSQUE!$P38</f>
        <v>3.3047082918852397</v>
      </c>
      <c r="Y52" s="313">
        <f>+Y$6*COBERTURA_BOSQUE!$P38</f>
        <v>3.3047082918852397</v>
      </c>
      <c r="Z52" s="313">
        <f>+Z$6*COBERTURA_BOSQUE!$P38</f>
        <v>3.3047082918852397</v>
      </c>
      <c r="AA52" s="313">
        <f>+AA$6*COBERTURA_BOSQUE!$P38</f>
        <v>3.3047082918852397</v>
      </c>
      <c r="AB52" s="314">
        <f>+AB$6*COBERTURA_BOSQUE!$P38</f>
        <v>3.3047082918852397</v>
      </c>
    </row>
    <row r="53" spans="1:28" ht="28.8" x14ac:dyDescent="0.3">
      <c r="A53" s="161" t="s">
        <v>14</v>
      </c>
      <c r="B53" s="162" t="s">
        <v>7</v>
      </c>
      <c r="C53" s="163">
        <f>+C$6*COBERTURA_BOSQUE!C39</f>
        <v>0.49789490986230517</v>
      </c>
      <c r="D53" s="163">
        <f>+D$6*COBERTURA_BOSQUE!D39</f>
        <v>0.48345669374768135</v>
      </c>
      <c r="E53" s="163">
        <f>+E$6*COBERTURA_BOSQUE!E39</f>
        <v>0.47004140428424535</v>
      </c>
      <c r="F53" s="163">
        <f>+F$6*COBERTURA_BOSQUE!F39</f>
        <v>0.46716858886591561</v>
      </c>
      <c r="G53" s="163">
        <f>+G$6*COBERTURA_BOSQUE!G39</f>
        <v>0.46442380520186366</v>
      </c>
      <c r="H53" s="163">
        <f>+H$6*COBERTURA_BOSQUE!H39</f>
        <v>0.9056480841407254</v>
      </c>
      <c r="I53" s="163">
        <f>+I$6*COBERTURA_BOSQUE!I39</f>
        <v>1.3386627746042241</v>
      </c>
      <c r="J53" s="163">
        <f>+J$6*COBERTURA_BOSQUE!J39</f>
        <v>3.7688705912640654</v>
      </c>
      <c r="K53" s="163">
        <f>+K$6*COBERTURA_BOSQUE!K39</f>
        <v>6.3404271950770275</v>
      </c>
      <c r="L53" s="163">
        <f>+L$6*COBERTURA_BOSQUE!L39</f>
        <v>0.14473319321510333</v>
      </c>
      <c r="M53" s="163">
        <f>+M$6*COBERTURA_BOSQUE!M39</f>
        <v>0.14473319321510333</v>
      </c>
      <c r="N53" s="163">
        <f>+N$6*COBERTURA_BOSQUE!N39</f>
        <v>2.4063675839392102</v>
      </c>
      <c r="O53" s="163">
        <f>+O$6*COBERTURA_BOSQUE!$P39</f>
        <v>2.4063675839392102</v>
      </c>
      <c r="P53" s="313">
        <f>+P$6*COBERTURA_BOSQUE!$P39</f>
        <v>2.4063675839392102</v>
      </c>
      <c r="Q53" s="313">
        <f>+Q$6*COBERTURA_BOSQUE!$P39</f>
        <v>2.4063675839392102</v>
      </c>
      <c r="R53" s="313">
        <f>+R$6*COBERTURA_BOSQUE!$P39</f>
        <v>2.4063675839392102</v>
      </c>
      <c r="S53" s="313">
        <f>+S$6*COBERTURA_BOSQUE!$P39</f>
        <v>2.4063675839392102</v>
      </c>
      <c r="T53" s="313">
        <f>+T$6*COBERTURA_BOSQUE!$P39</f>
        <v>2.4063675839392102</v>
      </c>
      <c r="U53" s="313">
        <f>+U$6*COBERTURA_BOSQUE!$P39</f>
        <v>2.4063675839392102</v>
      </c>
      <c r="V53" s="313">
        <f>+V$6*COBERTURA_BOSQUE!$P39</f>
        <v>2.4063675839392102</v>
      </c>
      <c r="W53" s="313">
        <f>+W$6*COBERTURA_BOSQUE!$P39</f>
        <v>2.4063675839392102</v>
      </c>
      <c r="X53" s="313">
        <f>+X$6*COBERTURA_BOSQUE!$P39</f>
        <v>2.4063675839392102</v>
      </c>
      <c r="Y53" s="313">
        <f>+Y$6*COBERTURA_BOSQUE!$P39</f>
        <v>2.4063675839392102</v>
      </c>
      <c r="Z53" s="313">
        <f>+Z$6*COBERTURA_BOSQUE!$P39</f>
        <v>2.4063675839392102</v>
      </c>
      <c r="AA53" s="313">
        <f>+AA$6*COBERTURA_BOSQUE!$P39</f>
        <v>2.4063675839392102</v>
      </c>
      <c r="AB53" s="314">
        <f>+AB$6*COBERTURA_BOSQUE!$P39</f>
        <v>2.4063675839392102</v>
      </c>
    </row>
    <row r="54" spans="1:28" ht="28.8" x14ac:dyDescent="0.3">
      <c r="A54" s="161" t="s">
        <v>14</v>
      </c>
      <c r="B54" s="162" t="s">
        <v>8</v>
      </c>
      <c r="C54" s="163">
        <f>+C$6*COBERTURA_BOSQUE!C40</f>
        <v>3.6433445856569038</v>
      </c>
      <c r="D54" s="163">
        <f>+D$6*COBERTURA_BOSQUE!D40</f>
        <v>3.7686009484533591</v>
      </c>
      <c r="E54" s="163">
        <f>+E$6*COBERTURA_BOSQUE!E40</f>
        <v>3.8849830797853357</v>
      </c>
      <c r="F54" s="163">
        <f>+F$6*COBERTURA_BOSQUE!F40</f>
        <v>3.8775748647566801</v>
      </c>
      <c r="G54" s="163">
        <f>+G$6*COBERTURA_BOSQUE!G40</f>
        <v>3.8704968090414726</v>
      </c>
      <c r="H54" s="163">
        <f>+H$6*COBERTURA_BOSQUE!H40</f>
        <v>7.6101506928468687</v>
      </c>
      <c r="I54" s="163">
        <f>+I$6*COBERTURA_BOSQUE!I40</f>
        <v>11.340583744215142</v>
      </c>
      <c r="J54" s="163">
        <f>+J$6*COBERTURA_BOSQUE!J40</f>
        <v>31.121410747727396</v>
      </c>
      <c r="K54" s="163">
        <f>+K$6*COBERTURA_BOSQUE!K40</f>
        <v>51.119529479389975</v>
      </c>
      <c r="L54" s="163">
        <f>+L$6*COBERTURA_BOSQUE!L40</f>
        <v>1.1669076088359431</v>
      </c>
      <c r="M54" s="163">
        <f>+M$6*COBERTURA_BOSQUE!M40</f>
        <v>1.1669076088359431</v>
      </c>
      <c r="N54" s="163">
        <f>+N$6*COBERTURA_BOSQUE!N40</f>
        <v>18.789116502091503</v>
      </c>
      <c r="O54" s="163">
        <f>+O$6*COBERTURA_BOSQUE!$P40</f>
        <v>18.789116502091503</v>
      </c>
      <c r="P54" s="313">
        <f>+P$6*COBERTURA_BOSQUE!$P40</f>
        <v>18.789116502091503</v>
      </c>
      <c r="Q54" s="313">
        <f>+Q$6*COBERTURA_BOSQUE!$P40</f>
        <v>18.789116502091503</v>
      </c>
      <c r="R54" s="313">
        <f>+R$6*COBERTURA_BOSQUE!$P40</f>
        <v>18.789116502091503</v>
      </c>
      <c r="S54" s="313">
        <f>+S$6*COBERTURA_BOSQUE!$P40</f>
        <v>18.789116502091503</v>
      </c>
      <c r="T54" s="313">
        <f>+T$6*COBERTURA_BOSQUE!$P40</f>
        <v>18.789116502091503</v>
      </c>
      <c r="U54" s="313">
        <f>+U$6*COBERTURA_BOSQUE!$P40</f>
        <v>18.789116502091503</v>
      </c>
      <c r="V54" s="313">
        <f>+V$6*COBERTURA_BOSQUE!$P40</f>
        <v>18.789116502091503</v>
      </c>
      <c r="W54" s="313">
        <f>+W$6*COBERTURA_BOSQUE!$P40</f>
        <v>18.789116502091503</v>
      </c>
      <c r="X54" s="313">
        <f>+X$6*COBERTURA_BOSQUE!$P40</f>
        <v>18.789116502091503</v>
      </c>
      <c r="Y54" s="313">
        <f>+Y$6*COBERTURA_BOSQUE!$P40</f>
        <v>18.789116502091503</v>
      </c>
      <c r="Z54" s="313">
        <f>+Z$6*COBERTURA_BOSQUE!$P40</f>
        <v>18.789116502091503</v>
      </c>
      <c r="AA54" s="313">
        <f>+AA$6*COBERTURA_BOSQUE!$P40</f>
        <v>18.789116502091503</v>
      </c>
      <c r="AB54" s="314">
        <f>+AB$6*COBERTURA_BOSQUE!$P40</f>
        <v>18.789116502091503</v>
      </c>
    </row>
    <row r="55" spans="1:28" ht="28.8" x14ac:dyDescent="0.3">
      <c r="A55" s="161" t="s">
        <v>14</v>
      </c>
      <c r="B55" s="162" t="s">
        <v>9</v>
      </c>
      <c r="C55" s="163">
        <f>+C$6*COBERTURA_BOSQUE!C41</f>
        <v>0.40365408866882124</v>
      </c>
      <c r="D55" s="163">
        <f>+D$6*COBERTURA_BOSQUE!D41</f>
        <v>0.3917068730451847</v>
      </c>
      <c r="E55" s="163">
        <f>+E$6*COBERTURA_BOSQUE!E41</f>
        <v>0.38060610030423409</v>
      </c>
      <c r="F55" s="163">
        <f>+F$6*COBERTURA_BOSQUE!F41</f>
        <v>0.37773181400579386</v>
      </c>
      <c r="G55" s="163">
        <f>+G$6*COBERTURA_BOSQUE!G41</f>
        <v>0.37498562501382798</v>
      </c>
      <c r="H55" s="163">
        <f>+H$6*COBERTURA_BOSQUE!H41</f>
        <v>0.71539357211171217</v>
      </c>
      <c r="I55" s="163">
        <f>+I$6*COBERTURA_BOSQUE!I41</f>
        <v>1.0341646143753094</v>
      </c>
      <c r="J55" s="163">
        <f>+J$6*COBERTURA_BOSQUE!J41</f>
        <v>2.7682163208470989</v>
      </c>
      <c r="K55" s="163">
        <f>+K$6*COBERTURA_BOSQUE!K41</f>
        <v>4.4373028281134337</v>
      </c>
      <c r="L55" s="163">
        <f>+L$6*COBERTURA_BOSQUE!L41</f>
        <v>0.10129049475939356</v>
      </c>
      <c r="M55" s="163">
        <f>+M$6*COBERTURA_BOSQUE!M41</f>
        <v>0.10129049475939356</v>
      </c>
      <c r="N55" s="163">
        <f>+N$6*COBERTURA_BOSQUE!N41</f>
        <v>1.5427518965388429</v>
      </c>
      <c r="O55" s="163">
        <f>+O$6*COBERTURA_BOSQUE!$P41</f>
        <v>1.5427518965388429</v>
      </c>
      <c r="P55" s="313">
        <f>+P$6*COBERTURA_BOSQUE!$P41</f>
        <v>1.5427518965388429</v>
      </c>
      <c r="Q55" s="313">
        <f>+Q$6*COBERTURA_BOSQUE!$P41</f>
        <v>1.5427518965388429</v>
      </c>
      <c r="R55" s="313">
        <f>+R$6*COBERTURA_BOSQUE!$P41</f>
        <v>1.5427518965388429</v>
      </c>
      <c r="S55" s="313">
        <f>+S$6*COBERTURA_BOSQUE!$P41</f>
        <v>1.5427518965388429</v>
      </c>
      <c r="T55" s="313">
        <f>+T$6*COBERTURA_BOSQUE!$P41</f>
        <v>1.5427518965388429</v>
      </c>
      <c r="U55" s="313">
        <f>+U$6*COBERTURA_BOSQUE!$P41</f>
        <v>1.5427518965388429</v>
      </c>
      <c r="V55" s="313">
        <f>+V$6*COBERTURA_BOSQUE!$P41</f>
        <v>1.5427518965388429</v>
      </c>
      <c r="W55" s="313">
        <f>+W$6*COBERTURA_BOSQUE!$P41</f>
        <v>1.5427518965388429</v>
      </c>
      <c r="X55" s="313">
        <f>+X$6*COBERTURA_BOSQUE!$P41</f>
        <v>1.5427518965388429</v>
      </c>
      <c r="Y55" s="313">
        <f>+Y$6*COBERTURA_BOSQUE!$P41</f>
        <v>1.5427518965388429</v>
      </c>
      <c r="Z55" s="313">
        <f>+Z$6*COBERTURA_BOSQUE!$P41</f>
        <v>1.5427518965388429</v>
      </c>
      <c r="AA55" s="313">
        <f>+AA$6*COBERTURA_BOSQUE!$P41</f>
        <v>1.5427518965388429</v>
      </c>
      <c r="AB55" s="314">
        <f>+AB$6*COBERTURA_BOSQUE!$P41</f>
        <v>1.5427518965388429</v>
      </c>
    </row>
    <row r="56" spans="1:28" x14ac:dyDescent="0.3">
      <c r="A56" s="161" t="s">
        <v>14</v>
      </c>
      <c r="B56" s="162" t="s">
        <v>10</v>
      </c>
      <c r="C56" s="163">
        <f>+C$6*COBERTURA_BOSQUE!C42</f>
        <v>0.10024835220064532</v>
      </c>
      <c r="D56" s="163">
        <f>+D$6*COBERTURA_BOSQUE!D42</f>
        <v>9.7079159495470246E-2</v>
      </c>
      <c r="E56" s="163">
        <f>+E$6*COBERTURA_BOSQUE!E42</f>
        <v>9.4134499492613571E-2</v>
      </c>
      <c r="F56" s="163">
        <f>+F$6*COBERTURA_BOSQUE!F42</f>
        <v>8.978542395966406E-2</v>
      </c>
      <c r="G56" s="163">
        <f>+G$6*COBERTURA_BOSQUE!G42</f>
        <v>8.5630172146268002E-2</v>
      </c>
      <c r="H56" s="163">
        <f>+H$6*COBERTURA_BOSQUE!H42</f>
        <v>0.17499995386964065</v>
      </c>
      <c r="I56" s="163">
        <f>+I$6*COBERTURA_BOSQUE!I42</f>
        <v>0.27044941266530537</v>
      </c>
      <c r="J56" s="163">
        <f>+J$6*COBERTURA_BOSQUE!J42</f>
        <v>0.72260730883915136</v>
      </c>
      <c r="K56" s="163">
        <f>+K$6*COBERTURA_BOSQUE!K42</f>
        <v>1.1561694378506202</v>
      </c>
      <c r="L56" s="163">
        <f>+L$6*COBERTURA_BOSQUE!L42</f>
        <v>2.6391927466300369E-2</v>
      </c>
      <c r="M56" s="163">
        <f>+M$6*COBERTURA_BOSQUE!M42</f>
        <v>2.6391927466300369E-2</v>
      </c>
      <c r="N56" s="163">
        <f>+N$6*COBERTURA_BOSQUE!N42</f>
        <v>0.62923944028494461</v>
      </c>
      <c r="O56" s="163">
        <f>+O$6*COBERTURA_BOSQUE!$P42</f>
        <v>0.62923944028494461</v>
      </c>
      <c r="P56" s="313">
        <f>+P$6*COBERTURA_BOSQUE!$P42</f>
        <v>0.62923944028494461</v>
      </c>
      <c r="Q56" s="313">
        <f>+Q$6*COBERTURA_BOSQUE!$P42</f>
        <v>0.62923944028494461</v>
      </c>
      <c r="R56" s="313">
        <f>+R$6*COBERTURA_BOSQUE!$P42</f>
        <v>0.62923944028494461</v>
      </c>
      <c r="S56" s="313">
        <f>+S$6*COBERTURA_BOSQUE!$P42</f>
        <v>0.62923944028494461</v>
      </c>
      <c r="T56" s="313">
        <f>+T$6*COBERTURA_BOSQUE!$P42</f>
        <v>0.62923944028494461</v>
      </c>
      <c r="U56" s="313">
        <f>+U$6*COBERTURA_BOSQUE!$P42</f>
        <v>0.62923944028494461</v>
      </c>
      <c r="V56" s="313">
        <f>+V$6*COBERTURA_BOSQUE!$P42</f>
        <v>0.62923944028494461</v>
      </c>
      <c r="W56" s="313">
        <f>+W$6*COBERTURA_BOSQUE!$P42</f>
        <v>0.62923944028494461</v>
      </c>
      <c r="X56" s="313">
        <f>+X$6*COBERTURA_BOSQUE!$P42</f>
        <v>0.62923944028494461</v>
      </c>
      <c r="Y56" s="313">
        <f>+Y$6*COBERTURA_BOSQUE!$P42</f>
        <v>0.62923944028494461</v>
      </c>
      <c r="Z56" s="313">
        <f>+Z$6*COBERTURA_BOSQUE!$P42</f>
        <v>0.62923944028494461</v>
      </c>
      <c r="AA56" s="313">
        <f>+AA$6*COBERTURA_BOSQUE!$P42</f>
        <v>0.62923944028494461</v>
      </c>
      <c r="AB56" s="314">
        <f>+AB$6*COBERTURA_BOSQUE!$P42</f>
        <v>0.62923944028494461</v>
      </c>
    </row>
    <row r="57" spans="1:28" x14ac:dyDescent="0.3">
      <c r="A57" s="161" t="s">
        <v>14</v>
      </c>
      <c r="B57" s="162" t="s">
        <v>11</v>
      </c>
      <c r="C57" s="163">
        <f>+C$6*COBERTURA_BOSQUE!C43</f>
        <v>0.41922144906818659</v>
      </c>
      <c r="D57" s="163">
        <f>+D$6*COBERTURA_BOSQUE!D43</f>
        <v>0.40517286662775404</v>
      </c>
      <c r="E57" s="163">
        <f>+E$6*COBERTURA_BOSQUE!E43</f>
        <v>0.39211960585833938</v>
      </c>
      <c r="F57" s="163">
        <f>+F$6*COBERTURA_BOSQUE!F43</f>
        <v>0.38958499403285574</v>
      </c>
      <c r="G57" s="163">
        <f>+G$6*COBERTURA_BOSQUE!G43</f>
        <v>0.38716334136108571</v>
      </c>
      <c r="H57" s="163">
        <f>+H$6*COBERTURA_BOSQUE!H43</f>
        <v>0.77037408093181226</v>
      </c>
      <c r="I57" s="163">
        <f>+I$6*COBERTURA_BOSQUE!I43</f>
        <v>1.1613151149190493</v>
      </c>
      <c r="J57" s="163">
        <f>+J$6*COBERTURA_BOSQUE!J43</f>
        <v>3.1391493428224866</v>
      </c>
      <c r="K57" s="163">
        <f>+K$6*COBERTURA_BOSQUE!K43</f>
        <v>5.081179750693785</v>
      </c>
      <c r="L57" s="163">
        <f>+L$6*COBERTURA_BOSQUE!L43</f>
        <v>0.11598829984024442</v>
      </c>
      <c r="M57" s="163">
        <f>+M$6*COBERTURA_BOSQUE!M43</f>
        <v>0.11598829984024442</v>
      </c>
      <c r="N57" s="163">
        <f>+N$6*COBERTURA_BOSQUE!N43</f>
        <v>1.7503450361763158</v>
      </c>
      <c r="O57" s="163">
        <f>+O$6*COBERTURA_BOSQUE!$P43</f>
        <v>1.7503450361763158</v>
      </c>
      <c r="P57" s="313">
        <f>+P$6*COBERTURA_BOSQUE!$P43</f>
        <v>1.7503450361763158</v>
      </c>
      <c r="Q57" s="313">
        <f>+Q$6*COBERTURA_BOSQUE!$P43</f>
        <v>1.7503450361763158</v>
      </c>
      <c r="R57" s="313">
        <f>+R$6*COBERTURA_BOSQUE!$P43</f>
        <v>1.7503450361763158</v>
      </c>
      <c r="S57" s="313">
        <f>+S$6*COBERTURA_BOSQUE!$P43</f>
        <v>1.7503450361763158</v>
      </c>
      <c r="T57" s="313">
        <f>+T$6*COBERTURA_BOSQUE!$P43</f>
        <v>1.7503450361763158</v>
      </c>
      <c r="U57" s="313">
        <f>+U$6*COBERTURA_BOSQUE!$P43</f>
        <v>1.7503450361763158</v>
      </c>
      <c r="V57" s="313">
        <f>+V$6*COBERTURA_BOSQUE!$P43</f>
        <v>1.7503450361763158</v>
      </c>
      <c r="W57" s="313">
        <f>+W$6*COBERTURA_BOSQUE!$P43</f>
        <v>1.7503450361763158</v>
      </c>
      <c r="X57" s="313">
        <f>+X$6*COBERTURA_BOSQUE!$P43</f>
        <v>1.7503450361763158</v>
      </c>
      <c r="Y57" s="313">
        <f>+Y$6*COBERTURA_BOSQUE!$P43</f>
        <v>1.7503450361763158</v>
      </c>
      <c r="Z57" s="313">
        <f>+Z$6*COBERTURA_BOSQUE!$P43</f>
        <v>1.7503450361763158</v>
      </c>
      <c r="AA57" s="313">
        <f>+AA$6*COBERTURA_BOSQUE!$P43</f>
        <v>1.7503450361763158</v>
      </c>
      <c r="AB57" s="314">
        <f>+AB$6*COBERTURA_BOSQUE!$P43</f>
        <v>1.7503450361763158</v>
      </c>
    </row>
    <row r="58" spans="1:28" ht="15" thickBot="1" x14ac:dyDescent="0.35">
      <c r="A58" s="164" t="s">
        <v>14</v>
      </c>
      <c r="B58" s="165" t="s">
        <v>12</v>
      </c>
      <c r="C58" s="166">
        <f>+C$6*COBERTURA_BOSQUE!C44</f>
        <v>5.9044140444052137E-2</v>
      </c>
      <c r="D58" s="166">
        <f>+D$6*COBERTURA_BOSQUE!D44</f>
        <v>5.6875730270782285E-2</v>
      </c>
      <c r="E58" s="166">
        <f>+E$6*COBERTURA_BOSQUE!E44</f>
        <v>5.4860948810321192E-2</v>
      </c>
      <c r="F58" s="166">
        <f>+F$6*COBERTURA_BOSQUE!F44</f>
        <v>5.3610602636708644E-2</v>
      </c>
      <c r="G58" s="166">
        <f>+G$6*COBERTURA_BOSQUE!G44</f>
        <v>5.2415980201224566E-2</v>
      </c>
      <c r="H58" s="166">
        <f>+H$6*COBERTURA_BOSQUE!H44</f>
        <v>0.19319562217976585</v>
      </c>
      <c r="I58" s="166">
        <f>+I$6*COBERTURA_BOSQUE!I44</f>
        <v>0.41922161263966101</v>
      </c>
      <c r="J58" s="166">
        <f>+J$6*COBERTURA_BOSQUE!J44</f>
        <v>1.0733793492119388</v>
      </c>
      <c r="K58" s="166">
        <f>+K$6*COBERTURA_BOSQUE!K44</f>
        <v>1.6419470553027569</v>
      </c>
      <c r="L58" s="166">
        <f>+L$6*COBERTURA_BOSQUE!L44</f>
        <v>3.7480793185137549E-2</v>
      </c>
      <c r="M58" s="166">
        <f>+M$6*COBERTURA_BOSQUE!M44</f>
        <v>3.7480793185137549E-2</v>
      </c>
      <c r="N58" s="166">
        <f>+N$6*COBERTURA_BOSQUE!N44</f>
        <v>0.73870055714632288</v>
      </c>
      <c r="O58" s="166">
        <f>+O$6*COBERTURA_BOSQUE!$P44</f>
        <v>0.73870055714632288</v>
      </c>
      <c r="P58" s="315">
        <f>+P$6*COBERTURA_BOSQUE!$P44</f>
        <v>0.73870055714632288</v>
      </c>
      <c r="Q58" s="315">
        <f>+Q$6*COBERTURA_BOSQUE!$P44</f>
        <v>0.73870055714632288</v>
      </c>
      <c r="R58" s="315">
        <f>+R$6*COBERTURA_BOSQUE!$P44</f>
        <v>0.73870055714632288</v>
      </c>
      <c r="S58" s="315">
        <f>+S$6*COBERTURA_BOSQUE!$P44</f>
        <v>0.73870055714632288</v>
      </c>
      <c r="T58" s="315">
        <f>+T$6*COBERTURA_BOSQUE!$P44</f>
        <v>0.73870055714632288</v>
      </c>
      <c r="U58" s="315">
        <f>+U$6*COBERTURA_BOSQUE!$P44</f>
        <v>0.73870055714632288</v>
      </c>
      <c r="V58" s="315">
        <f>+V$6*COBERTURA_BOSQUE!$P44</f>
        <v>0.73870055714632288</v>
      </c>
      <c r="W58" s="315">
        <f>+W$6*COBERTURA_BOSQUE!$P44</f>
        <v>0.73870055714632288</v>
      </c>
      <c r="X58" s="315">
        <f>+X$6*COBERTURA_BOSQUE!$P44</f>
        <v>0.73870055714632288</v>
      </c>
      <c r="Y58" s="315">
        <f>+Y$6*COBERTURA_BOSQUE!$P44</f>
        <v>0.73870055714632288</v>
      </c>
      <c r="Z58" s="315">
        <f>+Z$6*COBERTURA_BOSQUE!$P44</f>
        <v>0.73870055714632288</v>
      </c>
      <c r="AA58" s="315">
        <f>+AA$6*COBERTURA_BOSQUE!$P44</f>
        <v>0.73870055714632288</v>
      </c>
      <c r="AB58" s="316">
        <f>+AB$6*COBERTURA_BOSQUE!$P44</f>
        <v>0.73870055714632288</v>
      </c>
    </row>
    <row r="59" spans="1:28" ht="15" thickBot="1" x14ac:dyDescent="0.35">
      <c r="A59" s="502" t="s">
        <v>31</v>
      </c>
      <c r="B59" s="503"/>
      <c r="C59" s="167">
        <f>+SUM(C49:C58)</f>
        <v>7.830000000000001</v>
      </c>
      <c r="D59" s="167">
        <f t="shared" ref="D59" si="44">+SUM(D49:D58)</f>
        <v>7.83</v>
      </c>
      <c r="E59" s="167">
        <f t="shared" ref="E59" si="45">+SUM(E49:E58)</f>
        <v>7.83</v>
      </c>
      <c r="F59" s="167">
        <f t="shared" ref="F59" si="46">+SUM(F49:F58)</f>
        <v>7.830000000000001</v>
      </c>
      <c r="G59" s="167">
        <f t="shared" ref="G59" si="47">+SUM(G49:G58)</f>
        <v>7.8299999999999983</v>
      </c>
      <c r="H59" s="167">
        <f t="shared" ref="H59" si="48">+SUM(H49:H58)</f>
        <v>15.414999999999999</v>
      </c>
      <c r="I59" s="167">
        <f t="shared" ref="I59" si="49">+SUM(I49:I58)</f>
        <v>22.999999999999993</v>
      </c>
      <c r="J59" s="167">
        <f t="shared" ref="J59" si="50">+SUM(J49:J58)</f>
        <v>62.755000000000003</v>
      </c>
      <c r="K59" s="167">
        <f t="shared" ref="K59" si="51">+SUM(K49:K58)</f>
        <v>102.51000000000002</v>
      </c>
      <c r="L59" s="167">
        <f t="shared" ref="L59" si="52">+SUM(L49:L58)</f>
        <v>2.3400000000000003</v>
      </c>
      <c r="M59" s="167">
        <f t="shared" ref="M59" si="53">+SUM(M49:M58)</f>
        <v>2.3400000000000003</v>
      </c>
      <c r="N59" s="167">
        <f t="shared" ref="N59" si="54">+SUM(N49:N58)</f>
        <v>38.21</v>
      </c>
      <c r="O59" s="167">
        <f t="shared" ref="O59:AA59" si="55">+SUM(O49:O58)</f>
        <v>38.21</v>
      </c>
      <c r="P59" s="317">
        <f t="shared" si="55"/>
        <v>38.21</v>
      </c>
      <c r="Q59" s="317">
        <f t="shared" si="55"/>
        <v>38.21</v>
      </c>
      <c r="R59" s="317">
        <f t="shared" si="55"/>
        <v>38.21</v>
      </c>
      <c r="S59" s="317">
        <f t="shared" si="55"/>
        <v>38.21</v>
      </c>
      <c r="T59" s="317">
        <f t="shared" si="55"/>
        <v>38.21</v>
      </c>
      <c r="U59" s="317">
        <f t="shared" si="55"/>
        <v>38.21</v>
      </c>
      <c r="V59" s="317">
        <f t="shared" si="55"/>
        <v>38.21</v>
      </c>
      <c r="W59" s="317">
        <f t="shared" si="55"/>
        <v>38.21</v>
      </c>
      <c r="X59" s="317">
        <f t="shared" si="55"/>
        <v>38.21</v>
      </c>
      <c r="Y59" s="317">
        <f t="shared" si="55"/>
        <v>38.21</v>
      </c>
      <c r="Z59" s="317">
        <f t="shared" si="55"/>
        <v>38.21</v>
      </c>
      <c r="AA59" s="317">
        <f t="shared" si="55"/>
        <v>38.21</v>
      </c>
      <c r="AB59" s="318">
        <f t="shared" ref="AB59" si="56">+SUM(AB49:AB58)</f>
        <v>38.21</v>
      </c>
    </row>
  </sheetData>
  <mergeCells count="4">
    <mergeCell ref="A20:B20"/>
    <mergeCell ref="A33:B33"/>
    <mergeCell ref="A46:B46"/>
    <mergeCell ref="A59:B59"/>
  </mergeCells>
  <dataValidations count="1">
    <dataValidation type="list" allowBlank="1" showInputMessage="1" showErrorMessage="1" sqref="AD2:AD6" xr:uid="{3ED71EF9-DAA6-4437-B9F7-30653BB06FEC}">
      <formula1>"CONSTANTE, PROMEDIO"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22E7-3425-4D89-83CF-E50505F2180D}">
  <sheetPr>
    <tabColor theme="6"/>
  </sheetPr>
  <dimension ref="A1:AD88"/>
  <sheetViews>
    <sheetView zoomScale="115" zoomScaleNormal="115" zoomScaleSheetLayoutView="50" workbookViewId="0">
      <pane ySplit="1" topLeftCell="A70" activePane="bottomLeft" state="frozen"/>
      <selection pane="bottomLeft" activeCell="C79" sqref="C79"/>
    </sheetView>
  </sheetViews>
  <sheetFormatPr baseColWidth="10" defaultColWidth="11.44140625" defaultRowHeight="14.4" x14ac:dyDescent="0.3"/>
  <cols>
    <col min="2" max="2" width="30" customWidth="1"/>
    <col min="3" max="3" width="40.33203125" customWidth="1"/>
    <col min="4" max="4" width="20.109375" customWidth="1"/>
    <col min="5" max="7" width="12.44140625" customWidth="1"/>
    <col min="8" max="8" width="13" customWidth="1"/>
    <col min="9" max="10" width="13.33203125" customWidth="1"/>
    <col min="11" max="11" width="14.44140625" customWidth="1"/>
    <col min="12" max="12" width="12.6640625" customWidth="1"/>
    <col min="13" max="13" width="12.44140625" bestFit="1" customWidth="1"/>
    <col min="14" max="15" width="12" bestFit="1" customWidth="1"/>
    <col min="16" max="16" width="13" customWidth="1"/>
    <col min="17" max="17" width="14.21875" customWidth="1"/>
    <col min="18" max="18" width="12.44140625" bestFit="1" customWidth="1"/>
    <col min="19" max="19" width="12" bestFit="1" customWidth="1"/>
    <col min="20" max="22" width="12.44140625" bestFit="1" customWidth="1"/>
    <col min="24" max="24" width="12" bestFit="1" customWidth="1"/>
    <col min="25" max="25" width="12.44140625" bestFit="1" customWidth="1"/>
    <col min="26" max="27" width="12" bestFit="1" customWidth="1"/>
    <col min="28" max="29" width="12.44140625" bestFit="1" customWidth="1"/>
    <col min="30" max="30" width="15.33203125" bestFit="1" customWidth="1"/>
  </cols>
  <sheetData>
    <row r="1" spans="1:30" s="75" customFormat="1" ht="20.399999999999999" x14ac:dyDescent="0.3">
      <c r="A1"/>
      <c r="B1" s="117" t="s">
        <v>138</v>
      </c>
      <c r="C1" s="118" t="s">
        <v>137</v>
      </c>
      <c r="D1" s="119" t="s">
        <v>1</v>
      </c>
      <c r="E1" s="120">
        <v>2010</v>
      </c>
      <c r="F1" s="120">
        <v>2011</v>
      </c>
      <c r="G1" s="120">
        <v>2012</v>
      </c>
      <c r="H1" s="120">
        <v>2013</v>
      </c>
      <c r="I1" s="120">
        <v>2014</v>
      </c>
      <c r="J1" s="120">
        <v>2015</v>
      </c>
      <c r="K1" s="120">
        <v>2016</v>
      </c>
      <c r="L1" s="120">
        <v>2017</v>
      </c>
      <c r="M1" s="120">
        <v>2018</v>
      </c>
      <c r="N1" s="120">
        <v>2019</v>
      </c>
      <c r="O1" s="120">
        <v>2020</v>
      </c>
      <c r="P1" s="120">
        <v>2021</v>
      </c>
      <c r="Q1" s="120">
        <v>2022</v>
      </c>
      <c r="R1" s="120">
        <v>2023</v>
      </c>
      <c r="S1" s="120">
        <v>2024</v>
      </c>
      <c r="T1" s="120">
        <v>2025</v>
      </c>
      <c r="U1" s="120">
        <v>2026</v>
      </c>
      <c r="V1" s="120">
        <v>2027</v>
      </c>
      <c r="W1" s="120">
        <v>2028</v>
      </c>
      <c r="X1" s="120">
        <v>2029</v>
      </c>
      <c r="Y1" s="120">
        <v>2030</v>
      </c>
      <c r="Z1" s="120">
        <v>2031</v>
      </c>
      <c r="AA1" s="120">
        <v>2032</v>
      </c>
      <c r="AB1" s="120">
        <v>2033</v>
      </c>
      <c r="AC1" s="120">
        <v>2034</v>
      </c>
      <c r="AD1" s="120">
        <v>2035</v>
      </c>
    </row>
    <row r="2" spans="1:30" x14ac:dyDescent="0.3">
      <c r="B2" s="110" t="s">
        <v>3</v>
      </c>
      <c r="C2" s="113"/>
      <c r="D2" s="114"/>
      <c r="E2" s="115"/>
      <c r="F2" s="115"/>
      <c r="G2" s="115"/>
      <c r="H2" s="115"/>
      <c r="I2" s="115"/>
      <c r="J2" s="115"/>
      <c r="K2" s="115"/>
      <c r="L2" s="115"/>
      <c r="M2" s="115"/>
      <c r="N2" s="115"/>
      <c r="O2" s="115"/>
      <c r="P2" s="115"/>
      <c r="Q2" s="115"/>
      <c r="R2" s="115"/>
      <c r="S2" s="115"/>
      <c r="T2" s="115"/>
      <c r="U2" s="115"/>
      <c r="V2" s="115"/>
      <c r="W2" s="115"/>
      <c r="X2" s="115"/>
      <c r="Y2" s="115"/>
      <c r="Z2" s="115"/>
      <c r="AA2" s="115"/>
      <c r="AB2" s="115"/>
      <c r="AC2" s="115"/>
      <c r="AD2" s="115"/>
    </row>
    <row r="3" spans="1:30" ht="15" thickBot="1" x14ac:dyDescent="0.35">
      <c r="B3" s="116">
        <f>+SUM(Q4:Q13)/(SUM(Q4:Q13)+SUM(Q22:Q31)+SUM(Q39:Q48)+SUM(Q56:Q65)+SUM(Q74:Q83))</f>
        <v>0.89929395617090979</v>
      </c>
      <c r="C3" s="113"/>
      <c r="D3" s="114"/>
      <c r="E3" s="110"/>
      <c r="F3" s="110">
        <f>+SUM(F4:F13,F22:F31,F39:F48,F56:F65,F74:F83)</f>
        <v>101112.44</v>
      </c>
      <c r="G3" s="110">
        <f t="shared" ref="G3:P3" si="0">+SUM(G4:G13,G22:G31,G39:G48,G56:G65,G74:G83)</f>
        <v>101112.44</v>
      </c>
      <c r="H3" s="110">
        <f t="shared" si="0"/>
        <v>101112.44</v>
      </c>
      <c r="I3" s="110">
        <f t="shared" si="0"/>
        <v>101112.44</v>
      </c>
      <c r="J3" s="110">
        <f t="shared" si="0"/>
        <v>103530.9425</v>
      </c>
      <c r="K3" s="110">
        <f t="shared" si="0"/>
        <v>105949.44499999995</v>
      </c>
      <c r="L3" s="110">
        <f t="shared" si="0"/>
        <v>100894.39999999997</v>
      </c>
      <c r="M3" s="110">
        <f t="shared" si="0"/>
        <v>95839.35500000001</v>
      </c>
      <c r="N3" s="110">
        <f t="shared" si="0"/>
        <v>98027.744999999995</v>
      </c>
      <c r="O3" s="110">
        <f t="shared" si="0"/>
        <v>98027.744999999995</v>
      </c>
      <c r="P3" s="110">
        <f t="shared" si="0"/>
        <v>107333.28000000003</v>
      </c>
      <c r="Q3" s="110">
        <f>+SUM(Q4:Q13,Q22:Q31,Q39:Q48,Q56:Q65,Q74:Q83)</f>
        <v>107333.28000000003</v>
      </c>
      <c r="R3" s="110">
        <f>-COBERTURA_BOSQUE!P28</f>
        <v>91412.348358383402</v>
      </c>
      <c r="S3" s="110">
        <f>-COBERTURA_BOSQUE!Q28</f>
        <v>90722.836970321834</v>
      </c>
      <c r="T3" s="110">
        <f>-COBERTURA_BOSQUE!R28</f>
        <v>90038.527815170586</v>
      </c>
      <c r="U3" s="110">
        <f>-COBERTURA_BOSQUE!S28</f>
        <v>89359.381632674485</v>
      </c>
      <c r="V3" s="110">
        <f>-COBERTURA_BOSQUE!T28</f>
        <v>88685.359458938241</v>
      </c>
      <c r="W3" s="110">
        <f>-COBERTURA_BOSQUE!U28</f>
        <v>88016.508398070931</v>
      </c>
      <c r="X3" s="110">
        <f>-COBERTURA_BOSQUE!V28</f>
        <v>87352.53210381791</v>
      </c>
      <c r="Y3" s="110">
        <f>-COBERTURA_BOSQUE!W28</f>
        <v>86693.566664196551</v>
      </c>
      <c r="Z3" s="110">
        <f>-COBERTURA_BOSQUE!X28</f>
        <v>86039.825607985258</v>
      </c>
      <c r="AA3" s="110">
        <f>-COBERTURA_BOSQUE!Y28</f>
        <v>85390.84795258753</v>
      </c>
      <c r="AB3" s="110">
        <f>-COBERTURA_BOSQUE!Z28</f>
        <v>84746.766636811197</v>
      </c>
      <c r="AC3" s="110">
        <f>-COBERTURA_BOSQUE!AA28</f>
        <v>84107.544709475711</v>
      </c>
      <c r="AD3" s="110">
        <f>-COBERTURA_BOSQUE!AB28</f>
        <v>83473.22670432739</v>
      </c>
    </row>
    <row r="4" spans="1:30" x14ac:dyDescent="0.3">
      <c r="B4" s="123">
        <f>+Q4/SUM(Q$4:Q$13)</f>
        <v>2.4790940963284117E-2</v>
      </c>
      <c r="C4" s="124" t="s">
        <v>2</v>
      </c>
      <c r="D4" s="1" t="s">
        <v>3</v>
      </c>
      <c r="E4" s="2">
        <v>2921.6550000000002</v>
      </c>
      <c r="F4" s="2">
        <f>+(E4+G4)/2</f>
        <v>2921.6550000000002</v>
      </c>
      <c r="G4" s="2">
        <v>2921.6550000000002</v>
      </c>
      <c r="H4" s="2">
        <f>+(G4+I4)/2</f>
        <v>2921.6550000000002</v>
      </c>
      <c r="I4" s="2">
        <v>2921.6550000000002</v>
      </c>
      <c r="J4" s="2">
        <f>+(I4+K4)/2</f>
        <v>2044.4325000000001</v>
      </c>
      <c r="K4" s="2">
        <v>1167.21</v>
      </c>
      <c r="L4" s="2">
        <f>+(K4+M4)/2</f>
        <v>1052.55</v>
      </c>
      <c r="M4" s="2">
        <v>937.89</v>
      </c>
      <c r="N4" s="102">
        <f>1988.64+1394.28</f>
        <v>3382.92</v>
      </c>
      <c r="O4" s="102">
        <f>1988.64+1394.28</f>
        <v>3382.92</v>
      </c>
      <c r="P4" s="2">
        <f>865.755+1527.17</f>
        <v>2392.9250000000002</v>
      </c>
      <c r="Q4" s="35">
        <f>865.755+1527.17</f>
        <v>2392.9250000000002</v>
      </c>
      <c r="R4" s="305">
        <f t="shared" ref="R4:R13" si="1">$B$3*R$3*$B4</f>
        <v>2037.9782831148416</v>
      </c>
      <c r="S4" s="305">
        <f t="shared" ref="S4:AD4" si="2">$B$3*S$3*$B4</f>
        <v>2022.6060794676857</v>
      </c>
      <c r="T4" s="305">
        <f t="shared" si="2"/>
        <v>2007.3498561873544</v>
      </c>
      <c r="U4" s="305">
        <f t="shared" si="2"/>
        <v>1992.2087379922384</v>
      </c>
      <c r="V4" s="305">
        <f t="shared" si="2"/>
        <v>1977.1818562078765</v>
      </c>
      <c r="W4" s="305">
        <f t="shared" si="2"/>
        <v>1962.2702609894513</v>
      </c>
      <c r="X4" s="305">
        <f t="shared" si="2"/>
        <v>1947.4673454918029</v>
      </c>
      <c r="Y4" s="305">
        <f t="shared" si="2"/>
        <v>1932.7761437079209</v>
      </c>
      <c r="Z4" s="305">
        <f t="shared" si="2"/>
        <v>1918.2014161217107</v>
      </c>
      <c r="AA4" s="305">
        <f t="shared" si="2"/>
        <v>1903.732885428876</v>
      </c>
      <c r="AB4" s="305">
        <f t="shared" si="2"/>
        <v>1889.3735154128469</v>
      </c>
      <c r="AC4" s="305">
        <f t="shared" si="2"/>
        <v>1875.1224822713154</v>
      </c>
      <c r="AD4" s="323">
        <f t="shared" si="2"/>
        <v>1860.980778854914</v>
      </c>
    </row>
    <row r="5" spans="1:30" x14ac:dyDescent="0.3">
      <c r="B5" s="125">
        <f t="shared" ref="B5:B13" si="3">+Q5/SUM(Q$4:Q$13)</f>
        <v>0.14961434011812791</v>
      </c>
      <c r="C5" s="121" t="s">
        <v>4</v>
      </c>
      <c r="D5" s="3" t="s">
        <v>3</v>
      </c>
      <c r="E5" s="4">
        <v>14129.010000000007</v>
      </c>
      <c r="F5" s="4">
        <f t="shared" ref="F5:H18" si="4">+(E5+G5)/2</f>
        <v>14129.010000000007</v>
      </c>
      <c r="G5" s="4">
        <v>14129.010000000007</v>
      </c>
      <c r="H5" s="4">
        <f t="shared" si="4"/>
        <v>14129.010000000007</v>
      </c>
      <c r="I5" s="4">
        <v>14129.010000000007</v>
      </c>
      <c r="J5" s="4">
        <f t="shared" ref="J5:J13" si="5">+(I5+K5)/2</f>
        <v>13915.642500000002</v>
      </c>
      <c r="K5" s="4">
        <v>13702.274999999998</v>
      </c>
      <c r="L5" s="4">
        <f t="shared" ref="L5:L13" si="6">+(K5+M5)/2</f>
        <v>11872.0075</v>
      </c>
      <c r="M5" s="4">
        <v>10041.74</v>
      </c>
      <c r="N5" s="103">
        <f>7752.825+3440.39</f>
        <v>11193.215</v>
      </c>
      <c r="O5" s="103">
        <f>7752.825+3440.39</f>
        <v>11193.215</v>
      </c>
      <c r="P5" s="103">
        <f>9551.7+4889.7</f>
        <v>14441.400000000001</v>
      </c>
      <c r="Q5" s="104">
        <f>9551.7+4889.7</f>
        <v>14441.400000000001</v>
      </c>
      <c r="R5" s="306">
        <f t="shared" si="1"/>
        <v>12299.282082712443</v>
      </c>
      <c r="S5" s="306">
        <f t="shared" ref="S5:AD13" si="7">$B$3*S$3*$B5</f>
        <v>12206.510206556675</v>
      </c>
      <c r="T5" s="306">
        <f t="shared" si="7"/>
        <v>12114.438276646388</v>
      </c>
      <c r="U5" s="306">
        <f t="shared" si="7"/>
        <v>12023.061010621357</v>
      </c>
      <c r="V5" s="306">
        <f t="shared" si="7"/>
        <v>11932.37316599577</v>
      </c>
      <c r="W5" s="306">
        <f t="shared" si="7"/>
        <v>11842.381080498995</v>
      </c>
      <c r="X5" s="306">
        <f t="shared" si="7"/>
        <v>11753.044881550957</v>
      </c>
      <c r="Y5" s="306">
        <f t="shared" si="7"/>
        <v>11664.382879423119</v>
      </c>
      <c r="Z5" s="306">
        <f t="shared" si="7"/>
        <v>11576.423803830072</v>
      </c>
      <c r="AA5" s="306">
        <f t="shared" si="7"/>
        <v>11489.105630821095</v>
      </c>
      <c r="AB5" s="306">
        <f t="shared" si="7"/>
        <v>11402.446246950107</v>
      </c>
      <c r="AC5" s="306">
        <f t="shared" si="7"/>
        <v>11316.440680536571</v>
      </c>
      <c r="AD5" s="324">
        <f t="shared" si="7"/>
        <v>11231.094923474557</v>
      </c>
    </row>
    <row r="6" spans="1:30" x14ac:dyDescent="0.3">
      <c r="B6" s="125">
        <f t="shared" si="3"/>
        <v>9.0691688931383713E-2</v>
      </c>
      <c r="C6" s="121" t="s">
        <v>5</v>
      </c>
      <c r="D6" s="3" t="s">
        <v>3</v>
      </c>
      <c r="E6" s="4">
        <v>13631.910000000002</v>
      </c>
      <c r="F6" s="4">
        <f t="shared" si="4"/>
        <v>13631.910000000002</v>
      </c>
      <c r="G6" s="4">
        <v>13631.910000000002</v>
      </c>
      <c r="H6" s="4">
        <f t="shared" si="4"/>
        <v>13631.910000000002</v>
      </c>
      <c r="I6" s="4">
        <v>13631.910000000002</v>
      </c>
      <c r="J6" s="4">
        <f t="shared" si="5"/>
        <v>13444.094999999999</v>
      </c>
      <c r="K6" s="4">
        <v>13256.279999999997</v>
      </c>
      <c r="L6" s="4">
        <f t="shared" si="6"/>
        <v>12232.394999999999</v>
      </c>
      <c r="M6" s="4">
        <v>11208.51</v>
      </c>
      <c r="N6" s="103">
        <f>7882.965+3207.69</f>
        <v>11090.655000000001</v>
      </c>
      <c r="O6" s="103">
        <f>7882.965+3207.69</f>
        <v>11090.655000000001</v>
      </c>
      <c r="P6" s="103">
        <f>5354.01+3399.93</f>
        <v>8753.94</v>
      </c>
      <c r="Q6" s="104">
        <f>5354.01+3399.93</f>
        <v>8753.94</v>
      </c>
      <c r="R6" s="306">
        <f t="shared" si="1"/>
        <v>7455.4528920423072</v>
      </c>
      <c r="S6" s="306">
        <f t="shared" si="7"/>
        <v>7399.2173859587547</v>
      </c>
      <c r="T6" s="306">
        <f t="shared" si="7"/>
        <v>7343.4061661241903</v>
      </c>
      <c r="U6" s="306">
        <f t="shared" si="7"/>
        <v>7288.0160305315776</v>
      </c>
      <c r="V6" s="306">
        <f t="shared" si="7"/>
        <v>7233.0438013445391</v>
      </c>
      <c r="W6" s="306">
        <f t="shared" si="7"/>
        <v>7178.4933203029759</v>
      </c>
      <c r="X6" s="306">
        <f t="shared" si="7"/>
        <v>7124.3404178545152</v>
      </c>
      <c r="Y6" s="306">
        <f t="shared" si="7"/>
        <v>7070.5961931320526</v>
      </c>
      <c r="Z6" s="306">
        <f t="shared" si="7"/>
        <v>7017.2780612198421</v>
      </c>
      <c r="AA6" s="306">
        <f t="shared" si="7"/>
        <v>6964.3484250744405</v>
      </c>
      <c r="AB6" s="306">
        <f t="shared" si="7"/>
        <v>6911.8181269839788</v>
      </c>
      <c r="AC6" s="306">
        <f t="shared" si="7"/>
        <v>6859.6841532660492</v>
      </c>
      <c r="AD6" s="324">
        <f t="shared" si="7"/>
        <v>6807.9501360256536</v>
      </c>
    </row>
    <row r="7" spans="1:30" x14ac:dyDescent="0.3">
      <c r="B7" s="125">
        <f t="shared" si="3"/>
        <v>0.11556323146834621</v>
      </c>
      <c r="C7" s="121" t="s">
        <v>6</v>
      </c>
      <c r="D7" s="3" t="s">
        <v>3</v>
      </c>
      <c r="E7" s="4">
        <v>19148.415000000001</v>
      </c>
      <c r="F7" s="4">
        <f t="shared" si="4"/>
        <v>19148.415000000001</v>
      </c>
      <c r="G7" s="4">
        <v>19148.415000000001</v>
      </c>
      <c r="H7" s="4">
        <f t="shared" si="4"/>
        <v>19148.415000000001</v>
      </c>
      <c r="I7" s="4">
        <v>19148.415000000001</v>
      </c>
      <c r="J7" s="4">
        <f t="shared" si="5"/>
        <v>15017.677500000002</v>
      </c>
      <c r="K7" s="4">
        <v>10886.94</v>
      </c>
      <c r="L7" s="4">
        <f t="shared" si="6"/>
        <v>10514.34</v>
      </c>
      <c r="M7" s="4">
        <v>10141.74</v>
      </c>
      <c r="N7" s="103">
        <f>6491.565+2369.97</f>
        <v>8861.5349999999999</v>
      </c>
      <c r="O7" s="103">
        <f>6491.565+2369.97</f>
        <v>8861.5349999999999</v>
      </c>
      <c r="P7" s="103">
        <f>5004.225+6150.42</f>
        <v>11154.645</v>
      </c>
      <c r="Q7" s="104">
        <f>5004.225+6150.42</f>
        <v>11154.645</v>
      </c>
      <c r="R7" s="306">
        <f t="shared" si="1"/>
        <v>9500.0571542591406</v>
      </c>
      <c r="S7" s="306">
        <f t="shared" si="7"/>
        <v>9428.3994656346622</v>
      </c>
      <c r="T7" s="306">
        <f t="shared" si="7"/>
        <v>9357.2824207072899</v>
      </c>
      <c r="U7" s="306">
        <f t="shared" si="7"/>
        <v>9286.7019393426181</v>
      </c>
      <c r="V7" s="306">
        <f t="shared" si="7"/>
        <v>9216.6539722055259</v>
      </c>
      <c r="W7" s="306">
        <f t="shared" si="7"/>
        <v>9147.1434146054216</v>
      </c>
      <c r="X7" s="306">
        <f t="shared" si="7"/>
        <v>9078.1394686642561</v>
      </c>
      <c r="Y7" s="306">
        <f t="shared" si="7"/>
        <v>9009.6562773721871</v>
      </c>
      <c r="Z7" s="306">
        <f t="shared" si="7"/>
        <v>8941.716031774904</v>
      </c>
      <c r="AA7" s="306">
        <f t="shared" si="7"/>
        <v>8874.2708241105702</v>
      </c>
      <c r="AB7" s="306">
        <f t="shared" si="7"/>
        <v>8807.3344700867492</v>
      </c>
      <c r="AC7" s="306">
        <f t="shared" si="7"/>
        <v>8740.9031295403402</v>
      </c>
      <c r="AD7" s="324">
        <f t="shared" si="7"/>
        <v>8674.9814306549815</v>
      </c>
    </row>
    <row r="8" spans="1:30" x14ac:dyDescent="0.3">
      <c r="B8" s="125">
        <f t="shared" si="3"/>
        <v>1.4061659375056008E-2</v>
      </c>
      <c r="C8" s="121" t="s">
        <v>7</v>
      </c>
      <c r="D8" s="3" t="s">
        <v>3</v>
      </c>
      <c r="E8" s="4">
        <v>2543.9550000000004</v>
      </c>
      <c r="F8" s="4">
        <f t="shared" si="4"/>
        <v>2543.9550000000004</v>
      </c>
      <c r="G8" s="4">
        <v>2543.9550000000004</v>
      </c>
      <c r="H8" s="4">
        <f t="shared" si="4"/>
        <v>2543.9550000000004</v>
      </c>
      <c r="I8" s="4">
        <v>2543.9550000000004</v>
      </c>
      <c r="J8" s="4">
        <f t="shared" si="5"/>
        <v>2740.3950000000004</v>
      </c>
      <c r="K8" s="4">
        <v>2936.835</v>
      </c>
      <c r="L8" s="4">
        <f t="shared" si="6"/>
        <v>2619.4974999999999</v>
      </c>
      <c r="M8" s="4">
        <v>2302.16</v>
      </c>
      <c r="N8" s="103">
        <f>1523.34+1645.79</f>
        <v>3169.13</v>
      </c>
      <c r="O8" s="103">
        <f>1523.34+1645.79</f>
        <v>3169.13</v>
      </c>
      <c r="P8" s="103">
        <f>974.61+382.68</f>
        <v>1357.29</v>
      </c>
      <c r="Q8" s="104">
        <f>974.61+382.68</f>
        <v>1357.29</v>
      </c>
      <c r="R8" s="306">
        <f t="shared" si="1"/>
        <v>1155.9608194527382</v>
      </c>
      <c r="S8" s="306">
        <f t="shared" si="7"/>
        <v>1147.2415581769988</v>
      </c>
      <c r="T8" s="306">
        <f t="shared" si="7"/>
        <v>1138.5880820771793</v>
      </c>
      <c r="U8" s="306">
        <f t="shared" si="7"/>
        <v>1129.9998946851595</v>
      </c>
      <c r="V8" s="306">
        <f t="shared" si="7"/>
        <v>1121.4765032804576</v>
      </c>
      <c r="W8" s="306">
        <f t="shared" si="7"/>
        <v>1113.0185035211603</v>
      </c>
      <c r="X8" s="306">
        <f t="shared" si="7"/>
        <v>1104.6221479413559</v>
      </c>
      <c r="Y8" s="306">
        <f t="shared" si="7"/>
        <v>1096.2891574509538</v>
      </c>
      <c r="Z8" s="306">
        <f t="shared" si="7"/>
        <v>1088.0222322420623</v>
      </c>
      <c r="AA8" s="306">
        <f t="shared" si="7"/>
        <v>1079.8155429291596</v>
      </c>
      <c r="AB8" s="306">
        <f t="shared" si="7"/>
        <v>1071.67077059862</v>
      </c>
      <c r="AC8" s="306">
        <f t="shared" si="7"/>
        <v>1063.5874479818772</v>
      </c>
      <c r="AD8" s="324">
        <f t="shared" si="7"/>
        <v>1055.5661382333278</v>
      </c>
    </row>
    <row r="9" spans="1:30" x14ac:dyDescent="0.3">
      <c r="B9" s="125">
        <f t="shared" si="3"/>
        <v>0.29989773545838311</v>
      </c>
      <c r="C9" s="121" t="s">
        <v>8</v>
      </c>
      <c r="D9" s="3" t="s">
        <v>3</v>
      </c>
      <c r="E9" s="4">
        <v>22227.494999999999</v>
      </c>
      <c r="F9" s="4">
        <f t="shared" si="4"/>
        <v>22227.494999999999</v>
      </c>
      <c r="G9" s="4">
        <v>22227.494999999999</v>
      </c>
      <c r="H9" s="4">
        <f t="shared" si="4"/>
        <v>22227.494999999999</v>
      </c>
      <c r="I9" s="4">
        <v>22227.494999999999</v>
      </c>
      <c r="J9" s="4">
        <f t="shared" si="5"/>
        <v>24651.502500000002</v>
      </c>
      <c r="K9" s="4">
        <v>27075.510000000002</v>
      </c>
      <c r="L9" s="4">
        <f t="shared" si="6"/>
        <v>25636.365000000002</v>
      </c>
      <c r="M9" s="4">
        <v>24197.22</v>
      </c>
      <c r="N9" s="103">
        <f>20167.74+6831</f>
        <v>26998.74</v>
      </c>
      <c r="O9" s="103">
        <f>20167.74+6831</f>
        <v>26998.74</v>
      </c>
      <c r="P9" s="103">
        <f>5325.3+23622.08</f>
        <v>28947.38</v>
      </c>
      <c r="Q9" s="104">
        <f>5325.3+23622.08</f>
        <v>28947.38</v>
      </c>
      <c r="R9" s="306">
        <f t="shared" si="1"/>
        <v>24653.564901981008</v>
      </c>
      <c r="S9" s="306">
        <f t="shared" si="7"/>
        <v>24467.606286307051</v>
      </c>
      <c r="T9" s="306">
        <f t="shared" si="7"/>
        <v>24283.050693189591</v>
      </c>
      <c r="U9" s="306">
        <f t="shared" si="7"/>
        <v>24099.887534286183</v>
      </c>
      <c r="V9" s="306">
        <f t="shared" si="7"/>
        <v>23918.106301181509</v>
      </c>
      <c r="W9" s="306">
        <f t="shared" si="7"/>
        <v>23737.719697675784</v>
      </c>
      <c r="X9" s="306">
        <f t="shared" si="7"/>
        <v>23558.647800304025</v>
      </c>
      <c r="Y9" s="306">
        <f t="shared" si="7"/>
        <v>23380.927311490246</v>
      </c>
      <c r="Z9" s="306">
        <f t="shared" si="7"/>
        <v>23204.615819139042</v>
      </c>
      <c r="AA9" s="306">
        <f t="shared" si="7"/>
        <v>23029.588997986204</v>
      </c>
      <c r="AB9" s="306">
        <f t="shared" si="7"/>
        <v>22855.882701125833</v>
      </c>
      <c r="AC9" s="306">
        <f t="shared" si="7"/>
        <v>22683.486962964169</v>
      </c>
      <c r="AD9" s="324">
        <f t="shared" si="7"/>
        <v>22512.413794084296</v>
      </c>
    </row>
    <row r="10" spans="1:30" x14ac:dyDescent="0.3">
      <c r="B10" s="125">
        <f t="shared" si="3"/>
        <v>0.24163890764354667</v>
      </c>
      <c r="C10" s="121" t="s">
        <v>9</v>
      </c>
      <c r="D10" s="3" t="s">
        <v>3</v>
      </c>
      <c r="E10" s="4">
        <v>19344.36</v>
      </c>
      <c r="F10" s="4">
        <f t="shared" si="4"/>
        <v>19344.36</v>
      </c>
      <c r="G10" s="4">
        <v>19344.36</v>
      </c>
      <c r="H10" s="4">
        <f t="shared" si="4"/>
        <v>19344.36</v>
      </c>
      <c r="I10" s="4">
        <v>19344.36</v>
      </c>
      <c r="J10" s="4">
        <f t="shared" si="5"/>
        <v>19871.79</v>
      </c>
      <c r="K10" s="4">
        <v>20399.220000000005</v>
      </c>
      <c r="L10" s="4">
        <f t="shared" si="6"/>
        <v>19175.940000000002</v>
      </c>
      <c r="M10" s="4">
        <v>17952.66</v>
      </c>
      <c r="N10" s="103">
        <f>8753.31+7859.07</f>
        <v>16612.379999999997</v>
      </c>
      <c r="O10" s="103">
        <f>8753.31+7859.07</f>
        <v>16612.379999999997</v>
      </c>
      <c r="P10" s="103">
        <f>15645.735+7678.26</f>
        <v>23323.995000000003</v>
      </c>
      <c r="Q10" s="104">
        <f>15645.735+7678.26</f>
        <v>23323.995000000003</v>
      </c>
      <c r="R10" s="306">
        <f t="shared" si="1"/>
        <v>19864.30635539315</v>
      </c>
      <c r="S10" s="306">
        <f t="shared" si="7"/>
        <v>19714.472490560256</v>
      </c>
      <c r="T10" s="306">
        <f t="shared" si="7"/>
        <v>19565.769093876563</v>
      </c>
      <c r="U10" s="306">
        <f t="shared" si="7"/>
        <v>19418.187633915513</v>
      </c>
      <c r="V10" s="306">
        <f t="shared" si="7"/>
        <v>19271.71964365086</v>
      </c>
      <c r="W10" s="306">
        <f t="shared" si="7"/>
        <v>19126.375359013196</v>
      </c>
      <c r="X10" s="306">
        <f t="shared" si="7"/>
        <v>18982.090382654736</v>
      </c>
      <c r="Y10" s="306">
        <f t="shared" si="7"/>
        <v>18838.894287101695</v>
      </c>
      <c r="Z10" s="306">
        <f t="shared" si="7"/>
        <v>18696.833473099116</v>
      </c>
      <c r="AA10" s="306">
        <f t="shared" si="7"/>
        <v>18555.807767096201</v>
      </c>
      <c r="AB10" s="306">
        <f t="shared" si="7"/>
        <v>18415.846057282055</v>
      </c>
      <c r="AC10" s="306">
        <f t="shared" si="7"/>
        <v>18276.940314002215</v>
      </c>
      <c r="AD10" s="324">
        <f t="shared" si="7"/>
        <v>18139.100214636113</v>
      </c>
    </row>
    <row r="11" spans="1:30" x14ac:dyDescent="0.3">
      <c r="B11" s="125">
        <f t="shared" si="3"/>
        <v>3.4144815749257407E-3</v>
      </c>
      <c r="C11" s="121" t="s">
        <v>10</v>
      </c>
      <c r="D11" s="3" t="s">
        <v>3</v>
      </c>
      <c r="E11" s="4">
        <v>363.52500000000009</v>
      </c>
      <c r="F11" s="4">
        <f t="shared" si="4"/>
        <v>363.52500000000009</v>
      </c>
      <c r="G11" s="4">
        <v>363.52500000000009</v>
      </c>
      <c r="H11" s="4">
        <f t="shared" si="4"/>
        <v>363.52500000000009</v>
      </c>
      <c r="I11" s="4">
        <v>363.52500000000009</v>
      </c>
      <c r="J11" s="4">
        <f t="shared" si="5"/>
        <v>561.31500000000028</v>
      </c>
      <c r="K11" s="4">
        <v>759.10500000000059</v>
      </c>
      <c r="L11" s="4">
        <f t="shared" si="6"/>
        <v>538.24750000000029</v>
      </c>
      <c r="M11" s="4">
        <v>317.39</v>
      </c>
      <c r="N11" s="103">
        <f>117.495+20.48</f>
        <v>137.97499999999999</v>
      </c>
      <c r="O11" s="103">
        <f>117.495+20.48</f>
        <v>137.97499999999999</v>
      </c>
      <c r="P11" s="103">
        <f>301.14+28.44</f>
        <v>329.58</v>
      </c>
      <c r="Q11" s="104">
        <f>301.14+28.44</f>
        <v>329.58</v>
      </c>
      <c r="R11" s="306">
        <f t="shared" si="1"/>
        <v>280.69282679105675</v>
      </c>
      <c r="S11" s="306">
        <f t="shared" si="7"/>
        <v>278.57559750972541</v>
      </c>
      <c r="T11" s="306">
        <f t="shared" si="7"/>
        <v>276.47434232256677</v>
      </c>
      <c r="U11" s="306">
        <f t="shared" si="7"/>
        <v>274.38894067615234</v>
      </c>
      <c r="V11" s="306">
        <f t="shared" si="7"/>
        <v>272.31927292706285</v>
      </c>
      <c r="W11" s="306">
        <f t="shared" si="7"/>
        <v>270.26548371424229</v>
      </c>
      <c r="X11" s="306">
        <f t="shared" si="7"/>
        <v>268.22666307017073</v>
      </c>
      <c r="Y11" s="306">
        <f t="shared" si="7"/>
        <v>266.20322886979596</v>
      </c>
      <c r="Z11" s="306">
        <f t="shared" si="7"/>
        <v>264.19583677941989</v>
      </c>
      <c r="AA11" s="306">
        <f t="shared" si="7"/>
        <v>262.20307129544341</v>
      </c>
      <c r="AB11" s="306">
        <f t="shared" si="7"/>
        <v>260.22534062278004</v>
      </c>
      <c r="AC11" s="306">
        <f t="shared" si="7"/>
        <v>258.26253129829814</v>
      </c>
      <c r="AD11" s="324">
        <f t="shared" si="7"/>
        <v>256.31478006832748</v>
      </c>
    </row>
    <row r="12" spans="1:30" x14ac:dyDescent="0.3">
      <c r="B12" s="125">
        <f t="shared" si="3"/>
        <v>6.9194586184993861E-3</v>
      </c>
      <c r="C12" s="121" t="s">
        <v>11</v>
      </c>
      <c r="D12" s="3" t="s">
        <v>3</v>
      </c>
      <c r="E12" s="4">
        <v>423.67500000000001</v>
      </c>
      <c r="F12" s="4">
        <f t="shared" si="4"/>
        <v>423.67500000000001</v>
      </c>
      <c r="G12" s="4">
        <v>423.67500000000001</v>
      </c>
      <c r="H12" s="4">
        <f t="shared" si="4"/>
        <v>423.67500000000001</v>
      </c>
      <c r="I12" s="4">
        <v>423.67500000000001</v>
      </c>
      <c r="J12" s="4">
        <f t="shared" si="5"/>
        <v>506.65499999999997</v>
      </c>
      <c r="K12" s="4">
        <v>589.63499999999999</v>
      </c>
      <c r="L12" s="4">
        <f t="shared" si="6"/>
        <v>463.27499999999998</v>
      </c>
      <c r="M12" s="4">
        <v>336.91500000000002</v>
      </c>
      <c r="N12" s="103">
        <f>501.12+119.93</f>
        <v>621.04999999999995</v>
      </c>
      <c r="O12" s="103">
        <f>501.12+119.93</f>
        <v>621.04999999999995</v>
      </c>
      <c r="P12" s="103">
        <f>131.445+536.45</f>
        <v>667.89499999999998</v>
      </c>
      <c r="Q12" s="104">
        <f>131.445+536.45</f>
        <v>667.89499999999998</v>
      </c>
      <c r="R12" s="306">
        <f t="shared" si="1"/>
        <v>568.82497587721593</v>
      </c>
      <c r="S12" s="306">
        <f t="shared" si="7"/>
        <v>564.53440347945286</v>
      </c>
      <c r="T12" s="306">
        <f t="shared" si="7"/>
        <v>560.27620263829954</v>
      </c>
      <c r="U12" s="306">
        <f t="shared" si="7"/>
        <v>556.05012905181979</v>
      </c>
      <c r="V12" s="306">
        <f t="shared" si="7"/>
        <v>551.85594026221452</v>
      </c>
      <c r="W12" s="306">
        <f t="shared" si="7"/>
        <v>547.69392938079943</v>
      </c>
      <c r="X12" s="306">
        <f t="shared" si="7"/>
        <v>543.56225235527552</v>
      </c>
      <c r="Y12" s="306">
        <f t="shared" si="7"/>
        <v>539.46175601065715</v>
      </c>
      <c r="Z12" s="306">
        <f t="shared" si="7"/>
        <v>535.39376905695326</v>
      </c>
      <c r="AA12" s="306">
        <f t="shared" si="7"/>
        <v>531.35542297126699</v>
      </c>
      <c r="AB12" s="306">
        <f t="shared" si="7"/>
        <v>527.34754498225527</v>
      </c>
      <c r="AC12" s="306">
        <f t="shared" si="7"/>
        <v>523.36990515649268</v>
      </c>
      <c r="AD12" s="324">
        <f t="shared" si="7"/>
        <v>519.4227806108853</v>
      </c>
    </row>
    <row r="13" spans="1:30" ht="15" thickBot="1" x14ac:dyDescent="0.35">
      <c r="B13" s="335">
        <f t="shared" si="3"/>
        <v>5.3407555848447079E-2</v>
      </c>
      <c r="C13" s="129" t="s">
        <v>12</v>
      </c>
      <c r="D13" s="106" t="s">
        <v>3</v>
      </c>
      <c r="E13" s="107">
        <f>794.7+1506.29</f>
        <v>2300.9899999999998</v>
      </c>
      <c r="F13" s="107">
        <f t="shared" si="4"/>
        <v>2300.9899999999998</v>
      </c>
      <c r="G13" s="107">
        <f>794.7+1506.29</f>
        <v>2300.9899999999998</v>
      </c>
      <c r="H13" s="107">
        <f t="shared" si="4"/>
        <v>2300.9899999999998</v>
      </c>
      <c r="I13" s="107">
        <f>794.7+1506.29</f>
        <v>2300.9899999999998</v>
      </c>
      <c r="J13" s="107">
        <f t="shared" si="5"/>
        <v>6718.84</v>
      </c>
      <c r="K13" s="107">
        <v>11136.69</v>
      </c>
      <c r="L13" s="107">
        <f t="shared" si="6"/>
        <v>9869.0625</v>
      </c>
      <c r="M13" s="107">
        <v>8601.4349999999995</v>
      </c>
      <c r="N13" s="108">
        <f>1787.94+115.79</f>
        <v>1903.73</v>
      </c>
      <c r="O13" s="108">
        <f>1787.94+115.79</f>
        <v>1903.73</v>
      </c>
      <c r="P13" s="108">
        <f>4917.56+237.56</f>
        <v>5155.1200000000008</v>
      </c>
      <c r="Q13" s="334">
        <f>4917.56+237.56</f>
        <v>5155.1200000000008</v>
      </c>
      <c r="R13" s="306">
        <f t="shared" si="1"/>
        <v>4390.4521064600785</v>
      </c>
      <c r="S13" s="306">
        <f t="shared" si="7"/>
        <v>4357.3355004379391</v>
      </c>
      <c r="T13" s="306">
        <f t="shared" si="7"/>
        <v>4324.4687529398352</v>
      </c>
      <c r="U13" s="306">
        <f t="shared" si="7"/>
        <v>4291.8499783313509</v>
      </c>
      <c r="V13" s="306">
        <f t="shared" si="7"/>
        <v>4259.4773052119681</v>
      </c>
      <c r="W13" s="306">
        <f t="shared" si="7"/>
        <v>4227.3529959492844</v>
      </c>
      <c r="X13" s="306">
        <f t="shared" si="7"/>
        <v>4195.4628173017145</v>
      </c>
      <c r="Y13" s="306">
        <f t="shared" si="7"/>
        <v>4163.8133054531909</v>
      </c>
      <c r="Z13" s="306">
        <f t="shared" si="7"/>
        <v>4132.4147159970971</v>
      </c>
      <c r="AA13" s="306">
        <f t="shared" si="7"/>
        <v>4101.2449083578085</v>
      </c>
      <c r="AB13" s="306">
        <f t="shared" si="7"/>
        <v>4070.3102674655811</v>
      </c>
      <c r="AC13" s="306">
        <f t="shared" si="7"/>
        <v>4039.6090185887583</v>
      </c>
      <c r="AD13" s="324">
        <f t="shared" si="7"/>
        <v>4009.1433006427469</v>
      </c>
    </row>
    <row r="14" spans="1:30" ht="13.95" customHeight="1" x14ac:dyDescent="0.3">
      <c r="B14" s="336"/>
      <c r="C14" s="331" t="s">
        <v>15</v>
      </c>
      <c r="D14" s="332" t="s">
        <v>3</v>
      </c>
      <c r="E14" s="333">
        <v>24386</v>
      </c>
      <c r="F14" s="333">
        <v>24386</v>
      </c>
      <c r="G14" s="333">
        <v>24386</v>
      </c>
      <c r="H14" s="333">
        <v>24386</v>
      </c>
      <c r="I14" s="333">
        <v>24386</v>
      </c>
      <c r="J14" s="333">
        <v>38966.81</v>
      </c>
      <c r="K14" s="333">
        <v>53547.619999999995</v>
      </c>
      <c r="L14" s="333">
        <v>34203.54</v>
      </c>
      <c r="M14" s="333">
        <v>14859.46</v>
      </c>
      <c r="N14" s="333">
        <v>32440.420000000002</v>
      </c>
      <c r="O14" s="333">
        <v>32440.420000000002</v>
      </c>
      <c r="P14" s="333">
        <v>23216.04</v>
      </c>
      <c r="Q14" s="333">
        <v>23216.04</v>
      </c>
      <c r="R14" s="307">
        <v>23216.04</v>
      </c>
      <c r="S14" s="307">
        <v>23216.04</v>
      </c>
      <c r="T14" s="307">
        <v>23216.04</v>
      </c>
      <c r="U14" s="307">
        <v>23216.04</v>
      </c>
      <c r="V14" s="307">
        <v>23216.04</v>
      </c>
      <c r="W14" s="307">
        <v>23216.04</v>
      </c>
      <c r="X14" s="307">
        <v>23216.04</v>
      </c>
      <c r="Y14" s="307">
        <v>23216.04</v>
      </c>
      <c r="Z14" s="307">
        <v>23216.04</v>
      </c>
      <c r="AA14" s="307">
        <v>23216.04</v>
      </c>
      <c r="AB14" s="307">
        <v>23216.04</v>
      </c>
      <c r="AC14" s="307">
        <v>23216.04</v>
      </c>
      <c r="AD14" s="308">
        <v>23216.04</v>
      </c>
    </row>
    <row r="15" spans="1:30" ht="13.95" customHeight="1" x14ac:dyDescent="0.3">
      <c r="B15" s="6"/>
      <c r="C15" s="121" t="s">
        <v>16</v>
      </c>
      <c r="D15" s="3" t="s">
        <v>3</v>
      </c>
      <c r="E15" s="4">
        <v>8320</v>
      </c>
      <c r="F15" s="4">
        <v>8320</v>
      </c>
      <c r="G15" s="4">
        <v>8320</v>
      </c>
      <c r="H15" s="4">
        <v>8320</v>
      </c>
      <c r="I15" s="4">
        <v>8320</v>
      </c>
      <c r="J15" s="4">
        <v>9268.2099999999991</v>
      </c>
      <c r="K15" s="4">
        <v>10216.419999999998</v>
      </c>
      <c r="L15" s="4">
        <v>8473.6299999999992</v>
      </c>
      <c r="M15" s="4">
        <v>6730.84</v>
      </c>
      <c r="N15" s="4">
        <v>795.38000000000011</v>
      </c>
      <c r="O15" s="4">
        <v>795.38000000000011</v>
      </c>
      <c r="P15" s="4">
        <v>2562.9749999999999</v>
      </c>
      <c r="Q15" s="4">
        <v>2562.9749999999999</v>
      </c>
      <c r="R15" s="307">
        <v>2562.9749999999999</v>
      </c>
      <c r="S15" s="307">
        <v>2562.9749999999999</v>
      </c>
      <c r="T15" s="307">
        <v>2562.9749999999999</v>
      </c>
      <c r="U15" s="307">
        <v>2562.9749999999999</v>
      </c>
      <c r="V15" s="307">
        <v>2562.9749999999999</v>
      </c>
      <c r="W15" s="307">
        <v>2562.9749999999999</v>
      </c>
      <c r="X15" s="307">
        <v>2562.9749999999999</v>
      </c>
      <c r="Y15" s="307">
        <v>2562.9749999999999</v>
      </c>
      <c r="Z15" s="307">
        <v>2562.9749999999999</v>
      </c>
      <c r="AA15" s="307">
        <v>2562.9749999999999</v>
      </c>
      <c r="AB15" s="307">
        <v>2562.9749999999999</v>
      </c>
      <c r="AC15" s="307">
        <v>2562.9749999999999</v>
      </c>
      <c r="AD15" s="308">
        <v>2562.9749999999999</v>
      </c>
    </row>
    <row r="16" spans="1:30" x14ac:dyDescent="0.3">
      <c r="B16" s="5"/>
      <c r="C16" s="122" t="s">
        <v>13</v>
      </c>
      <c r="D16" s="3" t="s">
        <v>3</v>
      </c>
      <c r="E16" s="4">
        <v>0</v>
      </c>
      <c r="F16" s="4">
        <f t="shared" si="4"/>
        <v>0</v>
      </c>
      <c r="G16" s="4">
        <v>0</v>
      </c>
      <c r="H16" s="4">
        <f t="shared" si="4"/>
        <v>0</v>
      </c>
      <c r="I16" s="4">
        <v>0</v>
      </c>
      <c r="J16" s="4">
        <f t="shared" ref="J16:J18" si="8">+(I16+K16)/2</f>
        <v>0</v>
      </c>
      <c r="K16" s="4">
        <v>0</v>
      </c>
      <c r="L16" s="4">
        <f t="shared" ref="L16:L18" si="9">+(K16+M16)/2</f>
        <v>0</v>
      </c>
      <c r="M16" s="4">
        <v>0</v>
      </c>
      <c r="N16" s="103">
        <v>0</v>
      </c>
      <c r="O16" s="103">
        <v>0</v>
      </c>
      <c r="P16" s="4">
        <v>262.35000000000002</v>
      </c>
      <c r="Q16" s="36">
        <v>262.35000000000002</v>
      </c>
      <c r="R16" s="307">
        <v>262.35000000000002</v>
      </c>
      <c r="S16" s="307">
        <v>262.35000000000002</v>
      </c>
      <c r="T16" s="307">
        <v>262.35000000000002</v>
      </c>
      <c r="U16" s="307">
        <v>262.35000000000002</v>
      </c>
      <c r="V16" s="307">
        <v>262.35000000000002</v>
      </c>
      <c r="W16" s="307">
        <v>262.35000000000002</v>
      </c>
      <c r="X16" s="307">
        <v>262.35000000000002</v>
      </c>
      <c r="Y16" s="307">
        <v>262.35000000000002</v>
      </c>
      <c r="Z16" s="307">
        <v>262.35000000000002</v>
      </c>
      <c r="AA16" s="307">
        <v>262.35000000000002</v>
      </c>
      <c r="AB16" s="307">
        <v>262.35000000000002</v>
      </c>
      <c r="AC16" s="307">
        <v>262.35000000000002</v>
      </c>
      <c r="AD16" s="308">
        <v>262.35000000000002</v>
      </c>
    </row>
    <row r="17" spans="2:30" x14ac:dyDescent="0.3">
      <c r="B17" s="5"/>
      <c r="C17" s="122" t="s">
        <v>14</v>
      </c>
      <c r="D17" s="3" t="s">
        <v>3</v>
      </c>
      <c r="E17" s="4">
        <f>467.79+812.73</f>
        <v>1280.52</v>
      </c>
      <c r="F17" s="4">
        <f t="shared" si="4"/>
        <v>1280.52</v>
      </c>
      <c r="G17" s="4">
        <f>467.79+812.73</f>
        <v>1280.52</v>
      </c>
      <c r="H17" s="4">
        <f t="shared" si="4"/>
        <v>1280.52</v>
      </c>
      <c r="I17" s="4">
        <f>467.79+812.73</f>
        <v>1280.52</v>
      </c>
      <c r="J17" s="4">
        <f t="shared" si="8"/>
        <v>5254.8525</v>
      </c>
      <c r="K17" s="4">
        <v>9229.1849999999995</v>
      </c>
      <c r="L17" s="4">
        <f t="shared" si="9"/>
        <v>5389.7874999999995</v>
      </c>
      <c r="M17" s="4">
        <v>1550.39</v>
      </c>
      <c r="N17" s="103">
        <f>533.61+75.11</f>
        <v>608.72</v>
      </c>
      <c r="O17" s="103">
        <f>533.61+75.11</f>
        <v>608.72</v>
      </c>
      <c r="P17" s="4">
        <f t="shared" ref="P17:AD17" si="10">1376.415+1986.75</f>
        <v>3363.165</v>
      </c>
      <c r="Q17" s="36">
        <f t="shared" si="10"/>
        <v>3363.165</v>
      </c>
      <c r="R17" s="307">
        <f t="shared" si="10"/>
        <v>3363.165</v>
      </c>
      <c r="S17" s="307">
        <f t="shared" si="10"/>
        <v>3363.165</v>
      </c>
      <c r="T17" s="307">
        <f t="shared" si="10"/>
        <v>3363.165</v>
      </c>
      <c r="U17" s="307">
        <f t="shared" si="10"/>
        <v>3363.165</v>
      </c>
      <c r="V17" s="307">
        <f t="shared" si="10"/>
        <v>3363.165</v>
      </c>
      <c r="W17" s="307">
        <f t="shared" si="10"/>
        <v>3363.165</v>
      </c>
      <c r="X17" s="307">
        <f t="shared" si="10"/>
        <v>3363.165</v>
      </c>
      <c r="Y17" s="307">
        <f t="shared" si="10"/>
        <v>3363.165</v>
      </c>
      <c r="Z17" s="307">
        <f t="shared" si="10"/>
        <v>3363.165</v>
      </c>
      <c r="AA17" s="307">
        <f t="shared" si="10"/>
        <v>3363.165</v>
      </c>
      <c r="AB17" s="307">
        <f t="shared" si="10"/>
        <v>3363.165</v>
      </c>
      <c r="AC17" s="307">
        <f t="shared" si="10"/>
        <v>3363.165</v>
      </c>
      <c r="AD17" s="308">
        <f t="shared" si="10"/>
        <v>3363.165</v>
      </c>
    </row>
    <row r="18" spans="2:30" ht="15" thickBot="1" x14ac:dyDescent="0.35">
      <c r="B18" s="105"/>
      <c r="C18" s="127" t="s">
        <v>3</v>
      </c>
      <c r="D18" s="106" t="s">
        <v>3</v>
      </c>
      <c r="E18" s="107">
        <f>583926.83+738244.33</f>
        <v>1322171.1599999999</v>
      </c>
      <c r="F18" s="107">
        <f t="shared" si="4"/>
        <v>1322171.1599999999</v>
      </c>
      <c r="G18" s="107">
        <f>583926.83+738244.33</f>
        <v>1322171.1599999999</v>
      </c>
      <c r="H18" s="107">
        <f t="shared" si="4"/>
        <v>1322171.1599999999</v>
      </c>
      <c r="I18" s="107">
        <f>583926.83+738244.33</f>
        <v>1322171.1599999999</v>
      </c>
      <c r="J18" s="107">
        <f t="shared" si="8"/>
        <v>2807097.83</v>
      </c>
      <c r="K18" s="107">
        <v>4292024.5</v>
      </c>
      <c r="L18" s="107">
        <f t="shared" si="9"/>
        <v>4341301.7</v>
      </c>
      <c r="M18" s="107">
        <v>4390578.9000000004</v>
      </c>
      <c r="N18" s="108">
        <f>4019308.83+459293.445</f>
        <v>4478602.2750000004</v>
      </c>
      <c r="O18" s="108">
        <f>4019308.83+459293.445</f>
        <v>4478602.2750000004</v>
      </c>
      <c r="P18" s="107">
        <f t="shared" ref="P18:AD18" si="11">3995904.69+571453.38</f>
        <v>4567358.07</v>
      </c>
      <c r="Q18" s="109">
        <f t="shared" si="11"/>
        <v>4567358.07</v>
      </c>
      <c r="R18" s="309">
        <f t="shared" si="11"/>
        <v>4567358.07</v>
      </c>
      <c r="S18" s="309">
        <f t="shared" si="11"/>
        <v>4567358.07</v>
      </c>
      <c r="T18" s="309">
        <f t="shared" si="11"/>
        <v>4567358.07</v>
      </c>
      <c r="U18" s="309">
        <f t="shared" si="11"/>
        <v>4567358.07</v>
      </c>
      <c r="V18" s="309">
        <f t="shared" si="11"/>
        <v>4567358.07</v>
      </c>
      <c r="W18" s="309">
        <f t="shared" si="11"/>
        <v>4567358.07</v>
      </c>
      <c r="X18" s="309">
        <f t="shared" si="11"/>
        <v>4567358.07</v>
      </c>
      <c r="Y18" s="309">
        <f t="shared" si="11"/>
        <v>4567358.07</v>
      </c>
      <c r="Z18" s="309">
        <f t="shared" si="11"/>
        <v>4567358.07</v>
      </c>
      <c r="AA18" s="309">
        <f t="shared" si="11"/>
        <v>4567358.07</v>
      </c>
      <c r="AB18" s="309">
        <f t="shared" si="11"/>
        <v>4567358.07</v>
      </c>
      <c r="AC18" s="309">
        <f t="shared" si="11"/>
        <v>4567358.07</v>
      </c>
      <c r="AD18" s="310">
        <f t="shared" si="11"/>
        <v>4567358.07</v>
      </c>
    </row>
    <row r="20" spans="2:30" x14ac:dyDescent="0.3">
      <c r="B20" s="110" t="s">
        <v>15</v>
      </c>
      <c r="C20" s="113"/>
      <c r="D20" s="114"/>
      <c r="E20" s="115"/>
      <c r="F20" s="115"/>
      <c r="G20" s="115"/>
      <c r="H20" s="115"/>
      <c r="I20" s="115"/>
      <c r="J20" s="115"/>
      <c r="K20" s="115"/>
      <c r="L20" s="115"/>
      <c r="M20" s="115"/>
      <c r="N20" s="115"/>
      <c r="O20" s="115"/>
      <c r="P20" s="115"/>
      <c r="Q20" s="115"/>
      <c r="R20" s="115"/>
      <c r="S20" s="115"/>
      <c r="T20" s="115"/>
      <c r="U20" s="115"/>
      <c r="V20" s="115"/>
      <c r="W20" s="115"/>
      <c r="X20" s="115"/>
      <c r="Y20" s="115"/>
      <c r="Z20" s="115"/>
      <c r="AA20" s="115"/>
      <c r="AB20" s="115"/>
      <c r="AC20" s="115"/>
      <c r="AD20" s="115"/>
    </row>
    <row r="21" spans="2:30" ht="15" thickBot="1" x14ac:dyDescent="0.35">
      <c r="B21" s="116">
        <f>+SUM(Q22:Q31)/(SUM(Q22:Q31)+SUM(Q39:Q48)+SUM(Q56:Q65)+SUM(Q74:Q83)+SUM(Q4:Q13))</f>
        <v>1.1528251069938418E-2</v>
      </c>
      <c r="C21" s="111"/>
      <c r="D21" s="112"/>
      <c r="E21" s="110"/>
      <c r="F21" s="110"/>
      <c r="G21" s="110"/>
      <c r="H21" s="110"/>
      <c r="I21" s="110"/>
      <c r="J21" s="110"/>
      <c r="K21" s="110"/>
      <c r="L21" s="110"/>
      <c r="M21" s="110"/>
      <c r="N21" s="110"/>
      <c r="O21" s="110"/>
      <c r="P21" s="110"/>
      <c r="Q21" s="110"/>
      <c r="R21" s="110"/>
      <c r="S21" s="110"/>
      <c r="T21" s="110"/>
      <c r="U21" s="110"/>
      <c r="V21" s="110"/>
      <c r="W21" s="110"/>
      <c r="X21" s="110"/>
      <c r="Y21" s="110"/>
      <c r="Z21" s="110"/>
      <c r="AA21" s="110"/>
      <c r="AB21" s="110"/>
      <c r="AC21" s="110"/>
      <c r="AD21" s="110"/>
    </row>
    <row r="22" spans="2:30" x14ac:dyDescent="0.3">
      <c r="B22" s="123">
        <f>+Q22/SUM(Q$22:Q$31)</f>
        <v>1.3092337345892279E-3</v>
      </c>
      <c r="C22" s="124" t="s">
        <v>2</v>
      </c>
      <c r="D22" s="1" t="s">
        <v>15</v>
      </c>
      <c r="E22" s="2">
        <v>0</v>
      </c>
      <c r="F22" s="2">
        <f>+(E22+G22)/2</f>
        <v>0</v>
      </c>
      <c r="G22" s="2">
        <v>0</v>
      </c>
      <c r="H22" s="2">
        <f>+(G22+I22)/2</f>
        <v>0</v>
      </c>
      <c r="I22" s="2">
        <v>0</v>
      </c>
      <c r="J22" s="2">
        <f>+(I22+K22)/2</f>
        <v>0</v>
      </c>
      <c r="K22" s="2">
        <v>0</v>
      </c>
      <c r="L22" s="2">
        <f>+(K22+M22)/2</f>
        <v>80.887500000000003</v>
      </c>
      <c r="M22" s="2">
        <v>161.77500000000001</v>
      </c>
      <c r="N22" s="102">
        <v>23.94</v>
      </c>
      <c r="O22" s="102">
        <v>23.94</v>
      </c>
      <c r="P22" s="2">
        <v>1.62</v>
      </c>
      <c r="Q22" s="35">
        <v>1.62</v>
      </c>
      <c r="R22" s="305">
        <f>$B$21*R$3*$B22</f>
        <v>1.3797025893607378</v>
      </c>
      <c r="S22" s="305">
        <f t="shared" ref="S22:AD22" si="12">$B$21*S$3*$B22</f>
        <v>1.3692956731772414</v>
      </c>
      <c r="T22" s="305">
        <f t="shared" si="12"/>
        <v>1.3589672752064998</v>
      </c>
      <c r="U22" s="305">
        <f t="shared" si="12"/>
        <v>1.3487168028866034</v>
      </c>
      <c r="V22" s="305">
        <f t="shared" si="12"/>
        <v>1.3385436681286542</v>
      </c>
      <c r="W22" s="305">
        <f t="shared" si="12"/>
        <v>1.3284485818832228</v>
      </c>
      <c r="X22" s="305">
        <f t="shared" si="12"/>
        <v>1.3184270713443678</v>
      </c>
      <c r="Y22" s="305">
        <f t="shared" si="12"/>
        <v>1.3084811905123777</v>
      </c>
      <c r="Z22" s="305">
        <f t="shared" si="12"/>
        <v>1.2986141622145162</v>
      </c>
      <c r="AA22" s="305">
        <f t="shared" si="12"/>
        <v>1.2888190287596892</v>
      </c>
      <c r="AB22" s="305">
        <f t="shared" si="12"/>
        <v>1.2790977966166144</v>
      </c>
      <c r="AC22" s="305">
        <f t="shared" si="12"/>
        <v>1.2694499080746495</v>
      </c>
      <c r="AD22" s="323">
        <f t="shared" si="12"/>
        <v>1.2598760352894307</v>
      </c>
    </row>
    <row r="23" spans="2:30" x14ac:dyDescent="0.3">
      <c r="B23" s="125">
        <f t="shared" ref="B23:B31" si="13">+Q23/SUM(Q$22:Q$31)</f>
        <v>0.37651380150561881</v>
      </c>
      <c r="C23" s="121" t="s">
        <v>4</v>
      </c>
      <c r="D23" s="3" t="s">
        <v>15</v>
      </c>
      <c r="E23" s="4">
        <v>0</v>
      </c>
      <c r="F23" s="4">
        <f t="shared" ref="F23:H35" si="14">+(E23+G23)/2</f>
        <v>0</v>
      </c>
      <c r="G23" s="4">
        <v>0</v>
      </c>
      <c r="H23" s="4">
        <f t="shared" si="14"/>
        <v>0</v>
      </c>
      <c r="I23" s="4">
        <v>0</v>
      </c>
      <c r="J23" s="4">
        <f t="shared" ref="J23:J35" si="15">+(I23+K23)/2</f>
        <v>0</v>
      </c>
      <c r="K23" s="4">
        <v>0</v>
      </c>
      <c r="L23" s="4">
        <f t="shared" ref="L23:L35" si="16">+(K23+M23)/2</f>
        <v>303.09750000000003</v>
      </c>
      <c r="M23" s="4">
        <v>606.19500000000005</v>
      </c>
      <c r="N23" s="103">
        <v>194.535</v>
      </c>
      <c r="O23" s="103">
        <v>194.535</v>
      </c>
      <c r="P23" s="103">
        <v>465.88499999999999</v>
      </c>
      <c r="Q23" s="104">
        <v>465.88499999999999</v>
      </c>
      <c r="R23" s="306">
        <f t="shared" ref="R23:AD31" si="17">$B$21*R$3*$B23</f>
        <v>396.77946965699221</v>
      </c>
      <c r="S23" s="306">
        <f t="shared" si="17"/>
        <v>393.78661401122167</v>
      </c>
      <c r="T23" s="306">
        <f t="shared" si="17"/>
        <v>390.81633889480264</v>
      </c>
      <c r="U23" s="306">
        <f t="shared" si="17"/>
        <v>387.86847389680577</v>
      </c>
      <c r="V23" s="306">
        <f t="shared" si="17"/>
        <v>384.94284989266549</v>
      </c>
      <c r="W23" s="306">
        <f t="shared" si="17"/>
        <v>382.03967133991682</v>
      </c>
      <c r="X23" s="306">
        <f t="shared" si="17"/>
        <v>379.15765193411778</v>
      </c>
      <c r="Y23" s="306">
        <f t="shared" si="17"/>
        <v>376.29738237151798</v>
      </c>
      <c r="Z23" s="306">
        <f t="shared" si="17"/>
        <v>373.45978948352462</v>
      </c>
      <c r="AA23" s="306">
        <f t="shared" si="17"/>
        <v>370.64287235414065</v>
      </c>
      <c r="AB23" s="306">
        <f t="shared" si="17"/>
        <v>367.84720801032802</v>
      </c>
      <c r="AC23" s="306">
        <f t="shared" si="17"/>
        <v>365.07263606380133</v>
      </c>
      <c r="AD23" s="324">
        <f t="shared" si="17"/>
        <v>362.31934981531879</v>
      </c>
    </row>
    <row r="24" spans="2:30" x14ac:dyDescent="0.3">
      <c r="B24" s="125">
        <f t="shared" si="13"/>
        <v>6.3934247372440633E-2</v>
      </c>
      <c r="C24" s="121" t="s">
        <v>5</v>
      </c>
      <c r="D24" s="3" t="s">
        <v>15</v>
      </c>
      <c r="E24" s="4">
        <v>0</v>
      </c>
      <c r="F24" s="4">
        <f t="shared" si="14"/>
        <v>0</v>
      </c>
      <c r="G24" s="4">
        <v>0</v>
      </c>
      <c r="H24" s="4">
        <f t="shared" si="14"/>
        <v>0</v>
      </c>
      <c r="I24" s="4">
        <v>0</v>
      </c>
      <c r="J24" s="4">
        <f t="shared" si="15"/>
        <v>0</v>
      </c>
      <c r="K24" s="4">
        <v>0</v>
      </c>
      <c r="L24" s="4">
        <f t="shared" si="16"/>
        <v>195.88499999999999</v>
      </c>
      <c r="M24" s="4">
        <v>391.77</v>
      </c>
      <c r="N24" s="103">
        <v>846.22500000000002</v>
      </c>
      <c r="O24" s="103">
        <v>846.22500000000002</v>
      </c>
      <c r="P24" s="103">
        <v>79.11</v>
      </c>
      <c r="Q24" s="104">
        <v>79.11</v>
      </c>
      <c r="R24" s="306">
        <f t="shared" si="17"/>
        <v>67.375476447116029</v>
      </c>
      <c r="S24" s="306">
        <f t="shared" si="17"/>
        <v>66.867272040155285</v>
      </c>
      <c r="T24" s="306">
        <f t="shared" si="17"/>
        <v>66.362901939250747</v>
      </c>
      <c r="U24" s="306">
        <f t="shared" si="17"/>
        <v>65.862337207629139</v>
      </c>
      <c r="V24" s="306">
        <f t="shared" si="17"/>
        <v>65.36554912694929</v>
      </c>
      <c r="W24" s="306">
        <f t="shared" si="17"/>
        <v>64.872572415297384</v>
      </c>
      <c r="X24" s="306">
        <f t="shared" si="17"/>
        <v>64.383188650649956</v>
      </c>
      <c r="Y24" s="306">
        <f t="shared" si="17"/>
        <v>63.897498136687787</v>
      </c>
      <c r="Z24" s="306">
        <f t="shared" si="17"/>
        <v>63.415658254808875</v>
      </c>
      <c r="AA24" s="306">
        <f t="shared" si="17"/>
        <v>62.937329237764828</v>
      </c>
      <c r="AB24" s="306">
        <f t="shared" si="17"/>
        <v>62.462609068111334</v>
      </c>
      <c r="AC24" s="306">
        <f t="shared" si="17"/>
        <v>61.991470510978729</v>
      </c>
      <c r="AD24" s="324">
        <f t="shared" si="17"/>
        <v>61.5239463899672</v>
      </c>
    </row>
    <row r="25" spans="2:30" x14ac:dyDescent="0.3">
      <c r="B25" s="125">
        <f t="shared" si="13"/>
        <v>1.6910935738444193E-2</v>
      </c>
      <c r="C25" s="121" t="s">
        <v>6</v>
      </c>
      <c r="D25" s="3" t="s">
        <v>15</v>
      </c>
      <c r="E25" s="4">
        <v>0</v>
      </c>
      <c r="F25" s="4">
        <f t="shared" si="14"/>
        <v>0</v>
      </c>
      <c r="G25" s="4">
        <v>0</v>
      </c>
      <c r="H25" s="4">
        <f t="shared" si="14"/>
        <v>0</v>
      </c>
      <c r="I25" s="4">
        <v>0</v>
      </c>
      <c r="J25" s="4">
        <f t="shared" si="15"/>
        <v>0</v>
      </c>
      <c r="K25" s="4">
        <v>0</v>
      </c>
      <c r="L25" s="4">
        <f t="shared" si="16"/>
        <v>34.042499999999997</v>
      </c>
      <c r="M25" s="4">
        <v>68.084999999999994</v>
      </c>
      <c r="N25" s="103">
        <v>149.94</v>
      </c>
      <c r="O25" s="103">
        <v>149.94</v>
      </c>
      <c r="P25" s="103">
        <v>20.925000000000001</v>
      </c>
      <c r="Q25" s="104">
        <v>20.925000000000001</v>
      </c>
      <c r="R25" s="306">
        <f t="shared" si="17"/>
        <v>17.821158445909528</v>
      </c>
      <c r="S25" s="306">
        <f t="shared" si="17"/>
        <v>17.686735778539365</v>
      </c>
      <c r="T25" s="306">
        <f t="shared" si="17"/>
        <v>17.553327304750624</v>
      </c>
      <c r="U25" s="306">
        <f t="shared" si="17"/>
        <v>17.42092537061863</v>
      </c>
      <c r="V25" s="306">
        <f t="shared" si="17"/>
        <v>17.289522379995116</v>
      </c>
      <c r="W25" s="306">
        <f t="shared" si="17"/>
        <v>17.159127515991628</v>
      </c>
      <c r="X25" s="306">
        <f t="shared" si="17"/>
        <v>17.029683004864747</v>
      </c>
      <c r="Y25" s="306">
        <f t="shared" si="17"/>
        <v>16.901215377451546</v>
      </c>
      <c r="Z25" s="306">
        <f t="shared" si="17"/>
        <v>16.773766261937499</v>
      </c>
      <c r="AA25" s="306">
        <f t="shared" si="17"/>
        <v>16.647245788145984</v>
      </c>
      <c r="AB25" s="306">
        <f t="shared" si="17"/>
        <v>16.521679872964601</v>
      </c>
      <c r="AC25" s="306">
        <f t="shared" si="17"/>
        <v>16.397061312630889</v>
      </c>
      <c r="AD25" s="324">
        <f t="shared" si="17"/>
        <v>16.273398789155145</v>
      </c>
    </row>
    <row r="26" spans="2:30" x14ac:dyDescent="0.3">
      <c r="B26" s="125">
        <f t="shared" si="13"/>
        <v>3.2694475760992103E-2</v>
      </c>
      <c r="C26" s="121" t="s">
        <v>7</v>
      </c>
      <c r="D26" s="3" t="s">
        <v>15</v>
      </c>
      <c r="E26" s="4">
        <v>0</v>
      </c>
      <c r="F26" s="4">
        <f t="shared" si="14"/>
        <v>0</v>
      </c>
      <c r="G26" s="4">
        <v>0</v>
      </c>
      <c r="H26" s="4">
        <f t="shared" si="14"/>
        <v>0</v>
      </c>
      <c r="I26" s="4">
        <v>0</v>
      </c>
      <c r="J26" s="4">
        <f t="shared" si="15"/>
        <v>0</v>
      </c>
      <c r="K26" s="4">
        <v>0</v>
      </c>
      <c r="L26" s="4">
        <f t="shared" si="16"/>
        <v>191.20500000000001</v>
      </c>
      <c r="M26" s="4">
        <v>382.41</v>
      </c>
      <c r="N26" s="103">
        <v>1335.2850000000001</v>
      </c>
      <c r="O26" s="103">
        <v>1335.2850000000001</v>
      </c>
      <c r="P26" s="103">
        <v>40.454999999999998</v>
      </c>
      <c r="Q26" s="104">
        <v>40.454999999999998</v>
      </c>
      <c r="R26" s="306">
        <f t="shared" si="17"/>
        <v>34.454239662091751</v>
      </c>
      <c r="S26" s="306">
        <f t="shared" si="17"/>
        <v>34.194355838509438</v>
      </c>
      <c r="T26" s="306">
        <f t="shared" si="17"/>
        <v>33.936432789184536</v>
      </c>
      <c r="U26" s="306">
        <f t="shared" si="17"/>
        <v>33.680455716529345</v>
      </c>
      <c r="V26" s="306">
        <f t="shared" si="17"/>
        <v>33.426409934657222</v>
      </c>
      <c r="W26" s="306">
        <f t="shared" si="17"/>
        <v>33.174313197583807</v>
      </c>
      <c r="X26" s="306">
        <f t="shared" si="17"/>
        <v>32.92405380940518</v>
      </c>
      <c r="Y26" s="306">
        <f t="shared" si="17"/>
        <v>32.675683063072981</v>
      </c>
      <c r="Z26" s="306">
        <f t="shared" si="17"/>
        <v>32.429281439745829</v>
      </c>
      <c r="AA26" s="306">
        <f t="shared" si="17"/>
        <v>32.184675190415568</v>
      </c>
      <c r="AB26" s="306">
        <f t="shared" si="17"/>
        <v>31.94191442106489</v>
      </c>
      <c r="AC26" s="306">
        <f t="shared" si="17"/>
        <v>31.700985204419716</v>
      </c>
      <c r="AD26" s="324">
        <f t="shared" si="17"/>
        <v>31.461904325699944</v>
      </c>
    </row>
    <row r="27" spans="2:30" x14ac:dyDescent="0.3">
      <c r="B27" s="125">
        <f t="shared" si="13"/>
        <v>1.596537804124086E-2</v>
      </c>
      <c r="C27" s="121" t="s">
        <v>8</v>
      </c>
      <c r="D27" s="3" t="s">
        <v>15</v>
      </c>
      <c r="E27" s="4">
        <v>0</v>
      </c>
      <c r="F27" s="4">
        <f t="shared" si="14"/>
        <v>0</v>
      </c>
      <c r="G27" s="4">
        <v>0</v>
      </c>
      <c r="H27" s="4">
        <f t="shared" si="14"/>
        <v>0</v>
      </c>
      <c r="I27" s="4">
        <v>0</v>
      </c>
      <c r="J27" s="4">
        <f t="shared" si="15"/>
        <v>0</v>
      </c>
      <c r="K27" s="4">
        <v>0</v>
      </c>
      <c r="L27" s="4">
        <f t="shared" si="16"/>
        <v>20.317499999999999</v>
      </c>
      <c r="M27" s="4">
        <v>40.634999999999998</v>
      </c>
      <c r="N27" s="103">
        <v>342.85500000000002</v>
      </c>
      <c r="O27" s="103">
        <v>342.85500000000002</v>
      </c>
      <c r="P27" s="103">
        <v>19.754999999999999</v>
      </c>
      <c r="Q27" s="104">
        <v>19.754999999999999</v>
      </c>
      <c r="R27" s="306">
        <f t="shared" si="17"/>
        <v>16.824706575815661</v>
      </c>
      <c r="S27" s="306">
        <f t="shared" si="17"/>
        <v>16.697800014578025</v>
      </c>
      <c r="T27" s="306">
        <f t="shared" si="17"/>
        <v>16.571850939323706</v>
      </c>
      <c r="U27" s="306">
        <f t="shared" si="17"/>
        <v>16.446852124089414</v>
      </c>
      <c r="V27" s="306">
        <f t="shared" si="17"/>
        <v>16.322796397457754</v>
      </c>
      <c r="W27" s="306">
        <f t="shared" si="17"/>
        <v>16.199692429075963</v>
      </c>
      <c r="X27" s="306">
        <f t="shared" si="17"/>
        <v>16.077485675560482</v>
      </c>
      <c r="Y27" s="306">
        <f t="shared" si="17"/>
        <v>15.956201184303715</v>
      </c>
      <c r="Z27" s="306">
        <f t="shared" si="17"/>
        <v>15.835878255893681</v>
      </c>
      <c r="AA27" s="306">
        <f t="shared" si="17"/>
        <v>15.716432045152875</v>
      </c>
      <c r="AB27" s="306">
        <f t="shared" si="17"/>
        <v>15.5978870198526</v>
      </c>
      <c r="AC27" s="306">
        <f t="shared" si="17"/>
        <v>15.48023637902142</v>
      </c>
      <c r="AD27" s="324">
        <f t="shared" si="17"/>
        <v>15.363488319223888</v>
      </c>
    </row>
    <row r="28" spans="2:30" x14ac:dyDescent="0.3">
      <c r="B28" s="125">
        <f t="shared" si="13"/>
        <v>3.0221478706768012E-2</v>
      </c>
      <c r="C28" s="121" t="s">
        <v>9</v>
      </c>
      <c r="D28" s="3" t="s">
        <v>15</v>
      </c>
      <c r="E28" s="4">
        <v>0</v>
      </c>
      <c r="F28" s="4">
        <f t="shared" si="14"/>
        <v>0</v>
      </c>
      <c r="G28" s="4">
        <v>0</v>
      </c>
      <c r="H28" s="4">
        <f t="shared" si="14"/>
        <v>0</v>
      </c>
      <c r="I28" s="4">
        <v>0</v>
      </c>
      <c r="J28" s="4">
        <f t="shared" si="15"/>
        <v>0</v>
      </c>
      <c r="K28" s="4">
        <v>0</v>
      </c>
      <c r="L28" s="4">
        <f t="shared" si="16"/>
        <v>65.227500000000006</v>
      </c>
      <c r="M28" s="4">
        <v>130.45500000000001</v>
      </c>
      <c r="N28" s="103">
        <v>582.12</v>
      </c>
      <c r="O28" s="103">
        <v>582.12</v>
      </c>
      <c r="P28" s="103">
        <v>37.395000000000003</v>
      </c>
      <c r="Q28" s="104">
        <v>37.395000000000003</v>
      </c>
      <c r="R28" s="306">
        <f t="shared" si="17"/>
        <v>31.848134771077032</v>
      </c>
      <c r="S28" s="306">
        <f t="shared" si="17"/>
        <v>31.607908455841322</v>
      </c>
      <c r="T28" s="306">
        <f t="shared" si="17"/>
        <v>31.369494602683375</v>
      </c>
      <c r="U28" s="306">
        <f t="shared" si="17"/>
        <v>31.1328795332991</v>
      </c>
      <c r="V28" s="306">
        <f t="shared" si="17"/>
        <v>30.898049672636436</v>
      </c>
      <c r="W28" s="306">
        <f t="shared" si="17"/>
        <v>30.665021431804394</v>
      </c>
      <c r="X28" s="306">
        <f t="shared" si="17"/>
        <v>30.433691563532488</v>
      </c>
      <c r="Y28" s="306">
        <f t="shared" si="17"/>
        <v>30.204107480994054</v>
      </c>
      <c r="Z28" s="306">
        <f t="shared" si="17"/>
        <v>29.976343577785084</v>
      </c>
      <c r="AA28" s="306">
        <f t="shared" si="17"/>
        <v>29.750239247202828</v>
      </c>
      <c r="AB28" s="306">
        <f t="shared" si="17"/>
        <v>29.525840805233514</v>
      </c>
      <c r="AC28" s="306">
        <f t="shared" si="17"/>
        <v>29.303135378056496</v>
      </c>
      <c r="AD28" s="324">
        <f t="shared" si="17"/>
        <v>29.082138481264359</v>
      </c>
    </row>
    <row r="29" spans="2:30" x14ac:dyDescent="0.3">
      <c r="B29" s="125">
        <f t="shared" si="13"/>
        <v>0.11375786449430846</v>
      </c>
      <c r="C29" s="121" t="s">
        <v>10</v>
      </c>
      <c r="D29" s="3" t="s">
        <v>15</v>
      </c>
      <c r="E29" s="4">
        <v>0</v>
      </c>
      <c r="F29" s="4">
        <f t="shared" si="14"/>
        <v>0</v>
      </c>
      <c r="G29" s="4">
        <v>0</v>
      </c>
      <c r="H29" s="4">
        <f t="shared" si="14"/>
        <v>0</v>
      </c>
      <c r="I29" s="4">
        <v>0</v>
      </c>
      <c r="J29" s="4">
        <f t="shared" si="15"/>
        <v>0</v>
      </c>
      <c r="K29" s="4">
        <v>0</v>
      </c>
      <c r="L29" s="4">
        <f t="shared" si="16"/>
        <v>8.7524999999999995</v>
      </c>
      <c r="M29" s="4">
        <v>17.504999999999999</v>
      </c>
      <c r="N29" s="103">
        <v>102.69</v>
      </c>
      <c r="O29" s="103">
        <v>102.69</v>
      </c>
      <c r="P29" s="103">
        <v>140.76</v>
      </c>
      <c r="Q29" s="104">
        <v>140.76</v>
      </c>
      <c r="R29" s="306">
        <f t="shared" si="17"/>
        <v>119.88082498667742</v>
      </c>
      <c r="S29" s="306">
        <f t="shared" si="17"/>
        <v>118.97657960273362</v>
      </c>
      <c r="T29" s="306">
        <f t="shared" si="17"/>
        <v>118.07915657905365</v>
      </c>
      <c r="U29" s="306">
        <f t="shared" si="17"/>
        <v>117.18850442859153</v>
      </c>
      <c r="V29" s="306">
        <f t="shared" si="17"/>
        <v>116.30457205295639</v>
      </c>
      <c r="W29" s="306">
        <f t="shared" si="17"/>
        <v>115.42742122585334</v>
      </c>
      <c r="X29" s="306">
        <f t="shared" si="17"/>
        <v>114.55666331014393</v>
      </c>
      <c r="Y29" s="306">
        <f t="shared" si="17"/>
        <v>113.69247677563104</v>
      </c>
      <c r="Z29" s="306">
        <f t="shared" si="17"/>
        <v>112.83514165019461</v>
      </c>
      <c r="AA29" s="306">
        <f t="shared" si="17"/>
        <v>111.98405338778632</v>
      </c>
      <c r="AB29" s="306">
        <f t="shared" si="17"/>
        <v>111.13938632824359</v>
      </c>
      <c r="AC29" s="306">
        <f t="shared" si="17"/>
        <v>110.30109201270844</v>
      </c>
      <c r="AD29" s="324">
        <f t="shared" si="17"/>
        <v>109.46922884403719</v>
      </c>
    </row>
    <row r="30" spans="2:30" x14ac:dyDescent="0.3">
      <c r="B30" s="125">
        <f t="shared" si="13"/>
        <v>2.9094082990871733E-4</v>
      </c>
      <c r="C30" s="121" t="s">
        <v>11</v>
      </c>
      <c r="D30" s="3" t="s">
        <v>15</v>
      </c>
      <c r="E30" s="4">
        <v>0</v>
      </c>
      <c r="F30" s="4">
        <f t="shared" si="14"/>
        <v>0</v>
      </c>
      <c r="G30" s="4">
        <v>0</v>
      </c>
      <c r="H30" s="4">
        <f t="shared" si="14"/>
        <v>0</v>
      </c>
      <c r="I30" s="4">
        <v>0</v>
      </c>
      <c r="J30" s="4">
        <f t="shared" si="15"/>
        <v>0</v>
      </c>
      <c r="K30" s="4">
        <v>0</v>
      </c>
      <c r="L30" s="4">
        <f t="shared" si="16"/>
        <v>0.87749999999999995</v>
      </c>
      <c r="M30" s="4">
        <v>1.7549999999999999</v>
      </c>
      <c r="N30" s="103">
        <v>23.535</v>
      </c>
      <c r="O30" s="103">
        <v>23.535</v>
      </c>
      <c r="P30" s="103">
        <v>0.36</v>
      </c>
      <c r="Q30" s="104">
        <v>0.36</v>
      </c>
      <c r="R30" s="306">
        <f t="shared" si="17"/>
        <v>0.30660057541349728</v>
      </c>
      <c r="S30" s="306">
        <f t="shared" si="17"/>
        <v>0.30428792737272031</v>
      </c>
      <c r="T30" s="306">
        <f t="shared" si="17"/>
        <v>0.30199272782366665</v>
      </c>
      <c r="U30" s="306">
        <f t="shared" si="17"/>
        <v>0.2997148450859119</v>
      </c>
      <c r="V30" s="306">
        <f t="shared" si="17"/>
        <v>0.29745414847303425</v>
      </c>
      <c r="W30" s="306">
        <f t="shared" si="17"/>
        <v>0.29521079597404953</v>
      </c>
      <c r="X30" s="306">
        <f t="shared" si="17"/>
        <v>0.29298379363208171</v>
      </c>
      <c r="Y30" s="306">
        <f t="shared" si="17"/>
        <v>0.29077359789163953</v>
      </c>
      <c r="Z30" s="306">
        <f t="shared" si="17"/>
        <v>0.28858092493655918</v>
      </c>
      <c r="AA30" s="306">
        <f t="shared" si="17"/>
        <v>0.28640422861326431</v>
      </c>
      <c r="AB30" s="306">
        <f t="shared" si="17"/>
        <v>0.28424395480369208</v>
      </c>
      <c r="AC30" s="306">
        <f t="shared" si="17"/>
        <v>0.28209997957214439</v>
      </c>
      <c r="AD30" s="324">
        <f t="shared" si="17"/>
        <v>0.27997245228654016</v>
      </c>
    </row>
    <row r="31" spans="2:30" x14ac:dyDescent="0.3">
      <c r="B31" s="125">
        <f t="shared" si="13"/>
        <v>0.348401643815689</v>
      </c>
      <c r="C31" s="121" t="s">
        <v>12</v>
      </c>
      <c r="D31" s="3" t="s">
        <v>15</v>
      </c>
      <c r="E31" s="4">
        <v>1629.9900000000002</v>
      </c>
      <c r="F31" s="4">
        <f t="shared" si="14"/>
        <v>1629.9900000000002</v>
      </c>
      <c r="G31" s="4">
        <v>1629.9900000000002</v>
      </c>
      <c r="H31" s="4">
        <f t="shared" si="14"/>
        <v>1629.9900000000002</v>
      </c>
      <c r="I31" s="4">
        <v>1629.9900000000002</v>
      </c>
      <c r="J31" s="4">
        <f t="shared" si="15"/>
        <v>869.7600000000001</v>
      </c>
      <c r="K31" s="4">
        <v>109.53</v>
      </c>
      <c r="L31" s="4">
        <f t="shared" si="16"/>
        <v>2240.5749999999998</v>
      </c>
      <c r="M31" s="4">
        <v>4371.62</v>
      </c>
      <c r="N31" s="103">
        <v>257</v>
      </c>
      <c r="O31" s="103">
        <v>257</v>
      </c>
      <c r="P31" s="103">
        <v>431.1</v>
      </c>
      <c r="Q31" s="104">
        <v>431.1</v>
      </c>
      <c r="R31" s="306">
        <f t="shared" si="17"/>
        <v>367.15418905766302</v>
      </c>
      <c r="S31" s="306">
        <f t="shared" si="17"/>
        <v>364.38479302883258</v>
      </c>
      <c r="T31" s="306">
        <f t="shared" si="17"/>
        <v>361.63629156884082</v>
      </c>
      <c r="U31" s="306">
        <f t="shared" si="17"/>
        <v>358.90852699037953</v>
      </c>
      <c r="V31" s="306">
        <f t="shared" si="17"/>
        <v>356.20134279645856</v>
      </c>
      <c r="W31" s="306">
        <f t="shared" si="17"/>
        <v>353.51492817892432</v>
      </c>
      <c r="X31" s="306">
        <f t="shared" si="17"/>
        <v>350.84809287441789</v>
      </c>
      <c r="Y31" s="306">
        <f t="shared" si="17"/>
        <v>348.20138347523834</v>
      </c>
      <c r="Z31" s="306">
        <f t="shared" si="17"/>
        <v>345.57565761152961</v>
      </c>
      <c r="AA31" s="306">
        <f t="shared" si="17"/>
        <v>342.96906376438398</v>
      </c>
      <c r="AB31" s="306">
        <f t="shared" si="17"/>
        <v>340.38213587742126</v>
      </c>
      <c r="AC31" s="306">
        <f t="shared" si="17"/>
        <v>337.81472553764291</v>
      </c>
      <c r="AD31" s="324">
        <f t="shared" si="17"/>
        <v>335.26701161313184</v>
      </c>
    </row>
    <row r="32" spans="2:30" x14ac:dyDescent="0.3">
      <c r="B32" s="126"/>
      <c r="C32" s="121" t="s">
        <v>3</v>
      </c>
      <c r="D32" s="3" t="s">
        <v>15</v>
      </c>
      <c r="E32" s="4">
        <v>66529.460000000006</v>
      </c>
      <c r="F32" s="4">
        <f t="shared" si="14"/>
        <v>66529.460000000006</v>
      </c>
      <c r="G32" s="4">
        <v>66529.460000000006</v>
      </c>
      <c r="H32" s="4">
        <f t="shared" si="14"/>
        <v>66529.460000000006</v>
      </c>
      <c r="I32" s="4">
        <v>66529.460000000006</v>
      </c>
      <c r="J32" s="4">
        <f t="shared" si="15"/>
        <v>44241.83</v>
      </c>
      <c r="K32" s="4">
        <v>21954.2</v>
      </c>
      <c r="L32" s="4">
        <f t="shared" si="16"/>
        <v>19003.055</v>
      </c>
      <c r="M32" s="4">
        <v>16051.91</v>
      </c>
      <c r="N32" s="4">
        <v>7562.6099999999988</v>
      </c>
      <c r="O32" s="4">
        <v>7562.6099999999988</v>
      </c>
      <c r="P32" s="4">
        <v>10864.710000000001</v>
      </c>
      <c r="Q32" s="4">
        <v>10864.710000000001</v>
      </c>
      <c r="R32" s="307">
        <v>10864.710000000001</v>
      </c>
      <c r="S32" s="307">
        <v>10864.710000000001</v>
      </c>
      <c r="T32" s="307">
        <v>10864.710000000001</v>
      </c>
      <c r="U32" s="307">
        <v>10864.710000000001</v>
      </c>
      <c r="V32" s="307">
        <v>10864.710000000001</v>
      </c>
      <c r="W32" s="307">
        <v>10864.710000000001</v>
      </c>
      <c r="X32" s="307">
        <v>10864.710000000001</v>
      </c>
      <c r="Y32" s="307">
        <v>10864.710000000001</v>
      </c>
      <c r="Z32" s="307">
        <v>10864.710000000001</v>
      </c>
      <c r="AA32" s="307">
        <v>10864.710000000001</v>
      </c>
      <c r="AB32" s="307">
        <v>10864.710000000001</v>
      </c>
      <c r="AC32" s="307">
        <v>10864.710000000001</v>
      </c>
      <c r="AD32" s="308">
        <v>10864.710000000001</v>
      </c>
    </row>
    <row r="33" spans="2:30" x14ac:dyDescent="0.3">
      <c r="B33" s="6"/>
      <c r="C33" s="121" t="s">
        <v>16</v>
      </c>
      <c r="D33" s="3" t="s">
        <v>15</v>
      </c>
      <c r="E33" s="4">
        <v>12.48</v>
      </c>
      <c r="F33" s="4">
        <f t="shared" si="14"/>
        <v>12.48</v>
      </c>
      <c r="G33" s="4">
        <v>12.48</v>
      </c>
      <c r="H33" s="4">
        <f t="shared" si="14"/>
        <v>12.48</v>
      </c>
      <c r="I33" s="4">
        <v>12.48</v>
      </c>
      <c r="J33" s="4">
        <f t="shared" si="15"/>
        <v>1375.46</v>
      </c>
      <c r="K33" s="4">
        <v>2738.44</v>
      </c>
      <c r="L33" s="4">
        <f t="shared" si="16"/>
        <v>1722.3600000000001</v>
      </c>
      <c r="M33" s="4">
        <v>706.28</v>
      </c>
      <c r="N33" s="4">
        <v>104.13</v>
      </c>
      <c r="O33" s="4">
        <v>104.13</v>
      </c>
      <c r="P33" s="4">
        <v>2137.0049999999997</v>
      </c>
      <c r="Q33" s="4">
        <v>2137.0049999999997</v>
      </c>
      <c r="R33" s="307">
        <v>2137.0049999999997</v>
      </c>
      <c r="S33" s="307">
        <v>2137.0049999999997</v>
      </c>
      <c r="T33" s="307">
        <v>2137.0049999999997</v>
      </c>
      <c r="U33" s="307">
        <v>2137.0049999999997</v>
      </c>
      <c r="V33" s="307">
        <v>2137.0049999999997</v>
      </c>
      <c r="W33" s="307">
        <v>2137.0049999999997</v>
      </c>
      <c r="X33" s="307">
        <v>2137.0049999999997</v>
      </c>
      <c r="Y33" s="307">
        <v>2137.0049999999997</v>
      </c>
      <c r="Z33" s="307">
        <v>2137.0049999999997</v>
      </c>
      <c r="AA33" s="307">
        <v>2137.0049999999997</v>
      </c>
      <c r="AB33" s="307">
        <v>2137.0049999999997</v>
      </c>
      <c r="AC33" s="307">
        <v>2137.0049999999997</v>
      </c>
      <c r="AD33" s="308">
        <v>2137.0049999999997</v>
      </c>
    </row>
    <row r="34" spans="2:30" x14ac:dyDescent="0.3">
      <c r="B34" s="5"/>
      <c r="C34" s="122" t="s">
        <v>14</v>
      </c>
      <c r="D34" s="3" t="s">
        <v>15</v>
      </c>
      <c r="E34" s="4">
        <v>3687.21</v>
      </c>
      <c r="F34" s="4">
        <f t="shared" si="14"/>
        <v>3687.21</v>
      </c>
      <c r="G34" s="4">
        <v>3687.21</v>
      </c>
      <c r="H34" s="4">
        <f t="shared" si="14"/>
        <v>3687.21</v>
      </c>
      <c r="I34" s="4">
        <v>3687.21</v>
      </c>
      <c r="J34" s="4">
        <f t="shared" si="15"/>
        <v>4063.3449999999998</v>
      </c>
      <c r="K34" s="4">
        <v>4439.4799999999996</v>
      </c>
      <c r="L34" s="4">
        <f t="shared" si="16"/>
        <v>3868.1124999999997</v>
      </c>
      <c r="M34" s="4">
        <v>3296.7449999999999</v>
      </c>
      <c r="N34" s="103">
        <v>322.43</v>
      </c>
      <c r="O34" s="103">
        <v>322.43</v>
      </c>
      <c r="P34" s="4">
        <v>2590.5199999999995</v>
      </c>
      <c r="Q34" s="36">
        <v>2590.5199999999995</v>
      </c>
      <c r="R34" s="307">
        <v>2590.5199999999995</v>
      </c>
      <c r="S34" s="307">
        <v>2590.5199999999995</v>
      </c>
      <c r="T34" s="307">
        <v>2590.5199999999995</v>
      </c>
      <c r="U34" s="307">
        <v>2590.5199999999995</v>
      </c>
      <c r="V34" s="307">
        <v>2590.5199999999995</v>
      </c>
      <c r="W34" s="307">
        <v>2590.5199999999995</v>
      </c>
      <c r="X34" s="307">
        <v>2590.5199999999995</v>
      </c>
      <c r="Y34" s="307">
        <v>2590.5199999999995</v>
      </c>
      <c r="Z34" s="307">
        <v>2590.5199999999995</v>
      </c>
      <c r="AA34" s="307">
        <v>2590.5199999999995</v>
      </c>
      <c r="AB34" s="307">
        <v>2590.5199999999995</v>
      </c>
      <c r="AC34" s="307">
        <v>2590.5199999999995</v>
      </c>
      <c r="AD34" s="308">
        <v>2590.5199999999995</v>
      </c>
    </row>
    <row r="35" spans="2:30" ht="15" thickBot="1" x14ac:dyDescent="0.35">
      <c r="B35" s="105"/>
      <c r="C35" s="127" t="s">
        <v>15</v>
      </c>
      <c r="D35" s="106" t="s">
        <v>15</v>
      </c>
      <c r="E35" s="107">
        <v>332101.5</v>
      </c>
      <c r="F35" s="107">
        <f t="shared" si="14"/>
        <v>332101.5</v>
      </c>
      <c r="G35" s="107">
        <v>332101.5</v>
      </c>
      <c r="H35" s="107">
        <f t="shared" si="14"/>
        <v>332101.5</v>
      </c>
      <c r="I35" s="107">
        <v>332101.5</v>
      </c>
      <c r="J35" s="107">
        <f t="shared" si="15"/>
        <v>741801.75</v>
      </c>
      <c r="K35" s="107">
        <v>1151502</v>
      </c>
      <c r="L35" s="107">
        <f t="shared" si="16"/>
        <v>1156595.5</v>
      </c>
      <c r="M35" s="107">
        <v>1161689</v>
      </c>
      <c r="N35" s="108">
        <v>1152286.92</v>
      </c>
      <c r="O35" s="108">
        <v>1152286.92</v>
      </c>
      <c r="P35" s="107">
        <v>1135752.7050000001</v>
      </c>
      <c r="Q35" s="109">
        <v>1135752.7050000001</v>
      </c>
      <c r="R35" s="309">
        <v>1135752.7050000001</v>
      </c>
      <c r="S35" s="309">
        <v>1135752.7050000001</v>
      </c>
      <c r="T35" s="309">
        <v>1135752.7050000001</v>
      </c>
      <c r="U35" s="309">
        <v>1135752.7050000001</v>
      </c>
      <c r="V35" s="309">
        <v>1135752.7050000001</v>
      </c>
      <c r="W35" s="309">
        <v>1135752.7050000001</v>
      </c>
      <c r="X35" s="309">
        <v>1135752.7050000001</v>
      </c>
      <c r="Y35" s="309">
        <v>1135752.7050000001</v>
      </c>
      <c r="Z35" s="309">
        <v>1135752.7050000001</v>
      </c>
      <c r="AA35" s="309">
        <v>1135752.7050000001</v>
      </c>
      <c r="AB35" s="309">
        <v>1135752.7050000001</v>
      </c>
      <c r="AC35" s="309">
        <v>1135752.7050000001</v>
      </c>
      <c r="AD35" s="310">
        <v>1135752.7050000001</v>
      </c>
    </row>
    <row r="37" spans="2:30" x14ac:dyDescent="0.3">
      <c r="B37" s="110" t="s">
        <v>16</v>
      </c>
      <c r="C37" s="113"/>
      <c r="D37" s="114"/>
      <c r="E37" s="115"/>
      <c r="F37" s="115"/>
      <c r="G37" s="115"/>
      <c r="H37" s="115"/>
      <c r="I37" s="115"/>
      <c r="J37" s="115"/>
      <c r="K37" s="115"/>
      <c r="L37" s="115"/>
      <c r="M37" s="115"/>
      <c r="N37" s="115"/>
      <c r="O37" s="115"/>
      <c r="P37" s="115"/>
      <c r="Q37" s="115"/>
      <c r="R37" s="115"/>
      <c r="S37" s="115"/>
      <c r="T37" s="115"/>
      <c r="U37" s="115"/>
      <c r="V37" s="115"/>
      <c r="W37" s="115"/>
      <c r="X37" s="115"/>
      <c r="Y37" s="115"/>
      <c r="Z37" s="115"/>
      <c r="AA37" s="115"/>
      <c r="AB37" s="115"/>
      <c r="AC37" s="115"/>
      <c r="AD37" s="115"/>
    </row>
    <row r="38" spans="2:30" ht="15" thickBot="1" x14ac:dyDescent="0.35">
      <c r="B38" s="116">
        <f>+SUM(Q39:Q48)/(SUM(Q22:Q31)+SUM(Q39:Q48)+SUM(Q56:Q65)+SUM(Q74:Q83)+SUM(Q4:Q13))</f>
        <v>6.5262563484503586E-2</v>
      </c>
      <c r="C38" s="111"/>
      <c r="D38" s="112"/>
      <c r="E38" s="110"/>
      <c r="F38" s="110"/>
      <c r="G38" s="110"/>
      <c r="H38" s="110"/>
      <c r="I38" s="110"/>
      <c r="J38" s="110"/>
      <c r="K38" s="110"/>
      <c r="L38" s="110"/>
      <c r="M38" s="110"/>
      <c r="N38" s="110"/>
      <c r="O38" s="110"/>
      <c r="P38" s="110"/>
      <c r="Q38" s="110"/>
      <c r="R38" s="110"/>
      <c r="S38" s="110"/>
      <c r="T38" s="110"/>
      <c r="U38" s="110"/>
      <c r="V38" s="110"/>
      <c r="W38" s="110"/>
      <c r="X38" s="110"/>
      <c r="Y38" s="110"/>
      <c r="Z38" s="110"/>
      <c r="AA38" s="110"/>
      <c r="AB38" s="110"/>
      <c r="AC38" s="110"/>
      <c r="AD38" s="110"/>
    </row>
    <row r="39" spans="2:30" x14ac:dyDescent="0.3">
      <c r="B39" s="123">
        <f>+Q39/SUM(Q$39:Q$48)</f>
        <v>1.3040973783145808E-3</v>
      </c>
      <c r="C39" s="124" t="s">
        <v>2</v>
      </c>
      <c r="D39" s="1" t="s">
        <v>16</v>
      </c>
      <c r="E39" s="2">
        <v>0</v>
      </c>
      <c r="F39" s="2">
        <f>+(E39+G39)/2</f>
        <v>0</v>
      </c>
      <c r="G39" s="2">
        <v>0</v>
      </c>
      <c r="H39" s="2">
        <f>+(G39+I39)/2</f>
        <v>0</v>
      </c>
      <c r="I39" s="2">
        <v>0</v>
      </c>
      <c r="J39" s="2">
        <f>+(I39+K39)/2</f>
        <v>0</v>
      </c>
      <c r="K39" s="2">
        <v>0</v>
      </c>
      <c r="L39" s="2">
        <f>+(K39+M39)/2</f>
        <v>0</v>
      </c>
      <c r="M39" s="2">
        <v>0</v>
      </c>
      <c r="N39" s="102">
        <v>57.06</v>
      </c>
      <c r="O39" s="102">
        <v>57.06</v>
      </c>
      <c r="P39" s="2">
        <v>9.1349999999999998</v>
      </c>
      <c r="Q39" s="35">
        <v>9.1349999999999998</v>
      </c>
      <c r="R39" s="305">
        <f>$B$38*R$3*$B39</f>
        <v>7.7799896011174932</v>
      </c>
      <c r="S39" s="305">
        <f t="shared" ref="S39:AD39" si="18">$B$38*S$3*$B39</f>
        <v>7.7213061570827781</v>
      </c>
      <c r="T39" s="305">
        <f t="shared" si="18"/>
        <v>7.6630654685255424</v>
      </c>
      <c r="U39" s="305">
        <f t="shared" si="18"/>
        <v>7.6052641940550147</v>
      </c>
      <c r="V39" s="305">
        <f t="shared" si="18"/>
        <v>7.5478990175032452</v>
      </c>
      <c r="W39" s="305">
        <f t="shared" si="18"/>
        <v>7.4909739478415069</v>
      </c>
      <c r="X39" s="305">
        <f t="shared" si="18"/>
        <v>7.4344637634140733</v>
      </c>
      <c r="Y39" s="305">
        <f t="shared" si="18"/>
        <v>7.378380046500352</v>
      </c>
      <c r="Z39" s="305">
        <f t="shared" si="18"/>
        <v>7.3227409702651887</v>
      </c>
      <c r="AA39" s="305">
        <f t="shared" si="18"/>
        <v>7.2675073010615803</v>
      </c>
      <c r="AB39" s="305">
        <f t="shared" si="18"/>
        <v>7.2126903531436861</v>
      </c>
      <c r="AC39" s="305">
        <f t="shared" si="18"/>
        <v>7.1582869816431627</v>
      </c>
      <c r="AD39" s="323">
        <f t="shared" si="18"/>
        <v>7.1043009767709568</v>
      </c>
    </row>
    <row r="40" spans="2:30" x14ac:dyDescent="0.3">
      <c r="B40" s="125">
        <f t="shared" ref="B40:B48" si="19">+Q40/SUM(Q$39:Q$48)</f>
        <v>2.9037045073802489E-3</v>
      </c>
      <c r="C40" s="121" t="s">
        <v>4</v>
      </c>
      <c r="D40" s="3" t="s">
        <v>16</v>
      </c>
      <c r="E40" s="4">
        <v>185.4</v>
      </c>
      <c r="F40" s="4">
        <f t="shared" ref="F40:H52" si="20">+(E40+G40)/2</f>
        <v>185.4</v>
      </c>
      <c r="G40" s="4">
        <v>185.4</v>
      </c>
      <c r="H40" s="4">
        <f t="shared" si="20"/>
        <v>185.4</v>
      </c>
      <c r="I40" s="4">
        <v>185.4</v>
      </c>
      <c r="J40" s="4">
        <f t="shared" ref="J40:J52" si="21">+(I40+K40)/2</f>
        <v>190.50749999999999</v>
      </c>
      <c r="K40" s="4">
        <v>195.61499999999998</v>
      </c>
      <c r="L40" s="4">
        <f>+(K40+M40)/2</f>
        <v>133.49250000000001</v>
      </c>
      <c r="M40" s="4">
        <v>71.37</v>
      </c>
      <c r="N40" s="103">
        <v>97.2</v>
      </c>
      <c r="O40" s="103">
        <v>97.2</v>
      </c>
      <c r="P40" s="103">
        <v>20.34</v>
      </c>
      <c r="Q40" s="104">
        <v>20.34</v>
      </c>
      <c r="R40" s="306">
        <f t="shared" ref="R40:AD48" si="22">$B$38*R$3*$B40</f>
        <v>17.322932510862596</v>
      </c>
      <c r="S40" s="306">
        <f t="shared" si="22"/>
        <v>17.1922678965587</v>
      </c>
      <c r="T40" s="306">
        <f t="shared" si="22"/>
        <v>17.062589122037167</v>
      </c>
      <c r="U40" s="306">
        <f t="shared" si="22"/>
        <v>16.933888747354025</v>
      </c>
      <c r="V40" s="306">
        <f t="shared" si="22"/>
        <v>16.806159388726439</v>
      </c>
      <c r="W40" s="306">
        <f t="shared" si="22"/>
        <v>16.679409972533801</v>
      </c>
      <c r="X40" s="306">
        <f t="shared" si="22"/>
        <v>16.553584340212616</v>
      </c>
      <c r="Y40" s="306">
        <f t="shared" si="22"/>
        <v>16.428708280877633</v>
      </c>
      <c r="Z40" s="306">
        <f t="shared" si="22"/>
        <v>16.304822258915593</v>
      </c>
      <c r="AA40" s="306">
        <f t="shared" si="22"/>
        <v>16.181838916649429</v>
      </c>
      <c r="AB40" s="306">
        <f t="shared" si="22"/>
        <v>16.059783446408602</v>
      </c>
      <c r="AC40" s="306">
        <f t="shared" si="22"/>
        <v>15.938648845826156</v>
      </c>
      <c r="AD40" s="324">
        <f t="shared" si="22"/>
        <v>15.818443554189521</v>
      </c>
    </row>
    <row r="41" spans="2:30" x14ac:dyDescent="0.3">
      <c r="B41" s="125">
        <f t="shared" si="19"/>
        <v>6.568667829195364E-2</v>
      </c>
      <c r="C41" s="121" t="s">
        <v>5</v>
      </c>
      <c r="D41" s="3" t="s">
        <v>16</v>
      </c>
      <c r="E41" s="4">
        <v>0</v>
      </c>
      <c r="F41" s="4">
        <f t="shared" si="20"/>
        <v>0</v>
      </c>
      <c r="G41" s="4">
        <v>0</v>
      </c>
      <c r="H41" s="4">
        <f t="shared" si="20"/>
        <v>0</v>
      </c>
      <c r="I41" s="4">
        <v>0</v>
      </c>
      <c r="J41" s="4">
        <f t="shared" si="21"/>
        <v>0</v>
      </c>
      <c r="K41" s="4">
        <v>0</v>
      </c>
      <c r="L41" s="4">
        <f t="shared" ref="L41:L52" si="23">+(K41+M41)/2</f>
        <v>0.5625</v>
      </c>
      <c r="M41" s="4">
        <v>1.125</v>
      </c>
      <c r="N41" s="103">
        <v>731.3</v>
      </c>
      <c r="O41" s="103">
        <v>731.3</v>
      </c>
      <c r="P41" s="103">
        <v>460.125</v>
      </c>
      <c r="Q41" s="104">
        <v>460.125</v>
      </c>
      <c r="R41" s="306">
        <f t="shared" si="22"/>
        <v>391.87386045037624</v>
      </c>
      <c r="S41" s="306">
        <f t="shared" si="22"/>
        <v>388.91800717325816</v>
      </c>
      <c r="T41" s="306">
        <f t="shared" si="22"/>
        <v>385.98445524962398</v>
      </c>
      <c r="U41" s="306">
        <f t="shared" si="22"/>
        <v>383.07303637543117</v>
      </c>
      <c r="V41" s="306">
        <f t="shared" si="22"/>
        <v>380.18358351709696</v>
      </c>
      <c r="W41" s="306">
        <f t="shared" si="22"/>
        <v>377.31629860433208</v>
      </c>
      <c r="X41" s="306">
        <f t="shared" si="22"/>
        <v>374.46991123600446</v>
      </c>
      <c r="Y41" s="306">
        <f t="shared" si="22"/>
        <v>371.64500480525174</v>
      </c>
      <c r="Z41" s="306">
        <f t="shared" si="22"/>
        <v>368.8424946845397</v>
      </c>
      <c r="AA41" s="306">
        <f t="shared" si="22"/>
        <v>366.06040469632836</v>
      </c>
      <c r="AB41" s="306">
        <f t="shared" si="22"/>
        <v>363.29930473346894</v>
      </c>
      <c r="AC41" s="306">
        <f t="shared" si="22"/>
        <v>360.55903639064701</v>
      </c>
      <c r="AD41" s="324">
        <f t="shared" si="22"/>
        <v>357.83979057873415</v>
      </c>
    </row>
    <row r="42" spans="2:30" x14ac:dyDescent="0.3">
      <c r="B42" s="125">
        <f t="shared" si="19"/>
        <v>0.13568394446986337</v>
      </c>
      <c r="C42" s="121" t="s">
        <v>6</v>
      </c>
      <c r="D42" s="3" t="s">
        <v>16</v>
      </c>
      <c r="E42" s="4">
        <v>0</v>
      </c>
      <c r="F42" s="4">
        <f t="shared" si="20"/>
        <v>0</v>
      </c>
      <c r="G42" s="4">
        <v>0</v>
      </c>
      <c r="H42" s="4">
        <f t="shared" si="20"/>
        <v>0</v>
      </c>
      <c r="I42" s="4">
        <v>0</v>
      </c>
      <c r="J42" s="4">
        <f t="shared" si="21"/>
        <v>0</v>
      </c>
      <c r="K42" s="4">
        <v>0</v>
      </c>
      <c r="L42" s="4">
        <f t="shared" si="23"/>
        <v>2.2949999999999999</v>
      </c>
      <c r="M42" s="4">
        <v>4.59</v>
      </c>
      <c r="N42" s="103">
        <v>237.2</v>
      </c>
      <c r="O42" s="103">
        <v>237.2</v>
      </c>
      <c r="P42" s="103">
        <v>950.44500000000005</v>
      </c>
      <c r="Q42" s="104">
        <v>950.44500000000005</v>
      </c>
      <c r="R42" s="306">
        <f t="shared" si="22"/>
        <v>809.46384416355954</v>
      </c>
      <c r="S42" s="306">
        <f t="shared" si="22"/>
        <v>803.35816425490339</v>
      </c>
      <c r="T42" s="306">
        <f t="shared" si="22"/>
        <v>797.29855054545817</v>
      </c>
      <c r="U42" s="306">
        <f t="shared" si="22"/>
        <v>791.28465538244336</v>
      </c>
      <c r="V42" s="306">
        <f t="shared" si="22"/>
        <v>785.3161337373698</v>
      </c>
      <c r="W42" s="306">
        <f t="shared" si="22"/>
        <v>779.39340272098764</v>
      </c>
      <c r="X42" s="306">
        <f t="shared" si="22"/>
        <v>773.51383816289979</v>
      </c>
      <c r="Y42" s="306">
        <f t="shared" si="22"/>
        <v>767.67864513366476</v>
      </c>
      <c r="Z42" s="306">
        <f t="shared" si="22"/>
        <v>761.8897144481333</v>
      </c>
      <c r="AA42" s="306">
        <f t="shared" si="22"/>
        <v>756.14296406759433</v>
      </c>
      <c r="AB42" s="306">
        <f t="shared" si="22"/>
        <v>750.43957117609762</v>
      </c>
      <c r="AC42" s="306">
        <f t="shared" si="22"/>
        <v>744.77920856790763</v>
      </c>
      <c r="AD42" s="324">
        <f t="shared" si="22"/>
        <v>739.16227059300195</v>
      </c>
    </row>
    <row r="43" spans="2:30" x14ac:dyDescent="0.3">
      <c r="B43" s="125">
        <f t="shared" si="19"/>
        <v>3.6489030092742947E-3</v>
      </c>
      <c r="C43" s="121" t="s">
        <v>7</v>
      </c>
      <c r="D43" s="3" t="s">
        <v>16</v>
      </c>
      <c r="E43" s="4">
        <v>0</v>
      </c>
      <c r="F43" s="4">
        <f t="shared" si="20"/>
        <v>0</v>
      </c>
      <c r="G43" s="4">
        <v>0</v>
      </c>
      <c r="H43" s="4">
        <f t="shared" si="20"/>
        <v>0</v>
      </c>
      <c r="I43" s="4">
        <v>0</v>
      </c>
      <c r="J43" s="4">
        <f t="shared" si="21"/>
        <v>0</v>
      </c>
      <c r="K43" s="4">
        <v>0</v>
      </c>
      <c r="L43" s="4">
        <f t="shared" si="23"/>
        <v>0</v>
      </c>
      <c r="M43" s="4">
        <v>0</v>
      </c>
      <c r="N43" s="103">
        <v>54.77</v>
      </c>
      <c r="O43" s="103">
        <v>54.77</v>
      </c>
      <c r="P43" s="103">
        <v>25.56</v>
      </c>
      <c r="Q43" s="104">
        <v>25.56</v>
      </c>
      <c r="R43" s="306">
        <f t="shared" si="22"/>
        <v>21.768640854358303</v>
      </c>
      <c r="S43" s="306">
        <f t="shared" si="22"/>
        <v>21.60444284346314</v>
      </c>
      <c r="T43" s="306">
        <f t="shared" si="22"/>
        <v>21.441483675480335</v>
      </c>
      <c r="U43" s="306">
        <f t="shared" si="22"/>
        <v>21.279754001099743</v>
      </c>
      <c r="V43" s="306">
        <f t="shared" si="22"/>
        <v>21.119244541585434</v>
      </c>
      <c r="W43" s="306">
        <f t="shared" si="22"/>
        <v>20.959966514157514</v>
      </c>
      <c r="X43" s="306">
        <f t="shared" si="22"/>
        <v>20.801849347877798</v>
      </c>
      <c r="Y43" s="306">
        <f t="shared" si="22"/>
        <v>20.644925450306403</v>
      </c>
      <c r="Z43" s="306">
        <f t="shared" si="22"/>
        <v>20.489245670495698</v>
      </c>
      <c r="AA43" s="306">
        <f t="shared" si="22"/>
        <v>20.33470023154176</v>
      </c>
      <c r="AB43" s="306">
        <f t="shared" si="22"/>
        <v>20.181320791062134</v>
      </c>
      <c r="AC43" s="306">
        <f t="shared" si="22"/>
        <v>20.029098549622248</v>
      </c>
      <c r="AD43" s="324">
        <f t="shared" si="22"/>
        <v>19.878044112344352</v>
      </c>
    </row>
    <row r="44" spans="2:30" x14ac:dyDescent="0.3">
      <c r="B44" s="125">
        <f t="shared" si="19"/>
        <v>0.73948245821285119</v>
      </c>
      <c r="C44" s="121" t="s">
        <v>8</v>
      </c>
      <c r="D44" s="3" t="s">
        <v>16</v>
      </c>
      <c r="E44" s="4">
        <v>0</v>
      </c>
      <c r="F44" s="4">
        <f t="shared" si="20"/>
        <v>0</v>
      </c>
      <c r="G44" s="4">
        <v>0</v>
      </c>
      <c r="H44" s="4">
        <f t="shared" si="20"/>
        <v>0</v>
      </c>
      <c r="I44" s="4">
        <v>0</v>
      </c>
      <c r="J44" s="4">
        <f t="shared" si="21"/>
        <v>0</v>
      </c>
      <c r="K44" s="4">
        <v>0</v>
      </c>
      <c r="L44" s="4">
        <f t="shared" si="23"/>
        <v>0</v>
      </c>
      <c r="M44" s="4">
        <v>0</v>
      </c>
      <c r="N44" s="103">
        <v>3041.91</v>
      </c>
      <c r="O44" s="103">
        <v>3041.91</v>
      </c>
      <c r="P44" s="103">
        <v>5179.96</v>
      </c>
      <c r="Q44" s="104">
        <v>5179.96</v>
      </c>
      <c r="R44" s="306">
        <f t="shared" si="22"/>
        <v>4411.6075461636092</v>
      </c>
      <c r="S44" s="306">
        <f t="shared" si="22"/>
        <v>4378.3313674266565</v>
      </c>
      <c r="T44" s="306">
        <f t="shared" si="22"/>
        <v>4345.3062511596681</v>
      </c>
      <c r="U44" s="306">
        <f t="shared" si="22"/>
        <v>4312.5303026422789</v>
      </c>
      <c r="V44" s="306">
        <f t="shared" si="22"/>
        <v>4280.0016414566071</v>
      </c>
      <c r="W44" s="306">
        <f t="shared" si="22"/>
        <v>4247.722540871493</v>
      </c>
      <c r="X44" s="306">
        <f t="shared" si="22"/>
        <v>4215.6786990623277</v>
      </c>
      <c r="Y44" s="306">
        <f t="shared" si="22"/>
        <v>4183.8766837077137</v>
      </c>
      <c r="Z44" s="306">
        <f t="shared" si="22"/>
        <v>4152.3267998177189</v>
      </c>
      <c r="AA44" s="306">
        <f t="shared" si="22"/>
        <v>4121.0068001321224</v>
      </c>
      <c r="AB44" s="306">
        <f t="shared" si="22"/>
        <v>4089.9231003470354</v>
      </c>
      <c r="AC44" s="306">
        <f t="shared" si="22"/>
        <v>4059.0739171792352</v>
      </c>
      <c r="AD44" s="324">
        <f t="shared" si="22"/>
        <v>4028.4613998505183</v>
      </c>
    </row>
    <row r="45" spans="2:30" x14ac:dyDescent="0.3">
      <c r="B45" s="125">
        <f t="shared" si="19"/>
        <v>9.8931525251450946E-3</v>
      </c>
      <c r="C45" s="121" t="s">
        <v>9</v>
      </c>
      <c r="D45" s="3" t="s">
        <v>16</v>
      </c>
      <c r="E45" s="4">
        <v>23.204999999999998</v>
      </c>
      <c r="F45" s="4">
        <f t="shared" si="20"/>
        <v>23.204999999999998</v>
      </c>
      <c r="G45" s="4">
        <v>23.204999999999998</v>
      </c>
      <c r="H45" s="4">
        <f t="shared" si="20"/>
        <v>23.204999999999998</v>
      </c>
      <c r="I45" s="4">
        <v>23.204999999999998</v>
      </c>
      <c r="J45" s="4">
        <f t="shared" si="21"/>
        <v>53.52000000000001</v>
      </c>
      <c r="K45" s="4">
        <v>83.835000000000022</v>
      </c>
      <c r="L45" s="4">
        <f t="shared" si="23"/>
        <v>61.627500000000012</v>
      </c>
      <c r="M45" s="4">
        <v>39.42</v>
      </c>
      <c r="N45" s="103">
        <v>17.149999999999999</v>
      </c>
      <c r="O45" s="103">
        <v>17.149999999999999</v>
      </c>
      <c r="P45" s="103">
        <v>69.3</v>
      </c>
      <c r="Q45" s="104">
        <v>69.3</v>
      </c>
      <c r="R45" s="306">
        <f t="shared" si="22"/>
        <v>59.020610767098219</v>
      </c>
      <c r="S45" s="306">
        <f t="shared" si="22"/>
        <v>58.57542601924866</v>
      </c>
      <c r="T45" s="306">
        <f t="shared" si="22"/>
        <v>58.13360010605583</v>
      </c>
      <c r="U45" s="306">
        <f t="shared" si="22"/>
        <v>57.695107679038038</v>
      </c>
      <c r="V45" s="306">
        <f t="shared" si="22"/>
        <v>57.259923581059098</v>
      </c>
      <c r="W45" s="306">
        <f t="shared" si="22"/>
        <v>56.828078225004532</v>
      </c>
      <c r="X45" s="306">
        <f t="shared" si="22"/>
        <v>56.399380274175726</v>
      </c>
      <c r="Y45" s="306">
        <f t="shared" si="22"/>
        <v>55.973917594140595</v>
      </c>
      <c r="Z45" s="306">
        <f t="shared" si="22"/>
        <v>55.551828050287632</v>
      </c>
      <c r="AA45" s="306">
        <f t="shared" si="22"/>
        <v>55.132814008053366</v>
      </c>
      <c r="AB45" s="306">
        <f t="shared" si="22"/>
        <v>54.716961299710718</v>
      </c>
      <c r="AC45" s="306">
        <f t="shared" si="22"/>
        <v>54.304246067637777</v>
      </c>
      <c r="AD45" s="324">
        <f t="shared" si="22"/>
        <v>53.894697065158979</v>
      </c>
    </row>
    <row r="46" spans="2:30" x14ac:dyDescent="0.3">
      <c r="B46" s="125">
        <f t="shared" si="19"/>
        <v>6.873813767470943E-3</v>
      </c>
      <c r="C46" s="121" t="s">
        <v>10</v>
      </c>
      <c r="D46" s="3" t="s">
        <v>16</v>
      </c>
      <c r="E46" s="4">
        <v>709.14</v>
      </c>
      <c r="F46" s="4">
        <f t="shared" si="20"/>
        <v>709.14</v>
      </c>
      <c r="G46" s="4">
        <v>709.14</v>
      </c>
      <c r="H46" s="4">
        <f t="shared" si="20"/>
        <v>709.14</v>
      </c>
      <c r="I46" s="4">
        <v>709.14</v>
      </c>
      <c r="J46" s="4">
        <f t="shared" si="21"/>
        <v>809.33999999999992</v>
      </c>
      <c r="K46" s="4">
        <v>909.54</v>
      </c>
      <c r="L46" s="4">
        <f t="shared" si="23"/>
        <v>947.43000000000006</v>
      </c>
      <c r="M46" s="4">
        <v>985.32</v>
      </c>
      <c r="N46" s="103">
        <v>719.15</v>
      </c>
      <c r="O46" s="103">
        <v>719.15</v>
      </c>
      <c r="P46" s="103">
        <v>48.15</v>
      </c>
      <c r="Q46" s="104">
        <v>48.15</v>
      </c>
      <c r="R46" s="306">
        <f t="shared" si="22"/>
        <v>41.00782696155526</v>
      </c>
      <c r="S46" s="306">
        <f t="shared" si="22"/>
        <v>40.698510286101346</v>
      </c>
      <c r="T46" s="306">
        <f t="shared" si="22"/>
        <v>40.391527346415423</v>
      </c>
      <c r="U46" s="306">
        <f t="shared" si="22"/>
        <v>40.08686053024072</v>
      </c>
      <c r="V46" s="306">
        <f t="shared" si="22"/>
        <v>39.784492358268338</v>
      </c>
      <c r="W46" s="306">
        <f t="shared" si="22"/>
        <v>39.484443961529124</v>
      </c>
      <c r="X46" s="306">
        <f t="shared" si="22"/>
        <v>39.18658239829093</v>
      </c>
      <c r="Y46" s="306">
        <f t="shared" si="22"/>
        <v>38.890968718006782</v>
      </c>
      <c r="Z46" s="306">
        <f t="shared" si="22"/>
        <v>38.597698710264787</v>
      </c>
      <c r="AA46" s="306">
        <f t="shared" si="22"/>
        <v>38.306565577024095</v>
      </c>
      <c r="AB46" s="306">
        <f t="shared" si="22"/>
        <v>38.017628954993818</v>
      </c>
      <c r="AC46" s="306">
        <f t="shared" si="22"/>
        <v>37.730872267774302</v>
      </c>
      <c r="AD46" s="324">
        <f t="shared" si="22"/>
        <v>37.446315493324747</v>
      </c>
    </row>
    <row r="47" spans="2:30" x14ac:dyDescent="0.3">
      <c r="B47" s="125">
        <f t="shared" si="19"/>
        <v>3.3495387835134109E-2</v>
      </c>
      <c r="C47" s="121" t="s">
        <v>11</v>
      </c>
      <c r="D47" s="3" t="s">
        <v>16</v>
      </c>
      <c r="E47" s="4">
        <v>0</v>
      </c>
      <c r="F47" s="4">
        <f t="shared" si="20"/>
        <v>0</v>
      </c>
      <c r="G47" s="4">
        <v>0</v>
      </c>
      <c r="H47" s="4">
        <f t="shared" si="20"/>
        <v>0</v>
      </c>
      <c r="I47" s="4">
        <v>0</v>
      </c>
      <c r="J47" s="4">
        <f t="shared" si="21"/>
        <v>0</v>
      </c>
      <c r="K47" s="4">
        <v>0</v>
      </c>
      <c r="L47" s="4">
        <f t="shared" si="23"/>
        <v>0</v>
      </c>
      <c r="M47" s="4">
        <v>0</v>
      </c>
      <c r="N47" s="103">
        <v>552.78</v>
      </c>
      <c r="O47" s="103">
        <v>552.78</v>
      </c>
      <c r="P47" s="103">
        <v>234.63</v>
      </c>
      <c r="Q47" s="104">
        <v>234.63</v>
      </c>
      <c r="R47" s="306">
        <f t="shared" si="22"/>
        <v>199.82692502574685</v>
      </c>
      <c r="S47" s="306">
        <f t="shared" si="22"/>
        <v>198.31965666517047</v>
      </c>
      <c r="T47" s="306">
        <f t="shared" si="22"/>
        <v>196.82376035907475</v>
      </c>
      <c r="U47" s="306">
        <f t="shared" si="22"/>
        <v>195.33915028474308</v>
      </c>
      <c r="V47" s="306">
        <f t="shared" si="22"/>
        <v>193.86574126730011</v>
      </c>
      <c r="W47" s="306">
        <f t="shared" si="22"/>
        <v>192.40363627608679</v>
      </c>
      <c r="X47" s="306">
        <f t="shared" si="22"/>
        <v>190.95218749970925</v>
      </c>
      <c r="Y47" s="306">
        <f t="shared" si="22"/>
        <v>189.51169242587605</v>
      </c>
      <c r="Z47" s="306">
        <f t="shared" si="22"/>
        <v>188.08261782740243</v>
      </c>
      <c r="AA47" s="306">
        <f t="shared" si="22"/>
        <v>186.66395599869497</v>
      </c>
      <c r="AB47" s="306">
        <f t="shared" si="22"/>
        <v>185.25599754330631</v>
      </c>
      <c r="AC47" s="306">
        <f t="shared" si="22"/>
        <v>183.85866168614507</v>
      </c>
      <c r="AD47" s="324">
        <f t="shared" si="22"/>
        <v>182.47204577775256</v>
      </c>
    </row>
    <row r="48" spans="2:30" x14ac:dyDescent="0.3">
      <c r="B48" s="125">
        <f t="shared" si="19"/>
        <v>1.0278600026124775E-3</v>
      </c>
      <c r="C48" s="121" t="s">
        <v>12</v>
      </c>
      <c r="D48" s="3" t="s">
        <v>16</v>
      </c>
      <c r="E48" s="4">
        <v>0</v>
      </c>
      <c r="F48" s="4">
        <f t="shared" si="20"/>
        <v>0</v>
      </c>
      <c r="G48" s="4">
        <v>0</v>
      </c>
      <c r="H48" s="4">
        <f t="shared" si="20"/>
        <v>0</v>
      </c>
      <c r="I48" s="4">
        <v>0</v>
      </c>
      <c r="J48" s="4">
        <f t="shared" si="21"/>
        <v>54.81</v>
      </c>
      <c r="K48" s="4">
        <v>109.62</v>
      </c>
      <c r="L48" s="4">
        <f t="shared" si="23"/>
        <v>63.77</v>
      </c>
      <c r="M48" s="4">
        <v>17.920000000000002</v>
      </c>
      <c r="N48" s="103">
        <v>18.989999999999998</v>
      </c>
      <c r="O48" s="103">
        <v>18.989999999999998</v>
      </c>
      <c r="P48" s="103">
        <v>7.2</v>
      </c>
      <c r="Q48" s="104">
        <v>7.2</v>
      </c>
      <c r="R48" s="306">
        <f>$B$38*R$3*$B48</f>
        <v>6.1320115082699456</v>
      </c>
      <c r="S48" s="306">
        <f t="shared" si="22"/>
        <v>6.0857585474544065</v>
      </c>
      <c r="T48" s="306">
        <f t="shared" si="22"/>
        <v>6.0398545564733341</v>
      </c>
      <c r="U48" s="306">
        <f t="shared" si="22"/>
        <v>5.994296901718239</v>
      </c>
      <c r="V48" s="306">
        <f t="shared" si="22"/>
        <v>5.9490829694606866</v>
      </c>
      <c r="W48" s="306">
        <f t="shared" si="22"/>
        <v>5.9042159194809907</v>
      </c>
      <c r="X48" s="306">
        <f t="shared" si="22"/>
        <v>5.8596758726416347</v>
      </c>
      <c r="Y48" s="306">
        <f t="shared" si="22"/>
        <v>5.8154719578327905</v>
      </c>
      <c r="Z48" s="306">
        <f t="shared" si="22"/>
        <v>5.7716184987311836</v>
      </c>
      <c r="AA48" s="306">
        <f t="shared" si="22"/>
        <v>5.7280845722652849</v>
      </c>
      <c r="AB48" s="306">
        <f t="shared" si="22"/>
        <v>5.6848790960738418</v>
      </c>
      <c r="AC48" s="306">
        <f t="shared" si="22"/>
        <v>5.6419995914428869</v>
      </c>
      <c r="AD48" s="324">
        <f t="shared" si="22"/>
        <v>5.5994490457308039</v>
      </c>
    </row>
    <row r="49" spans="2:30" x14ac:dyDescent="0.3">
      <c r="B49" s="126"/>
      <c r="C49" s="121" t="s">
        <v>3</v>
      </c>
      <c r="D49" s="3" t="s">
        <v>16</v>
      </c>
      <c r="E49" s="4">
        <v>7739.04</v>
      </c>
      <c r="F49" s="4">
        <f t="shared" si="20"/>
        <v>7739.04</v>
      </c>
      <c r="G49" s="4">
        <v>7739.04</v>
      </c>
      <c r="H49" s="4">
        <f t="shared" si="20"/>
        <v>7739.04</v>
      </c>
      <c r="I49" s="4">
        <v>7739.04</v>
      </c>
      <c r="J49" s="4">
        <f t="shared" si="21"/>
        <v>7635.7550000000001</v>
      </c>
      <c r="K49" s="4">
        <v>7532.47</v>
      </c>
      <c r="L49" s="4">
        <f t="shared" si="23"/>
        <v>7934.1350000000002</v>
      </c>
      <c r="M49" s="4">
        <v>8335.7999999999993</v>
      </c>
      <c r="N49" s="4">
        <v>7082.69</v>
      </c>
      <c r="O49" s="4">
        <v>7082.69</v>
      </c>
      <c r="P49" s="4">
        <v>1511.69</v>
      </c>
      <c r="Q49" s="4">
        <v>1511.69</v>
      </c>
      <c r="R49" s="307">
        <v>1511.69</v>
      </c>
      <c r="S49" s="307">
        <v>1511.69</v>
      </c>
      <c r="T49" s="307">
        <v>1511.69</v>
      </c>
      <c r="U49" s="307">
        <v>1511.69</v>
      </c>
      <c r="V49" s="307">
        <v>1511.69</v>
      </c>
      <c r="W49" s="307">
        <v>1511.69</v>
      </c>
      <c r="X49" s="307">
        <v>1511.69</v>
      </c>
      <c r="Y49" s="307">
        <v>1511.69</v>
      </c>
      <c r="Z49" s="307">
        <v>1511.69</v>
      </c>
      <c r="AA49" s="307">
        <v>1511.69</v>
      </c>
      <c r="AB49" s="307">
        <v>1511.69</v>
      </c>
      <c r="AC49" s="307">
        <v>1511.69</v>
      </c>
      <c r="AD49" s="308">
        <v>1511.69</v>
      </c>
    </row>
    <row r="50" spans="2:30" x14ac:dyDescent="0.3">
      <c r="B50" s="6"/>
      <c r="C50" s="121" t="s">
        <v>15</v>
      </c>
      <c r="D50" s="3" t="s">
        <v>16</v>
      </c>
      <c r="E50" s="4">
        <v>420.26</v>
      </c>
      <c r="F50" s="4">
        <f t="shared" si="20"/>
        <v>420.26</v>
      </c>
      <c r="G50" s="4">
        <v>420.26</v>
      </c>
      <c r="H50" s="4">
        <f t="shared" si="20"/>
        <v>420.26</v>
      </c>
      <c r="I50" s="4">
        <v>420.26</v>
      </c>
      <c r="J50" s="4">
        <f t="shared" si="21"/>
        <v>654.66499999999996</v>
      </c>
      <c r="K50" s="4">
        <v>889.06999999999994</v>
      </c>
      <c r="L50" s="4">
        <f t="shared" si="23"/>
        <v>530.34999999999991</v>
      </c>
      <c r="M50" s="4">
        <v>171.63</v>
      </c>
      <c r="N50" s="4">
        <v>1057.5999999999999</v>
      </c>
      <c r="O50" s="4">
        <v>1057.5999999999999</v>
      </c>
      <c r="P50" s="4">
        <v>137.48000000000002</v>
      </c>
      <c r="Q50" s="4">
        <v>137.48000000000002</v>
      </c>
      <c r="R50" s="307">
        <v>137.48000000000002</v>
      </c>
      <c r="S50" s="307">
        <v>137.48000000000002</v>
      </c>
      <c r="T50" s="307">
        <v>137.48000000000002</v>
      </c>
      <c r="U50" s="307">
        <v>137.48000000000002</v>
      </c>
      <c r="V50" s="307">
        <v>137.48000000000002</v>
      </c>
      <c r="W50" s="307">
        <v>137.48000000000002</v>
      </c>
      <c r="X50" s="307">
        <v>137.48000000000002</v>
      </c>
      <c r="Y50" s="307">
        <v>137.48000000000002</v>
      </c>
      <c r="Z50" s="307">
        <v>137.48000000000002</v>
      </c>
      <c r="AA50" s="307">
        <v>137.48000000000002</v>
      </c>
      <c r="AB50" s="307">
        <v>137.48000000000002</v>
      </c>
      <c r="AC50" s="307">
        <v>137.48000000000002</v>
      </c>
      <c r="AD50" s="308">
        <v>137.48000000000002</v>
      </c>
    </row>
    <row r="51" spans="2:30" x14ac:dyDescent="0.3">
      <c r="B51" s="5"/>
      <c r="C51" s="122" t="s">
        <v>14</v>
      </c>
      <c r="D51" s="3" t="s">
        <v>16</v>
      </c>
      <c r="E51" s="4">
        <v>1846.79</v>
      </c>
      <c r="F51" s="4">
        <f t="shared" si="20"/>
        <v>1846.79</v>
      </c>
      <c r="G51" s="4">
        <v>1846.79</v>
      </c>
      <c r="H51" s="4">
        <f t="shared" si="20"/>
        <v>1846.79</v>
      </c>
      <c r="I51" s="4">
        <v>1846.79</v>
      </c>
      <c r="J51" s="4">
        <f t="shared" si="21"/>
        <v>2744.69</v>
      </c>
      <c r="K51" s="4">
        <v>3642.59</v>
      </c>
      <c r="L51" s="4">
        <f t="shared" si="23"/>
        <v>2664.24</v>
      </c>
      <c r="M51" s="4">
        <v>1685.8899999999999</v>
      </c>
      <c r="N51" s="103">
        <v>3312.7200000000003</v>
      </c>
      <c r="O51" s="103">
        <v>3312.7200000000003</v>
      </c>
      <c r="P51" s="4">
        <v>218.03</v>
      </c>
      <c r="Q51" s="36">
        <v>218.03</v>
      </c>
      <c r="R51" s="307">
        <v>218.03</v>
      </c>
      <c r="S51" s="307">
        <v>218.03</v>
      </c>
      <c r="T51" s="307">
        <v>218.03</v>
      </c>
      <c r="U51" s="307">
        <v>218.03</v>
      </c>
      <c r="V51" s="307">
        <v>218.03</v>
      </c>
      <c r="W51" s="307">
        <v>218.03</v>
      </c>
      <c r="X51" s="307">
        <v>218.03</v>
      </c>
      <c r="Y51" s="307">
        <v>218.03</v>
      </c>
      <c r="Z51" s="307">
        <v>218.03</v>
      </c>
      <c r="AA51" s="307">
        <v>218.03</v>
      </c>
      <c r="AB51" s="307">
        <v>218.03</v>
      </c>
      <c r="AC51" s="307">
        <v>218.03</v>
      </c>
      <c r="AD51" s="308">
        <v>218.03</v>
      </c>
    </row>
    <row r="52" spans="2:30" ht="15" thickBot="1" x14ac:dyDescent="0.35">
      <c r="B52" s="105"/>
      <c r="C52" s="127" t="s">
        <v>16</v>
      </c>
      <c r="D52" s="106" t="s">
        <v>16</v>
      </c>
      <c r="E52" s="107">
        <v>73259.990000000005</v>
      </c>
      <c r="F52" s="107">
        <f t="shared" si="20"/>
        <v>73259.990000000005</v>
      </c>
      <c r="G52" s="107">
        <v>73259.990000000005</v>
      </c>
      <c r="H52" s="107">
        <f t="shared" si="20"/>
        <v>73259.990000000005</v>
      </c>
      <c r="I52" s="107">
        <v>73259.990000000005</v>
      </c>
      <c r="J52" s="107">
        <f t="shared" si="21"/>
        <v>153639.495</v>
      </c>
      <c r="K52" s="107">
        <v>234019</v>
      </c>
      <c r="L52" s="107">
        <f t="shared" si="23"/>
        <v>234342.25</v>
      </c>
      <c r="M52" s="107">
        <v>234665.5</v>
      </c>
      <c r="N52" s="108">
        <v>149613.57500000001</v>
      </c>
      <c r="O52" s="108">
        <v>149613.57500000001</v>
      </c>
      <c r="P52" s="107">
        <v>160534.13</v>
      </c>
      <c r="Q52" s="109">
        <v>160534.13</v>
      </c>
      <c r="R52" s="309">
        <v>160534.13</v>
      </c>
      <c r="S52" s="309">
        <v>160534.13</v>
      </c>
      <c r="T52" s="309">
        <v>160534.13</v>
      </c>
      <c r="U52" s="309">
        <v>160534.13</v>
      </c>
      <c r="V52" s="309">
        <v>160534.13</v>
      </c>
      <c r="W52" s="309">
        <v>160534.13</v>
      </c>
      <c r="X52" s="309">
        <v>160534.13</v>
      </c>
      <c r="Y52" s="309">
        <v>160534.13</v>
      </c>
      <c r="Z52" s="309">
        <v>160534.13</v>
      </c>
      <c r="AA52" s="309">
        <v>160534.13</v>
      </c>
      <c r="AB52" s="309">
        <v>160534.13</v>
      </c>
      <c r="AC52" s="309">
        <v>160534.13</v>
      </c>
      <c r="AD52" s="310">
        <v>160534.13</v>
      </c>
    </row>
    <row r="54" spans="2:30" x14ac:dyDescent="0.3">
      <c r="B54" s="110" t="s">
        <v>13</v>
      </c>
      <c r="C54" s="113"/>
      <c r="D54" s="114"/>
      <c r="E54" s="115"/>
      <c r="F54" s="115"/>
      <c r="G54" s="115"/>
      <c r="H54" s="115"/>
      <c r="I54" s="115"/>
      <c r="J54" s="115"/>
      <c r="K54" s="115"/>
      <c r="L54" s="115"/>
      <c r="M54" s="115"/>
      <c r="N54" s="115"/>
      <c r="O54" s="115"/>
      <c r="P54" s="115"/>
      <c r="Q54" s="115"/>
      <c r="R54" s="115"/>
      <c r="S54" s="115"/>
      <c r="T54" s="115"/>
      <c r="U54" s="115"/>
      <c r="V54" s="115"/>
      <c r="W54" s="115"/>
      <c r="X54" s="115"/>
      <c r="Y54" s="115"/>
      <c r="Z54" s="115"/>
      <c r="AA54" s="115"/>
      <c r="AB54" s="115"/>
      <c r="AC54" s="115"/>
      <c r="AD54" s="115"/>
    </row>
    <row r="55" spans="2:30" ht="15" thickBot="1" x14ac:dyDescent="0.35">
      <c r="B55" s="116">
        <f>+SUM(Q56:Q65)/(SUM(Q56:Q65)+SUM(Q74:Q83)+SUM(Q39:Q48)+SUM(Q4:Q13)+SUM(Q22:Q31))</f>
        <v>2.0790289833684389E-2</v>
      </c>
      <c r="C55" s="111"/>
      <c r="D55" s="112"/>
      <c r="E55" s="110"/>
      <c r="F55" s="110"/>
      <c r="G55" s="110"/>
      <c r="H55" s="110"/>
      <c r="I55" s="110"/>
      <c r="J55" s="110"/>
      <c r="K55" s="110"/>
      <c r="L55" s="110"/>
      <c r="M55" s="110"/>
      <c r="N55" s="110"/>
      <c r="O55" s="110"/>
      <c r="P55" s="110"/>
      <c r="Q55" s="110"/>
      <c r="R55" s="110"/>
      <c r="S55" s="110"/>
      <c r="T55" s="110"/>
      <c r="U55" s="110"/>
      <c r="V55" s="110"/>
      <c r="W55" s="110"/>
      <c r="X55" s="110"/>
      <c r="Y55" s="110"/>
      <c r="Z55" s="110"/>
      <c r="AA55" s="110"/>
      <c r="AB55" s="110"/>
      <c r="AC55" s="110"/>
      <c r="AD55" s="110"/>
    </row>
    <row r="56" spans="2:30" x14ac:dyDescent="0.3">
      <c r="B56" s="123">
        <f>+Q56/SUM(Q$56:Q$65)</f>
        <v>0</v>
      </c>
      <c r="C56" s="124" t="s">
        <v>2</v>
      </c>
      <c r="D56" s="1" t="s">
        <v>13</v>
      </c>
      <c r="E56" s="2">
        <v>0</v>
      </c>
      <c r="F56" s="2">
        <f t="shared" ref="F56:F66" si="24">+(E56+G56)/2</f>
        <v>0</v>
      </c>
      <c r="G56" s="2">
        <v>0</v>
      </c>
      <c r="H56" s="2">
        <f>+(G56+I56)/2</f>
        <v>0</v>
      </c>
      <c r="I56" s="2">
        <v>0</v>
      </c>
      <c r="J56" s="2">
        <f>+(I56+K56)/2</f>
        <v>0</v>
      </c>
      <c r="K56" s="2">
        <v>0</v>
      </c>
      <c r="L56" s="2">
        <f>+(K56+M56)/2</f>
        <v>5.1974999999999998</v>
      </c>
      <c r="M56" s="2">
        <v>10.395</v>
      </c>
      <c r="N56" s="102">
        <v>7.52</v>
      </c>
      <c r="O56" s="102">
        <v>7.52</v>
      </c>
      <c r="P56" s="2">
        <v>0</v>
      </c>
      <c r="Q56" s="35">
        <v>0</v>
      </c>
      <c r="R56" s="305">
        <f>$B$55*R$3*$B56</f>
        <v>0</v>
      </c>
      <c r="S56" s="305">
        <f t="shared" ref="S56:AD56" si="25">$B$55*S$3*$B56</f>
        <v>0</v>
      </c>
      <c r="T56" s="305">
        <f t="shared" si="25"/>
        <v>0</v>
      </c>
      <c r="U56" s="305">
        <f t="shared" si="25"/>
        <v>0</v>
      </c>
      <c r="V56" s="305">
        <f t="shared" si="25"/>
        <v>0</v>
      </c>
      <c r="W56" s="305">
        <f t="shared" si="25"/>
        <v>0</v>
      </c>
      <c r="X56" s="305">
        <f t="shared" si="25"/>
        <v>0</v>
      </c>
      <c r="Y56" s="305">
        <f t="shared" si="25"/>
        <v>0</v>
      </c>
      <c r="Z56" s="305">
        <f t="shared" si="25"/>
        <v>0</v>
      </c>
      <c r="AA56" s="305">
        <f t="shared" si="25"/>
        <v>0</v>
      </c>
      <c r="AB56" s="305">
        <f t="shared" si="25"/>
        <v>0</v>
      </c>
      <c r="AC56" s="305">
        <f t="shared" si="25"/>
        <v>0</v>
      </c>
      <c r="AD56" s="323">
        <f t="shared" si="25"/>
        <v>0</v>
      </c>
    </row>
    <row r="57" spans="2:30" x14ac:dyDescent="0.3">
      <c r="B57" s="125">
        <f t="shared" ref="B57:B65" si="26">+Q57/SUM(Q$56:Q$65)</f>
        <v>0.35962070186288081</v>
      </c>
      <c r="C57" s="121" t="s">
        <v>4</v>
      </c>
      <c r="D57" s="3" t="s">
        <v>13</v>
      </c>
      <c r="E57" s="4">
        <v>390</v>
      </c>
      <c r="F57" s="4">
        <f t="shared" si="24"/>
        <v>390</v>
      </c>
      <c r="G57" s="4">
        <v>390</v>
      </c>
      <c r="H57" s="4">
        <f t="shared" ref="H57:H66" si="27">+(G57+I57)/2</f>
        <v>390</v>
      </c>
      <c r="I57" s="4">
        <v>390</v>
      </c>
      <c r="J57" s="4">
        <f t="shared" ref="J57:J66" si="28">+(I57+K57)/2</f>
        <v>232.50749999999999</v>
      </c>
      <c r="K57" s="4">
        <v>75.015000000000001</v>
      </c>
      <c r="L57" s="4">
        <f t="shared" ref="L57:L66" si="29">+(K57+M57)/2</f>
        <v>75.240000000000009</v>
      </c>
      <c r="M57" s="4">
        <v>75.465000000000003</v>
      </c>
      <c r="N57" s="103">
        <v>527.66999999999996</v>
      </c>
      <c r="O57" s="103">
        <v>527.66999999999996</v>
      </c>
      <c r="P57" s="103">
        <v>802.49</v>
      </c>
      <c r="Q57" s="104">
        <v>802.49</v>
      </c>
      <c r="R57" s="306">
        <f t="shared" ref="R57:AD65" si="30">$B$55*R$3*$B57</f>
        <v>683.4552660099373</v>
      </c>
      <c r="S57" s="306">
        <f t="shared" si="30"/>
        <v>678.30005232592873</v>
      </c>
      <c r="T57" s="306">
        <f t="shared" si="30"/>
        <v>673.18373375337296</v>
      </c>
      <c r="U57" s="306">
        <f t="shared" si="30"/>
        <v>668.10601675831515</v>
      </c>
      <c r="V57" s="306">
        <f t="shared" si="30"/>
        <v>663.06661002257033</v>
      </c>
      <c r="W57" s="306">
        <f t="shared" si="30"/>
        <v>658.06586572559718</v>
      </c>
      <c r="X57" s="306">
        <f t="shared" si="30"/>
        <v>653.10156819947008</v>
      </c>
      <c r="Y57" s="306">
        <f t="shared" si="30"/>
        <v>648.1747349223939</v>
      </c>
      <c r="Z57" s="306">
        <f t="shared" si="30"/>
        <v>643.28696236760936</v>
      </c>
      <c r="AA57" s="306">
        <f t="shared" si="30"/>
        <v>638.43480394405128</v>
      </c>
      <c r="AB57" s="306">
        <f t="shared" si="30"/>
        <v>633.6192535844857</v>
      </c>
      <c r="AC57" s="306">
        <f t="shared" si="30"/>
        <v>628.84003501902816</v>
      </c>
      <c r="AD57" s="324">
        <f t="shared" si="30"/>
        <v>624.09748120951565</v>
      </c>
    </row>
    <row r="58" spans="2:30" x14ac:dyDescent="0.3">
      <c r="B58" s="125">
        <f t="shared" si="26"/>
        <v>5.531729920367108E-2</v>
      </c>
      <c r="C58" s="121" t="s">
        <v>5</v>
      </c>
      <c r="D58" s="3" t="s">
        <v>13</v>
      </c>
      <c r="E58" s="4">
        <v>42.464999999999996</v>
      </c>
      <c r="F58" s="4">
        <f t="shared" si="24"/>
        <v>42.464999999999996</v>
      </c>
      <c r="G58" s="4">
        <v>42.464999999999996</v>
      </c>
      <c r="H58" s="4">
        <f t="shared" si="27"/>
        <v>42.464999999999996</v>
      </c>
      <c r="I58" s="4">
        <v>42.464999999999996</v>
      </c>
      <c r="J58" s="4">
        <f t="shared" si="28"/>
        <v>54.825000000000003</v>
      </c>
      <c r="K58" s="4">
        <v>67.185000000000002</v>
      </c>
      <c r="L58" s="4">
        <f t="shared" si="29"/>
        <v>89.032499999999999</v>
      </c>
      <c r="M58" s="4">
        <v>110.88</v>
      </c>
      <c r="N58" s="103">
        <v>59.4</v>
      </c>
      <c r="O58" s="103">
        <v>59.4</v>
      </c>
      <c r="P58" s="103">
        <v>123.44</v>
      </c>
      <c r="Q58" s="104">
        <v>123.44</v>
      </c>
      <c r="R58" s="306">
        <f t="shared" si="30"/>
        <v>105.12993063622807</v>
      </c>
      <c r="S58" s="306">
        <f t="shared" si="30"/>
        <v>104.33694931913499</v>
      </c>
      <c r="T58" s="306">
        <f t="shared" si="30"/>
        <v>103.54995089598169</v>
      </c>
      <c r="U58" s="306">
        <f t="shared" si="30"/>
        <v>102.7688902150138</v>
      </c>
      <c r="V58" s="306">
        <f t="shared" si="30"/>
        <v>101.99372246530932</v>
      </c>
      <c r="W58" s="306">
        <f t="shared" si="30"/>
        <v>101.2245018195463</v>
      </c>
      <c r="X58" s="306">
        <f t="shared" si="30"/>
        <v>100.46088746095602</v>
      </c>
      <c r="Y58" s="306">
        <f t="shared" si="30"/>
        <v>99.703035899288835</v>
      </c>
      <c r="Z58" s="306">
        <f t="shared" si="30"/>
        <v>98.951192706024614</v>
      </c>
      <c r="AA58" s="306">
        <f t="shared" si="30"/>
        <v>98.204827722281493</v>
      </c>
      <c r="AB58" s="306">
        <f t="shared" si="30"/>
        <v>97.464093836021519</v>
      </c>
      <c r="AC58" s="306">
        <f t="shared" si="30"/>
        <v>96.728948551070829</v>
      </c>
      <c r="AD58" s="324">
        <f t="shared" si="30"/>
        <v>95.999443084029224</v>
      </c>
    </row>
    <row r="59" spans="2:30" x14ac:dyDescent="0.3">
      <c r="B59" s="125">
        <f t="shared" si="26"/>
        <v>6.2093040972623664E-2</v>
      </c>
      <c r="C59" s="121" t="s">
        <v>6</v>
      </c>
      <c r="D59" s="3" t="s">
        <v>13</v>
      </c>
      <c r="E59" s="4">
        <v>51.254999999999995</v>
      </c>
      <c r="F59" s="4">
        <f t="shared" si="24"/>
        <v>51.254999999999995</v>
      </c>
      <c r="G59" s="4">
        <v>51.254999999999995</v>
      </c>
      <c r="H59" s="4">
        <f t="shared" si="27"/>
        <v>51.254999999999995</v>
      </c>
      <c r="I59" s="4">
        <v>51.254999999999995</v>
      </c>
      <c r="J59" s="4">
        <f t="shared" si="28"/>
        <v>48.959999999999994</v>
      </c>
      <c r="K59" s="4">
        <v>46.664999999999992</v>
      </c>
      <c r="L59" s="4">
        <f t="shared" si="29"/>
        <v>61.717499999999994</v>
      </c>
      <c r="M59" s="4">
        <v>76.77</v>
      </c>
      <c r="N59" s="103">
        <v>99.45</v>
      </c>
      <c r="O59" s="103">
        <v>99.45</v>
      </c>
      <c r="P59" s="103">
        <v>138.56</v>
      </c>
      <c r="Q59" s="104">
        <v>138.56</v>
      </c>
      <c r="R59" s="306">
        <f t="shared" si="30"/>
        <v>118.00715480359496</v>
      </c>
      <c r="S59" s="306">
        <f t="shared" si="30"/>
        <v>117.11704226878923</v>
      </c>
      <c r="T59" s="306">
        <f t="shared" si="30"/>
        <v>116.2336454645757</v>
      </c>
      <c r="U59" s="306">
        <f t="shared" si="30"/>
        <v>115.3569137086221</v>
      </c>
      <c r="V59" s="306">
        <f t="shared" si="30"/>
        <v>114.48679670117676</v>
      </c>
      <c r="W59" s="306">
        <f t="shared" si="30"/>
        <v>113.6233552504564</v>
      </c>
      <c r="X59" s="306">
        <f t="shared" si="30"/>
        <v>112.76620679350344</v>
      </c>
      <c r="Y59" s="306">
        <f t="shared" si="30"/>
        <v>111.91552701073769</v>
      </c>
      <c r="Z59" s="306">
        <f t="shared" si="30"/>
        <v>111.07159155336011</v>
      </c>
      <c r="AA59" s="306">
        <f t="shared" si="30"/>
        <v>110.2338053240386</v>
      </c>
      <c r="AB59" s="306">
        <f t="shared" si="30"/>
        <v>109.40233993777659</v>
      </c>
      <c r="AC59" s="306">
        <f t="shared" si="30"/>
        <v>108.5771476931009</v>
      </c>
      <c r="AD59" s="324">
        <f t="shared" si="30"/>
        <v>107.75828608006391</v>
      </c>
    </row>
    <row r="60" spans="2:30" x14ac:dyDescent="0.3">
      <c r="B60" s="125">
        <f t="shared" si="26"/>
        <v>2.4199077746259225E-4</v>
      </c>
      <c r="C60" s="121" t="s">
        <v>7</v>
      </c>
      <c r="D60" s="3" t="s">
        <v>13</v>
      </c>
      <c r="E60" s="4">
        <v>18.059999999999999</v>
      </c>
      <c r="F60" s="4">
        <f t="shared" si="24"/>
        <v>18.059999999999999</v>
      </c>
      <c r="G60" s="4">
        <v>18.059999999999999</v>
      </c>
      <c r="H60" s="4">
        <f t="shared" si="27"/>
        <v>18.059999999999999</v>
      </c>
      <c r="I60" s="4">
        <v>18.059999999999999</v>
      </c>
      <c r="J60" s="4">
        <f t="shared" si="28"/>
        <v>21.2925</v>
      </c>
      <c r="K60" s="4">
        <v>24.525000000000002</v>
      </c>
      <c r="L60" s="4">
        <f t="shared" si="29"/>
        <v>28.17</v>
      </c>
      <c r="M60" s="4">
        <v>31.814999999999998</v>
      </c>
      <c r="N60" s="103">
        <v>39.65</v>
      </c>
      <c r="O60" s="103">
        <v>39.65</v>
      </c>
      <c r="P60" s="103">
        <v>0.54</v>
      </c>
      <c r="Q60" s="104">
        <v>0.54</v>
      </c>
      <c r="R60" s="306">
        <f t="shared" si="30"/>
        <v>0.45990086312024597</v>
      </c>
      <c r="S60" s="306">
        <f t="shared" si="30"/>
        <v>0.4564318910590805</v>
      </c>
      <c r="T60" s="306">
        <f t="shared" si="30"/>
        <v>0.45298909173550006</v>
      </c>
      <c r="U60" s="306">
        <f t="shared" si="30"/>
        <v>0.44957226762886793</v>
      </c>
      <c r="V60" s="306">
        <f t="shared" si="30"/>
        <v>0.44618122270955152</v>
      </c>
      <c r="W60" s="306">
        <f t="shared" si="30"/>
        <v>0.4428161939610743</v>
      </c>
      <c r="X60" s="306">
        <f t="shared" si="30"/>
        <v>0.43947569044812257</v>
      </c>
      <c r="Y60" s="306">
        <f t="shared" si="30"/>
        <v>0.43616039683745927</v>
      </c>
      <c r="Z60" s="306">
        <f t="shared" si="30"/>
        <v>0.43287138740483883</v>
      </c>
      <c r="AA60" s="306">
        <f t="shared" si="30"/>
        <v>0.42960634291989647</v>
      </c>
      <c r="AB60" s="306">
        <f t="shared" si="30"/>
        <v>0.42636593220553815</v>
      </c>
      <c r="AC60" s="306">
        <f t="shared" si="30"/>
        <v>0.42314996935821658</v>
      </c>
      <c r="AD60" s="324">
        <f t="shared" si="30"/>
        <v>0.41995867842981033</v>
      </c>
    </row>
    <row r="61" spans="2:30" x14ac:dyDescent="0.3">
      <c r="B61" s="125">
        <f t="shared" si="26"/>
        <v>0.38628001918000976</v>
      </c>
      <c r="C61" s="121" t="s">
        <v>8</v>
      </c>
      <c r="D61" s="3" t="s">
        <v>13</v>
      </c>
      <c r="E61" s="4">
        <v>102.55500000000001</v>
      </c>
      <c r="F61" s="4">
        <f t="shared" si="24"/>
        <v>102.55500000000001</v>
      </c>
      <c r="G61" s="4">
        <v>102.55500000000001</v>
      </c>
      <c r="H61" s="4">
        <f t="shared" si="27"/>
        <v>102.55500000000001</v>
      </c>
      <c r="I61" s="4">
        <v>102.55500000000001</v>
      </c>
      <c r="J61" s="4">
        <f t="shared" si="28"/>
        <v>107.23500000000001</v>
      </c>
      <c r="K61" s="4">
        <v>111.91500000000001</v>
      </c>
      <c r="L61" s="4">
        <f t="shared" si="29"/>
        <v>157.9725</v>
      </c>
      <c r="M61" s="4">
        <v>204.03</v>
      </c>
      <c r="N61" s="103">
        <v>300.74</v>
      </c>
      <c r="O61" s="103">
        <v>300.74</v>
      </c>
      <c r="P61" s="103">
        <v>861.98</v>
      </c>
      <c r="Q61" s="104">
        <v>861.98</v>
      </c>
      <c r="R61" s="306">
        <f t="shared" si="30"/>
        <v>734.1210110970178</v>
      </c>
      <c r="S61" s="306">
        <f t="shared" si="30"/>
        <v>728.58363232427075</v>
      </c>
      <c r="T61" s="306">
        <f t="shared" si="30"/>
        <v>723.08803202623392</v>
      </c>
      <c r="U61" s="306">
        <f t="shared" si="30"/>
        <v>717.63389490876216</v>
      </c>
      <c r="V61" s="306">
        <f t="shared" si="30"/>
        <v>712.22090805773928</v>
      </c>
      <c r="W61" s="306">
        <f t="shared" si="30"/>
        <v>706.84944976030897</v>
      </c>
      <c r="X61" s="306">
        <f t="shared" si="30"/>
        <v>701.5171400971717</v>
      </c>
      <c r="Y61" s="306">
        <f t="shared" si="30"/>
        <v>696.22507197398738</v>
      </c>
      <c r="Z61" s="306">
        <f t="shared" si="30"/>
        <v>690.97496021337588</v>
      </c>
      <c r="AA61" s="306">
        <f t="shared" si="30"/>
        <v>685.76310272239323</v>
      </c>
      <c r="AB61" s="306">
        <f t="shared" si="30"/>
        <v>680.59056711579592</v>
      </c>
      <c r="AC61" s="306">
        <f t="shared" si="30"/>
        <v>675.45705664332502</v>
      </c>
      <c r="AD61" s="324">
        <f t="shared" si="30"/>
        <v>670.3629289498665</v>
      </c>
    </row>
    <row r="62" spans="2:30" ht="24" customHeight="1" x14ac:dyDescent="0.3">
      <c r="B62" s="125">
        <f t="shared" si="26"/>
        <v>9.0325298343259433E-2</v>
      </c>
      <c r="C62" s="121" t="s">
        <v>9</v>
      </c>
      <c r="D62" s="3" t="s">
        <v>13</v>
      </c>
      <c r="E62" s="4">
        <v>30.825000000000003</v>
      </c>
      <c r="F62" s="4">
        <f t="shared" si="24"/>
        <v>30.825000000000003</v>
      </c>
      <c r="G62" s="4">
        <v>30.825000000000003</v>
      </c>
      <c r="H62" s="4">
        <f t="shared" si="27"/>
        <v>30.825000000000003</v>
      </c>
      <c r="I62" s="4">
        <v>30.825000000000003</v>
      </c>
      <c r="J62" s="4">
        <f t="shared" si="28"/>
        <v>22.770000000000003</v>
      </c>
      <c r="K62" s="4">
        <v>14.715</v>
      </c>
      <c r="L62" s="4">
        <f t="shared" si="29"/>
        <v>18.09</v>
      </c>
      <c r="M62" s="4">
        <v>21.465</v>
      </c>
      <c r="N62" s="103">
        <v>33.979999999999997</v>
      </c>
      <c r="O62" s="103">
        <v>33.979999999999997</v>
      </c>
      <c r="P62" s="103">
        <v>201.56</v>
      </c>
      <c r="Q62" s="104">
        <v>201.56</v>
      </c>
      <c r="R62" s="306">
        <f t="shared" si="30"/>
        <v>171.662255500957</v>
      </c>
      <c r="S62" s="306">
        <f t="shared" si="30"/>
        <v>170.36742955901531</v>
      </c>
      <c r="T62" s="306">
        <f t="shared" si="30"/>
        <v>169.08237283371739</v>
      </c>
      <c r="U62" s="306">
        <f t="shared" si="30"/>
        <v>167.80701159865671</v>
      </c>
      <c r="V62" s="306">
        <f t="shared" si="30"/>
        <v>166.54127268395777</v>
      </c>
      <c r="W62" s="306">
        <f t="shared" si="30"/>
        <v>165.28524454591508</v>
      </c>
      <c r="X62" s="306">
        <f t="shared" si="30"/>
        <v>164.03837067911775</v>
      </c>
      <c r="Y62" s="306">
        <f t="shared" si="30"/>
        <v>162.80090664177462</v>
      </c>
      <c r="Z62" s="306">
        <f t="shared" si="30"/>
        <v>161.57325341725797</v>
      </c>
      <c r="AA62" s="306">
        <f t="shared" si="30"/>
        <v>160.35454533135987</v>
      </c>
      <c r="AB62" s="306">
        <f t="shared" si="30"/>
        <v>159.14503202842272</v>
      </c>
      <c r="AC62" s="306">
        <f t="shared" si="30"/>
        <v>157.94464411822617</v>
      </c>
      <c r="AD62" s="324">
        <f t="shared" si="30"/>
        <v>156.75346523020846</v>
      </c>
    </row>
    <row r="63" spans="2:30" x14ac:dyDescent="0.3">
      <c r="B63" s="125">
        <f t="shared" si="26"/>
        <v>3.527239647051969E-2</v>
      </c>
      <c r="C63" s="121" t="s">
        <v>10</v>
      </c>
      <c r="D63" s="3" t="s">
        <v>13</v>
      </c>
      <c r="E63" s="4">
        <v>33.630000000000003</v>
      </c>
      <c r="F63" s="4">
        <f t="shared" si="24"/>
        <v>33.630000000000003</v>
      </c>
      <c r="G63" s="4">
        <v>33.630000000000003</v>
      </c>
      <c r="H63" s="4">
        <f t="shared" si="27"/>
        <v>33.630000000000003</v>
      </c>
      <c r="I63" s="4">
        <v>33.630000000000003</v>
      </c>
      <c r="J63" s="4">
        <f t="shared" si="28"/>
        <v>20.842500000000001</v>
      </c>
      <c r="K63" s="4">
        <v>8.0549999999999997</v>
      </c>
      <c r="L63" s="4">
        <f t="shared" si="29"/>
        <v>11.6775</v>
      </c>
      <c r="M63" s="4">
        <v>15.3</v>
      </c>
      <c r="N63" s="103">
        <v>2210.7199999999998</v>
      </c>
      <c r="O63" s="103">
        <v>2210.7199999999998</v>
      </c>
      <c r="P63" s="103">
        <v>78.709999999999994</v>
      </c>
      <c r="Q63" s="104">
        <v>78.709999999999994</v>
      </c>
      <c r="R63" s="306">
        <f t="shared" si="30"/>
        <v>67.034809141101022</v>
      </c>
      <c r="S63" s="306">
        <f t="shared" si="30"/>
        <v>66.529174343074487</v>
      </c>
      <c r="T63" s="306">
        <f t="shared" si="30"/>
        <v>66.027354463891115</v>
      </c>
      <c r="U63" s="306">
        <f t="shared" si="30"/>
        <v>65.529320713089234</v>
      </c>
      <c r="V63" s="306">
        <f t="shared" si="30"/>
        <v>65.0350445175348</v>
      </c>
      <c r="W63" s="306">
        <f t="shared" si="30"/>
        <v>64.544560419770661</v>
      </c>
      <c r="X63" s="306">
        <f t="shared" si="30"/>
        <v>64.057651102169856</v>
      </c>
      <c r="Y63" s="306">
        <f t="shared" si="30"/>
        <v>63.574416361252624</v>
      </c>
      <c r="Z63" s="306">
        <f t="shared" si="30"/>
        <v>63.095012782657143</v>
      </c>
      <c r="AA63" s="306">
        <f t="shared" si="30"/>
        <v>62.61910231708341</v>
      </c>
      <c r="AB63" s="306">
        <f t="shared" si="30"/>
        <v>62.14678245166278</v>
      </c>
      <c r="AC63" s="306">
        <f t="shared" si="30"/>
        <v>61.678026089231892</v>
      </c>
      <c r="AD63" s="324">
        <f t="shared" si="30"/>
        <v>61.212865887426602</v>
      </c>
    </row>
    <row r="64" spans="2:30" x14ac:dyDescent="0.3">
      <c r="B64" s="125">
        <f t="shared" si="26"/>
        <v>5.9287740478335101E-3</v>
      </c>
      <c r="C64" s="121" t="s">
        <v>11</v>
      </c>
      <c r="D64" s="3" t="s">
        <v>13</v>
      </c>
      <c r="E64" s="4">
        <v>1.83</v>
      </c>
      <c r="F64" s="4">
        <f t="shared" si="24"/>
        <v>1.83</v>
      </c>
      <c r="G64" s="4">
        <v>1.83</v>
      </c>
      <c r="H64" s="4">
        <f t="shared" si="27"/>
        <v>1.83</v>
      </c>
      <c r="I64" s="4">
        <v>1.83</v>
      </c>
      <c r="J64" s="4">
        <f t="shared" si="28"/>
        <v>2.58</v>
      </c>
      <c r="K64" s="4">
        <v>3.33</v>
      </c>
      <c r="L64" s="4">
        <f t="shared" si="29"/>
        <v>4.6575000000000006</v>
      </c>
      <c r="M64" s="4">
        <v>5.9850000000000003</v>
      </c>
      <c r="N64" s="103">
        <v>6.53</v>
      </c>
      <c r="O64" s="103">
        <v>6.53</v>
      </c>
      <c r="P64" s="103">
        <v>13.23</v>
      </c>
      <c r="Q64" s="104">
        <v>13.23</v>
      </c>
      <c r="R64" s="306">
        <f t="shared" si="30"/>
        <v>11.267571146446027</v>
      </c>
      <c r="S64" s="306">
        <f t="shared" si="30"/>
        <v>11.182581330947473</v>
      </c>
      <c r="T64" s="306">
        <f t="shared" si="30"/>
        <v>11.09823274751975</v>
      </c>
      <c r="U64" s="306">
        <f t="shared" si="30"/>
        <v>11.014520556907264</v>
      </c>
      <c r="V64" s="306">
        <f t="shared" si="30"/>
        <v>10.931439956384011</v>
      </c>
      <c r="W64" s="306">
        <f t="shared" si="30"/>
        <v>10.848996752046322</v>
      </c>
      <c r="X64" s="306">
        <f t="shared" si="30"/>
        <v>10.767154415979004</v>
      </c>
      <c r="Y64" s="306">
        <f t="shared" si="30"/>
        <v>10.685929722517752</v>
      </c>
      <c r="Z64" s="306">
        <f t="shared" si="30"/>
        <v>10.60534899141855</v>
      </c>
      <c r="AA64" s="306">
        <f t="shared" si="30"/>
        <v>10.525355401537462</v>
      </c>
      <c r="AB64" s="306">
        <f t="shared" si="30"/>
        <v>10.445965339035684</v>
      </c>
      <c r="AC64" s="306">
        <f t="shared" si="30"/>
        <v>10.367174249276307</v>
      </c>
      <c r="AD64" s="324">
        <f t="shared" si="30"/>
        <v>10.288987621530353</v>
      </c>
    </row>
    <row r="65" spans="2:30" x14ac:dyDescent="0.3">
      <c r="B65" s="125">
        <f t="shared" si="26"/>
        <v>4.9204791417393756E-3</v>
      </c>
      <c r="C65" s="121" t="s">
        <v>12</v>
      </c>
      <c r="D65" s="3" t="s">
        <v>13</v>
      </c>
      <c r="E65" s="4">
        <v>20.58</v>
      </c>
      <c r="F65" s="4">
        <f t="shared" si="24"/>
        <v>20.58</v>
      </c>
      <c r="G65" s="4">
        <v>20.58</v>
      </c>
      <c r="H65" s="4">
        <f t="shared" si="27"/>
        <v>20.58</v>
      </c>
      <c r="I65" s="4">
        <v>20.58</v>
      </c>
      <c r="J65" s="4">
        <f t="shared" si="28"/>
        <v>44.92</v>
      </c>
      <c r="K65" s="4">
        <v>69.260000000000005</v>
      </c>
      <c r="L65" s="4">
        <f t="shared" si="29"/>
        <v>122.875</v>
      </c>
      <c r="M65" s="4">
        <v>176.49</v>
      </c>
      <c r="N65" s="103">
        <v>53.46</v>
      </c>
      <c r="O65" s="103">
        <v>53.46</v>
      </c>
      <c r="P65" s="103">
        <v>10.98</v>
      </c>
      <c r="Q65" s="104">
        <v>10.98</v>
      </c>
      <c r="R65" s="306">
        <f t="shared" si="30"/>
        <v>9.3513175501116681</v>
      </c>
      <c r="S65" s="306">
        <f t="shared" si="30"/>
        <v>9.2807817848679708</v>
      </c>
      <c r="T65" s="306">
        <f t="shared" si="30"/>
        <v>9.2107781986218349</v>
      </c>
      <c r="U65" s="306">
        <f t="shared" si="30"/>
        <v>9.1413027751203142</v>
      </c>
      <c r="V65" s="306">
        <f t="shared" si="30"/>
        <v>9.0723515284275464</v>
      </c>
      <c r="W65" s="306">
        <f t="shared" si="30"/>
        <v>9.0039292772085116</v>
      </c>
      <c r="X65" s="306">
        <f t="shared" si="30"/>
        <v>8.9360057057784932</v>
      </c>
      <c r="Y65" s="306">
        <f t="shared" si="30"/>
        <v>8.8685947356950052</v>
      </c>
      <c r="Z65" s="306">
        <f t="shared" si="30"/>
        <v>8.8017182105650562</v>
      </c>
      <c r="AA65" s="306">
        <f t="shared" si="30"/>
        <v>8.7353289727045613</v>
      </c>
      <c r="AB65" s="306">
        <f t="shared" si="30"/>
        <v>8.6694406215126083</v>
      </c>
      <c r="AC65" s="306">
        <f t="shared" si="30"/>
        <v>8.6040493769504032</v>
      </c>
      <c r="AD65" s="324">
        <f t="shared" si="30"/>
        <v>8.5391597947394757</v>
      </c>
    </row>
    <row r="66" spans="2:30" x14ac:dyDescent="0.3">
      <c r="B66" s="126"/>
      <c r="C66" s="121" t="s">
        <v>3</v>
      </c>
      <c r="D66" s="3" t="s">
        <v>13</v>
      </c>
      <c r="E66" s="4">
        <v>9692.42</v>
      </c>
      <c r="F66" s="4">
        <f t="shared" si="24"/>
        <v>9692.42</v>
      </c>
      <c r="G66" s="4">
        <v>9692.42</v>
      </c>
      <c r="H66" s="4">
        <f t="shared" si="27"/>
        <v>9692.42</v>
      </c>
      <c r="I66" s="4">
        <v>9692.42</v>
      </c>
      <c r="J66" s="4">
        <f t="shared" si="28"/>
        <v>6006.2650000000003</v>
      </c>
      <c r="K66" s="4">
        <v>2320.11</v>
      </c>
      <c r="L66" s="4">
        <f t="shared" si="29"/>
        <v>8269.5550000000003</v>
      </c>
      <c r="M66" s="4">
        <v>14219</v>
      </c>
      <c r="N66" s="4">
        <v>3174.03</v>
      </c>
      <c r="O66" s="4">
        <v>3174.03</v>
      </c>
      <c r="P66" s="4">
        <v>11997.5</v>
      </c>
      <c r="Q66" s="4">
        <v>11997.5</v>
      </c>
      <c r="R66" s="307">
        <v>11997.5</v>
      </c>
      <c r="S66" s="307">
        <v>11997.5</v>
      </c>
      <c r="T66" s="307">
        <v>11997.5</v>
      </c>
      <c r="U66" s="307">
        <v>11997.5</v>
      </c>
      <c r="V66" s="307">
        <v>11997.5</v>
      </c>
      <c r="W66" s="307">
        <v>11997.5</v>
      </c>
      <c r="X66" s="307">
        <v>11997.5</v>
      </c>
      <c r="Y66" s="307">
        <v>11997.5</v>
      </c>
      <c r="Z66" s="307">
        <v>11997.5</v>
      </c>
      <c r="AA66" s="307">
        <v>11997.5</v>
      </c>
      <c r="AB66" s="307">
        <v>11997.5</v>
      </c>
      <c r="AC66" s="307">
        <v>11997.5</v>
      </c>
      <c r="AD66" s="308">
        <v>11997.5</v>
      </c>
    </row>
    <row r="67" spans="2:30" x14ac:dyDescent="0.3">
      <c r="B67" s="6"/>
      <c r="C67" s="121" t="s">
        <v>15</v>
      </c>
      <c r="D67" s="3" t="s">
        <v>13</v>
      </c>
      <c r="E67" s="4">
        <v>614.62</v>
      </c>
      <c r="F67" s="4">
        <v>614.62</v>
      </c>
      <c r="G67" s="4">
        <v>614.62</v>
      </c>
      <c r="H67" s="4">
        <v>614.62</v>
      </c>
      <c r="I67" s="4">
        <v>614.62</v>
      </c>
      <c r="J67" s="4">
        <v>481.89</v>
      </c>
      <c r="K67" s="4">
        <v>349.16</v>
      </c>
      <c r="L67" s="4">
        <v>314.82499999999999</v>
      </c>
      <c r="M67" s="4">
        <v>280.49</v>
      </c>
      <c r="N67" s="4">
        <v>230.99</v>
      </c>
      <c r="O67" s="4">
        <v>230.99</v>
      </c>
      <c r="P67" s="4">
        <v>1935.81</v>
      </c>
      <c r="Q67" s="4">
        <v>1935.81</v>
      </c>
      <c r="R67" s="307">
        <v>1935.81</v>
      </c>
      <c r="S67" s="307">
        <v>1935.81</v>
      </c>
      <c r="T67" s="307">
        <v>1935.81</v>
      </c>
      <c r="U67" s="307">
        <v>1935.81</v>
      </c>
      <c r="V67" s="307">
        <v>1935.81</v>
      </c>
      <c r="W67" s="307">
        <v>1935.81</v>
      </c>
      <c r="X67" s="307">
        <v>1935.81</v>
      </c>
      <c r="Y67" s="307">
        <v>1935.81</v>
      </c>
      <c r="Z67" s="307">
        <v>1935.81</v>
      </c>
      <c r="AA67" s="307">
        <v>1935.81</v>
      </c>
      <c r="AB67" s="307">
        <v>1935.81</v>
      </c>
      <c r="AC67" s="307">
        <v>1935.81</v>
      </c>
      <c r="AD67" s="308">
        <v>1935.81</v>
      </c>
    </row>
    <row r="68" spans="2:30" x14ac:dyDescent="0.3">
      <c r="B68" s="5"/>
      <c r="C68" s="122" t="s">
        <v>16</v>
      </c>
      <c r="D68" s="3" t="s">
        <v>13</v>
      </c>
      <c r="E68" s="4">
        <v>275.76</v>
      </c>
      <c r="F68" s="4">
        <f t="shared" ref="F68:F84" si="31">+(E68+G68)/2</f>
        <v>275.76</v>
      </c>
      <c r="G68" s="4">
        <v>275.76</v>
      </c>
      <c r="H68" s="4">
        <f t="shared" ref="H68:H70" si="32">+(G68+I68)/2</f>
        <v>275.76</v>
      </c>
      <c r="I68" s="4">
        <v>275.76</v>
      </c>
      <c r="J68" s="4">
        <f t="shared" ref="J68:J70" si="33">+(I68+K68)/2</f>
        <v>261.45</v>
      </c>
      <c r="K68" s="4">
        <v>247.14</v>
      </c>
      <c r="L68" s="4">
        <f t="shared" ref="L68:L70" si="34">+(K68+M68)/2</f>
        <v>345.35500000000002</v>
      </c>
      <c r="M68" s="4">
        <v>443.57</v>
      </c>
      <c r="N68" s="103">
        <v>95151.11</v>
      </c>
      <c r="O68" s="103">
        <v>95151.11</v>
      </c>
      <c r="P68" s="4">
        <v>494.06</v>
      </c>
      <c r="Q68" s="36">
        <v>494.06</v>
      </c>
      <c r="R68" s="307">
        <v>494.06</v>
      </c>
      <c r="S68" s="307">
        <v>494.06</v>
      </c>
      <c r="T68" s="307">
        <v>494.06</v>
      </c>
      <c r="U68" s="307">
        <v>494.06</v>
      </c>
      <c r="V68" s="307">
        <v>494.06</v>
      </c>
      <c r="W68" s="307">
        <v>494.06</v>
      </c>
      <c r="X68" s="307">
        <v>494.06</v>
      </c>
      <c r="Y68" s="307">
        <v>494.06</v>
      </c>
      <c r="Z68" s="307">
        <v>494.06</v>
      </c>
      <c r="AA68" s="307">
        <v>494.06</v>
      </c>
      <c r="AB68" s="307">
        <v>494.06</v>
      </c>
      <c r="AC68" s="307">
        <v>494.06</v>
      </c>
      <c r="AD68" s="308">
        <v>494.06</v>
      </c>
    </row>
    <row r="69" spans="2:30" x14ac:dyDescent="0.3">
      <c r="B69" s="5"/>
      <c r="C69" s="122" t="s">
        <v>14</v>
      </c>
      <c r="D69" s="3" t="s">
        <v>13</v>
      </c>
      <c r="E69" s="4">
        <v>223.995</v>
      </c>
      <c r="F69" s="4">
        <f t="shared" si="31"/>
        <v>223.995</v>
      </c>
      <c r="G69" s="4">
        <v>223.995</v>
      </c>
      <c r="H69" s="4">
        <f t="shared" si="32"/>
        <v>223.995</v>
      </c>
      <c r="I69" s="4">
        <v>223.995</v>
      </c>
      <c r="J69" s="4">
        <f t="shared" si="33"/>
        <v>174.42750000000001</v>
      </c>
      <c r="K69" s="4">
        <v>124.86</v>
      </c>
      <c r="L69" s="4">
        <f t="shared" si="34"/>
        <v>436.92</v>
      </c>
      <c r="M69" s="4">
        <v>748.98</v>
      </c>
      <c r="N69" s="103">
        <v>871.12</v>
      </c>
      <c r="O69" s="103">
        <v>871.12</v>
      </c>
      <c r="P69" s="4">
        <v>2832.75</v>
      </c>
      <c r="Q69" s="36">
        <v>2832.75</v>
      </c>
      <c r="R69" s="307">
        <v>2832.75</v>
      </c>
      <c r="S69" s="307">
        <v>2832.75</v>
      </c>
      <c r="T69" s="307">
        <v>2832.75</v>
      </c>
      <c r="U69" s="307">
        <v>2832.75</v>
      </c>
      <c r="V69" s="307">
        <v>2832.75</v>
      </c>
      <c r="W69" s="307">
        <v>2832.75</v>
      </c>
      <c r="X69" s="307">
        <v>2832.75</v>
      </c>
      <c r="Y69" s="307">
        <v>2832.75</v>
      </c>
      <c r="Z69" s="307">
        <v>2832.75</v>
      </c>
      <c r="AA69" s="307">
        <v>2832.75</v>
      </c>
      <c r="AB69" s="307">
        <v>2832.75</v>
      </c>
      <c r="AC69" s="307">
        <v>2832.75</v>
      </c>
      <c r="AD69" s="308">
        <v>2832.75</v>
      </c>
    </row>
    <row r="70" spans="2:30" ht="15" thickBot="1" x14ac:dyDescent="0.35">
      <c r="B70" s="128"/>
      <c r="C70" s="129" t="s">
        <v>13</v>
      </c>
      <c r="D70" s="106" t="s">
        <v>13</v>
      </c>
      <c r="E70" s="107">
        <v>29525.66</v>
      </c>
      <c r="F70" s="107">
        <f t="shared" si="31"/>
        <v>29525.66</v>
      </c>
      <c r="G70" s="107">
        <v>29525.66</v>
      </c>
      <c r="H70" s="107">
        <f t="shared" si="32"/>
        <v>29525.66</v>
      </c>
      <c r="I70" s="107">
        <v>29525.66</v>
      </c>
      <c r="J70" s="107">
        <f t="shared" si="33"/>
        <v>76298.58</v>
      </c>
      <c r="K70" s="107">
        <v>123071.5</v>
      </c>
      <c r="L70" s="107">
        <f t="shared" si="34"/>
        <v>124802.24000000001</v>
      </c>
      <c r="M70" s="107">
        <v>126532.98000000001</v>
      </c>
      <c r="N70" s="108">
        <v>142953.79499999998</v>
      </c>
      <c r="O70" s="108">
        <v>142953.79499999998</v>
      </c>
      <c r="P70" s="107">
        <v>245067.52500000002</v>
      </c>
      <c r="Q70" s="109">
        <v>245067.52500000002</v>
      </c>
      <c r="R70" s="309">
        <v>245067.52500000002</v>
      </c>
      <c r="S70" s="309">
        <v>245067.52500000002</v>
      </c>
      <c r="T70" s="309">
        <v>245067.52500000002</v>
      </c>
      <c r="U70" s="309">
        <v>245067.52500000002</v>
      </c>
      <c r="V70" s="309">
        <v>245067.52500000002</v>
      </c>
      <c r="W70" s="309">
        <v>245067.52500000002</v>
      </c>
      <c r="X70" s="309">
        <v>245067.52500000002</v>
      </c>
      <c r="Y70" s="309">
        <v>245067.52500000002</v>
      </c>
      <c r="Z70" s="309">
        <v>245067.52500000002</v>
      </c>
      <c r="AA70" s="309">
        <v>245067.52500000002</v>
      </c>
      <c r="AB70" s="309">
        <v>245067.52500000002</v>
      </c>
      <c r="AC70" s="309">
        <v>245067.52500000002</v>
      </c>
      <c r="AD70" s="310">
        <v>245067.52500000002</v>
      </c>
    </row>
    <row r="72" spans="2:30" x14ac:dyDescent="0.3">
      <c r="B72" s="110" t="s">
        <v>14</v>
      </c>
      <c r="C72" s="113"/>
      <c r="D72" s="114"/>
      <c r="E72" s="115"/>
      <c r="F72" s="115"/>
      <c r="G72" s="11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row>
    <row r="73" spans="2:30" ht="15" thickBot="1" x14ac:dyDescent="0.35">
      <c r="B73" s="116">
        <f>+SUM(Q74:Q83)/(SUM(Q74:Q83)+SUM(Q4:Q13)+SUM(Q22:Q31)+SUM(Q39:Q48)+SUM(Q56:Q65))</f>
        <v>3.1249394409636967E-3</v>
      </c>
      <c r="C73" s="113"/>
      <c r="D73" s="114"/>
      <c r="E73" s="110"/>
      <c r="F73" s="110"/>
      <c r="G73" s="110"/>
      <c r="H73" s="110"/>
      <c r="I73" s="110"/>
      <c r="J73" s="110"/>
      <c r="K73" s="110"/>
      <c r="L73" s="110"/>
      <c r="M73" s="110"/>
      <c r="N73" s="110"/>
      <c r="O73" s="110"/>
      <c r="P73" s="110"/>
      <c r="Q73" s="110"/>
      <c r="R73" s="110"/>
      <c r="S73" s="110"/>
      <c r="T73" s="110"/>
      <c r="U73" s="110"/>
      <c r="V73" s="110"/>
      <c r="W73" s="110"/>
      <c r="X73" s="110"/>
      <c r="Y73" s="110"/>
      <c r="Z73" s="110"/>
      <c r="AA73" s="110"/>
      <c r="AB73" s="110"/>
      <c r="AC73" s="110"/>
      <c r="AD73" s="110"/>
    </row>
    <row r="74" spans="2:30" x14ac:dyDescent="0.3">
      <c r="B74" s="123">
        <f>+Q74/SUM(Q$74:Q$83)</f>
        <v>2.1466265168003339E-3</v>
      </c>
      <c r="C74" s="124" t="s">
        <v>2</v>
      </c>
      <c r="D74" s="1" t="s">
        <v>14</v>
      </c>
      <c r="E74" s="2">
        <v>0.42</v>
      </c>
      <c r="F74" s="2">
        <f t="shared" si="31"/>
        <v>0.42</v>
      </c>
      <c r="G74" s="2">
        <v>0.42</v>
      </c>
      <c r="H74" s="2">
        <f t="shared" ref="H74:H84" si="35">+(G74+I74)/2</f>
        <v>0.42</v>
      </c>
      <c r="I74" s="2">
        <v>0.42</v>
      </c>
      <c r="J74" s="2">
        <f t="shared" ref="J74:J84" si="36">+(I74+K74)/2</f>
        <v>18.772500000000001</v>
      </c>
      <c r="K74" s="2">
        <v>37.125</v>
      </c>
      <c r="L74" s="2">
        <f t="shared" ref="L74:L84" si="37">+(K74+M74)/2</f>
        <v>28.372500000000002</v>
      </c>
      <c r="M74" s="2">
        <v>19.62</v>
      </c>
      <c r="N74" s="102">
        <v>8.3699999999999992</v>
      </c>
      <c r="O74" s="102">
        <v>8.3699999999999992</v>
      </c>
      <c r="P74" s="2">
        <v>0.72</v>
      </c>
      <c r="Q74" s="35">
        <v>0.72</v>
      </c>
      <c r="R74" s="305">
        <f>$B$73*R$3*$B74</f>
        <v>0.61320115082699445</v>
      </c>
      <c r="S74" s="305">
        <f t="shared" ref="S74:AD74" si="38">$B$73*S$3*$B74</f>
        <v>0.60857585474544063</v>
      </c>
      <c r="T74" s="305">
        <f t="shared" si="38"/>
        <v>0.6039854556473333</v>
      </c>
      <c r="U74" s="305">
        <f t="shared" si="38"/>
        <v>0.59942969017182379</v>
      </c>
      <c r="V74" s="305">
        <f t="shared" si="38"/>
        <v>0.5949082969460685</v>
      </c>
      <c r="W74" s="305">
        <f t="shared" si="38"/>
        <v>0.59042159194809896</v>
      </c>
      <c r="X74" s="305">
        <f t="shared" si="38"/>
        <v>0.58596758726416331</v>
      </c>
      <c r="Y74" s="305">
        <f t="shared" si="38"/>
        <v>0.58154719578327907</v>
      </c>
      <c r="Z74" s="305">
        <f t="shared" si="38"/>
        <v>0.57716184987311836</v>
      </c>
      <c r="AA74" s="305">
        <f t="shared" si="38"/>
        <v>0.57280845722652851</v>
      </c>
      <c r="AB74" s="305">
        <f t="shared" si="38"/>
        <v>0.56848790960738405</v>
      </c>
      <c r="AC74" s="305">
        <f t="shared" si="38"/>
        <v>0.56419995914428867</v>
      </c>
      <c r="AD74" s="323">
        <f t="shared" si="38"/>
        <v>0.55994490457308022</v>
      </c>
    </row>
    <row r="75" spans="2:30" x14ac:dyDescent="0.3">
      <c r="B75" s="125">
        <f t="shared" ref="B75:B83" si="39">+Q75/SUM(Q$74:Q$83)</f>
        <v>3.9712590560806178E-2</v>
      </c>
      <c r="C75" s="121" t="s">
        <v>4</v>
      </c>
      <c r="D75" s="3" t="s">
        <v>14</v>
      </c>
      <c r="E75" s="4">
        <v>497.68499999999995</v>
      </c>
      <c r="F75" s="4">
        <f t="shared" si="31"/>
        <v>497.68499999999995</v>
      </c>
      <c r="G75" s="4">
        <v>497.68499999999995</v>
      </c>
      <c r="H75" s="4">
        <f t="shared" si="35"/>
        <v>497.68499999999995</v>
      </c>
      <c r="I75" s="4">
        <v>497.68499999999995</v>
      </c>
      <c r="J75" s="4">
        <f t="shared" si="36"/>
        <v>486.75749999999994</v>
      </c>
      <c r="K75" s="4">
        <v>475.83</v>
      </c>
      <c r="L75" s="4">
        <f t="shared" si="37"/>
        <v>299.45249999999999</v>
      </c>
      <c r="M75" s="4">
        <v>123.075</v>
      </c>
      <c r="N75" s="103">
        <v>87.35</v>
      </c>
      <c r="O75" s="103">
        <v>87.35</v>
      </c>
      <c r="P75" s="103">
        <v>13.32</v>
      </c>
      <c r="Q75" s="104">
        <v>13.32</v>
      </c>
      <c r="R75" s="306">
        <f t="shared" ref="R75:AD83" si="40">$B$73*R$3*$B75</f>
        <v>11.344221290299398</v>
      </c>
      <c r="S75" s="306">
        <f t="shared" si="40"/>
        <v>11.258653312790653</v>
      </c>
      <c r="T75" s="306">
        <f t="shared" si="40"/>
        <v>11.173730929475667</v>
      </c>
      <c r="U75" s="306">
        <f t="shared" si="40"/>
        <v>11.089449268178742</v>
      </c>
      <c r="V75" s="306">
        <f t="shared" si="40"/>
        <v>11.005803493502269</v>
      </c>
      <c r="W75" s="306">
        <f t="shared" si="40"/>
        <v>10.922799451039833</v>
      </c>
      <c r="X75" s="306">
        <f t="shared" si="40"/>
        <v>10.840400364387023</v>
      </c>
      <c r="Y75" s="306">
        <f t="shared" si="40"/>
        <v>10.758623121990663</v>
      </c>
      <c r="Z75" s="306">
        <f t="shared" si="40"/>
        <v>10.67749422265269</v>
      </c>
      <c r="AA75" s="306">
        <f t="shared" si="40"/>
        <v>10.596956458690778</v>
      </c>
      <c r="AB75" s="306">
        <f t="shared" si="40"/>
        <v>10.517026327736605</v>
      </c>
      <c r="AC75" s="306">
        <f t="shared" si="40"/>
        <v>10.437699244169341</v>
      </c>
      <c r="AD75" s="324">
        <f t="shared" si="40"/>
        <v>10.358980734601985</v>
      </c>
    </row>
    <row r="76" spans="2:30" x14ac:dyDescent="0.3">
      <c r="B76" s="125">
        <f t="shared" si="39"/>
        <v>0.11418860499090663</v>
      </c>
      <c r="C76" s="121" t="s">
        <v>5</v>
      </c>
      <c r="D76" s="3" t="s">
        <v>14</v>
      </c>
      <c r="E76" s="4">
        <v>52.04999999999999</v>
      </c>
      <c r="F76" s="4">
        <f t="shared" si="31"/>
        <v>52.04999999999999</v>
      </c>
      <c r="G76" s="4">
        <v>52.04999999999999</v>
      </c>
      <c r="H76" s="4">
        <f t="shared" si="35"/>
        <v>52.04999999999999</v>
      </c>
      <c r="I76" s="4">
        <v>52.04999999999999</v>
      </c>
      <c r="J76" s="4">
        <f t="shared" si="36"/>
        <v>244.83750000000001</v>
      </c>
      <c r="K76" s="4">
        <v>437.625</v>
      </c>
      <c r="L76" s="4">
        <f t="shared" si="37"/>
        <v>332.03250000000003</v>
      </c>
      <c r="M76" s="4">
        <v>226.44</v>
      </c>
      <c r="N76" s="103">
        <v>220.41</v>
      </c>
      <c r="O76" s="103">
        <v>220.41</v>
      </c>
      <c r="P76" s="103">
        <v>38.299999999999997</v>
      </c>
      <c r="Q76" s="104">
        <v>38.299999999999997</v>
      </c>
      <c r="R76" s="306">
        <f t="shared" si="40"/>
        <v>32.618894550935948</v>
      </c>
      <c r="S76" s="306">
        <f t="shared" si="40"/>
        <v>32.372854495486628</v>
      </c>
      <c r="T76" s="306">
        <f t="shared" si="40"/>
        <v>32.128670765684532</v>
      </c>
      <c r="U76" s="306">
        <f t="shared" si="40"/>
        <v>31.886329352195624</v>
      </c>
      <c r="V76" s="306">
        <f t="shared" si="40"/>
        <v>31.645816351436697</v>
      </c>
      <c r="W76" s="306">
        <f t="shared" si="40"/>
        <v>31.407148571683596</v>
      </c>
      <c r="X76" s="306">
        <f t="shared" si="40"/>
        <v>31.170220266968684</v>
      </c>
      <c r="Y76" s="306">
        <f t="shared" si="40"/>
        <v>30.935079997916088</v>
      </c>
      <c r="Z76" s="306">
        <f t="shared" si="40"/>
        <v>30.701803958528373</v>
      </c>
      <c r="AA76" s="306">
        <f t="shared" si="40"/>
        <v>30.4702276552445</v>
      </c>
      <c r="AB76" s="306">
        <f t="shared" si="40"/>
        <v>30.240398524948343</v>
      </c>
      <c r="AC76" s="306">
        <f t="shared" si="40"/>
        <v>30.012303382258686</v>
      </c>
      <c r="AD76" s="324">
        <f t="shared" si="40"/>
        <v>29.785958118262457</v>
      </c>
    </row>
    <row r="77" spans="2:30" x14ac:dyDescent="0.3">
      <c r="B77" s="125">
        <f t="shared" si="39"/>
        <v>0.18502728004531765</v>
      </c>
      <c r="C77" s="121" t="s">
        <v>6</v>
      </c>
      <c r="D77" s="3" t="s">
        <v>14</v>
      </c>
      <c r="E77" s="4">
        <v>22.185000000000002</v>
      </c>
      <c r="F77" s="4">
        <f t="shared" si="31"/>
        <v>22.185000000000002</v>
      </c>
      <c r="G77" s="4">
        <v>22.185000000000002</v>
      </c>
      <c r="H77" s="4">
        <f t="shared" si="35"/>
        <v>22.185000000000002</v>
      </c>
      <c r="I77" s="4">
        <v>22.185000000000002</v>
      </c>
      <c r="J77" s="4">
        <f t="shared" si="36"/>
        <v>63.247500000000002</v>
      </c>
      <c r="K77" s="4">
        <v>104.31</v>
      </c>
      <c r="L77" s="4">
        <f t="shared" si="37"/>
        <v>125.86499999999999</v>
      </c>
      <c r="M77" s="4">
        <v>147.41999999999999</v>
      </c>
      <c r="N77" s="103">
        <v>49.95</v>
      </c>
      <c r="O77" s="103">
        <v>49.95</v>
      </c>
      <c r="P77" s="103">
        <v>62.06</v>
      </c>
      <c r="Q77" s="104">
        <v>62.06</v>
      </c>
      <c r="R77" s="306">
        <f t="shared" si="40"/>
        <v>52.85453252822677</v>
      </c>
      <c r="S77" s="306">
        <f t="shared" si="40"/>
        <v>52.45585770208617</v>
      </c>
      <c r="T77" s="306">
        <f t="shared" si="40"/>
        <v>52.060190802046534</v>
      </c>
      <c r="U77" s="306">
        <f t="shared" si="40"/>
        <v>51.667509127865813</v>
      </c>
      <c r="V77" s="306">
        <f t="shared" si="40"/>
        <v>51.277790150656955</v>
      </c>
      <c r="W77" s="306">
        <f t="shared" si="40"/>
        <v>50.891061105970863</v>
      </c>
      <c r="X77" s="306">
        <f t="shared" si="40"/>
        <v>50.507150646686078</v>
      </c>
      <c r="Y77" s="306">
        <f t="shared" si="40"/>
        <v>50.126137458764298</v>
      </c>
      <c r="Z77" s="306">
        <f t="shared" si="40"/>
        <v>49.748145004341282</v>
      </c>
      <c r="AA77" s="306">
        <f t="shared" si="40"/>
        <v>49.372906743719938</v>
      </c>
      <c r="AB77" s="306">
        <f t="shared" si="40"/>
        <v>49.000499541992014</v>
      </c>
      <c r="AC77" s="306">
        <f t="shared" si="40"/>
        <v>48.63090203402021</v>
      </c>
      <c r="AD77" s="324">
        <f t="shared" si="40"/>
        <v>48.26413996917411</v>
      </c>
    </row>
    <row r="78" spans="2:30" x14ac:dyDescent="0.3">
      <c r="B78" s="125">
        <f t="shared" si="39"/>
        <v>2.1883664768492291E-2</v>
      </c>
      <c r="C78" s="121" t="s">
        <v>7</v>
      </c>
      <c r="D78" s="3" t="s">
        <v>14</v>
      </c>
      <c r="E78" s="4">
        <v>76.410000000000011</v>
      </c>
      <c r="F78" s="4">
        <f t="shared" si="31"/>
        <v>76.410000000000011</v>
      </c>
      <c r="G78" s="4">
        <v>76.410000000000011</v>
      </c>
      <c r="H78" s="4">
        <f t="shared" si="35"/>
        <v>76.410000000000011</v>
      </c>
      <c r="I78" s="4">
        <v>76.410000000000011</v>
      </c>
      <c r="J78" s="4">
        <f t="shared" si="36"/>
        <v>147.91500000000002</v>
      </c>
      <c r="K78" s="4">
        <v>219.42000000000002</v>
      </c>
      <c r="L78" s="4">
        <f t="shared" si="37"/>
        <v>177.32249999999999</v>
      </c>
      <c r="M78" s="4">
        <v>135.22499999999999</v>
      </c>
      <c r="N78" s="103">
        <v>102.15</v>
      </c>
      <c r="O78" s="103">
        <v>102.15</v>
      </c>
      <c r="P78" s="103">
        <v>7.34</v>
      </c>
      <c r="Q78" s="104">
        <v>7.34</v>
      </c>
      <c r="R78" s="306">
        <f t="shared" si="40"/>
        <v>6.2512450653751932</v>
      </c>
      <c r="S78" s="306">
        <f t="shared" si="40"/>
        <v>6.2040927414326861</v>
      </c>
      <c r="T78" s="306">
        <f t="shared" si="40"/>
        <v>6.1572961728492031</v>
      </c>
      <c r="U78" s="306">
        <f t="shared" si="40"/>
        <v>6.1108526748072034</v>
      </c>
      <c r="V78" s="306">
        <f t="shared" si="40"/>
        <v>6.0647595827557534</v>
      </c>
      <c r="W78" s="306">
        <f t="shared" si="40"/>
        <v>6.0190201179153426</v>
      </c>
      <c r="X78" s="306">
        <f t="shared" si="40"/>
        <v>5.973614014609665</v>
      </c>
      <c r="Y78" s="306">
        <f t="shared" si="40"/>
        <v>5.9285505792350941</v>
      </c>
      <c r="Z78" s="306">
        <f t="shared" si="40"/>
        <v>5.8838444139842894</v>
      </c>
      <c r="AA78" s="306">
        <f t="shared" si="40"/>
        <v>5.8394639945037765</v>
      </c>
      <c r="AB78" s="306">
        <f t="shared" si="40"/>
        <v>5.7954184118308314</v>
      </c>
      <c r="AC78" s="306">
        <f t="shared" si="40"/>
        <v>5.7517051390542759</v>
      </c>
      <c r="AD78" s="324">
        <f t="shared" si="40"/>
        <v>5.7083272216200118</v>
      </c>
    </row>
    <row r="79" spans="2:30" x14ac:dyDescent="0.3">
      <c r="B79" s="125">
        <f t="shared" si="39"/>
        <v>0.50794549953787904</v>
      </c>
      <c r="C79" s="121" t="s">
        <v>8</v>
      </c>
      <c r="D79" s="3" t="s">
        <v>14</v>
      </c>
      <c r="E79" s="4">
        <v>64.304999999999993</v>
      </c>
      <c r="F79" s="4">
        <f t="shared" si="31"/>
        <v>64.304999999999993</v>
      </c>
      <c r="G79" s="4">
        <v>64.304999999999993</v>
      </c>
      <c r="H79" s="4">
        <f t="shared" si="35"/>
        <v>64.304999999999993</v>
      </c>
      <c r="I79" s="4">
        <v>64.304999999999993</v>
      </c>
      <c r="J79" s="4">
        <f t="shared" si="36"/>
        <v>285.27749999999997</v>
      </c>
      <c r="K79" s="4">
        <v>506.25</v>
      </c>
      <c r="L79" s="4">
        <f t="shared" si="37"/>
        <v>589.18499999999995</v>
      </c>
      <c r="M79" s="4">
        <v>672.11999999999989</v>
      </c>
      <c r="N79" s="103">
        <v>582.98</v>
      </c>
      <c r="O79" s="103">
        <v>582.98</v>
      </c>
      <c r="P79" s="103">
        <v>170.37</v>
      </c>
      <c r="Q79" s="104">
        <v>170.37</v>
      </c>
      <c r="R79" s="306">
        <f t="shared" si="40"/>
        <v>145.09872231443757</v>
      </c>
      <c r="S79" s="306">
        <f t="shared" si="40"/>
        <v>144.0042616291399</v>
      </c>
      <c r="T79" s="306">
        <f t="shared" si="40"/>
        <v>142.91805844255026</v>
      </c>
      <c r="U79" s="306">
        <f t="shared" si="40"/>
        <v>141.84005043690783</v>
      </c>
      <c r="V79" s="306">
        <f t="shared" si="40"/>
        <v>140.77017576486347</v>
      </c>
      <c r="W79" s="306">
        <f t="shared" si="40"/>
        <v>139.70850919471894</v>
      </c>
      <c r="X79" s="306">
        <f t="shared" si="40"/>
        <v>138.65458033638265</v>
      </c>
      <c r="Y79" s="306">
        <f t="shared" si="40"/>
        <v>137.60860520221843</v>
      </c>
      <c r="Z79" s="306">
        <f t="shared" si="40"/>
        <v>136.57092272622663</v>
      </c>
      <c r="AA79" s="306">
        <f t="shared" si="40"/>
        <v>135.54080119122733</v>
      </c>
      <c r="AB79" s="306">
        <f t="shared" si="40"/>
        <v>134.51845161084725</v>
      </c>
      <c r="AC79" s="306">
        <f t="shared" si="40"/>
        <v>133.50381533251732</v>
      </c>
      <c r="AD79" s="324">
        <f t="shared" si="40"/>
        <v>132.49696304460511</v>
      </c>
    </row>
    <row r="80" spans="2:30" ht="24" customHeight="1" x14ac:dyDescent="0.3">
      <c r="B80" s="125">
        <f t="shared" si="39"/>
        <v>1.0077218926090455E-2</v>
      </c>
      <c r="C80" s="121" t="s">
        <v>9</v>
      </c>
      <c r="D80" s="3" t="s">
        <v>14</v>
      </c>
      <c r="E80" s="4">
        <v>17.655000000000001</v>
      </c>
      <c r="F80" s="4">
        <f t="shared" si="31"/>
        <v>17.655000000000001</v>
      </c>
      <c r="G80" s="4">
        <v>17.655000000000001</v>
      </c>
      <c r="H80" s="4">
        <f t="shared" si="35"/>
        <v>17.655000000000001</v>
      </c>
      <c r="I80" s="4">
        <v>17.655000000000001</v>
      </c>
      <c r="J80" s="4">
        <f t="shared" si="36"/>
        <v>32.362499999999997</v>
      </c>
      <c r="K80" s="4">
        <v>47.07</v>
      </c>
      <c r="L80" s="4">
        <f t="shared" si="37"/>
        <v>62.617499999999993</v>
      </c>
      <c r="M80" s="4">
        <v>78.164999999999978</v>
      </c>
      <c r="N80" s="103">
        <v>73.22</v>
      </c>
      <c r="O80" s="103">
        <v>73.22</v>
      </c>
      <c r="P80" s="103">
        <v>3.38</v>
      </c>
      <c r="Q80" s="104">
        <v>3.38</v>
      </c>
      <c r="R80" s="306">
        <f t="shared" si="40"/>
        <v>2.8786387358267236</v>
      </c>
      <c r="S80" s="306">
        <f t="shared" si="40"/>
        <v>2.8569255403327625</v>
      </c>
      <c r="T80" s="306">
        <f t="shared" si="40"/>
        <v>2.8353761667888699</v>
      </c>
      <c r="U80" s="306">
        <f t="shared" si="40"/>
        <v>2.8139893788621726</v>
      </c>
      <c r="V80" s="306">
        <f t="shared" si="40"/>
        <v>2.7927639495523771</v>
      </c>
      <c r="W80" s="306">
        <f t="shared" si="40"/>
        <v>2.771701362200798</v>
      </c>
      <c r="X80" s="306">
        <f t="shared" si="40"/>
        <v>2.7507922846567663</v>
      </c>
      <c r="Y80" s="306">
        <f t="shared" si="40"/>
        <v>2.7300410024270594</v>
      </c>
      <c r="Z80" s="306">
        <f t="shared" si="40"/>
        <v>2.7094542396821386</v>
      </c>
      <c r="AA80" s="306">
        <f t="shared" si="40"/>
        <v>2.6890174797578696</v>
      </c>
      <c r="AB80" s="306">
        <f t="shared" si="40"/>
        <v>2.6687349089902193</v>
      </c>
      <c r="AC80" s="306">
        <f t="shared" si="40"/>
        <v>2.6486053637606881</v>
      </c>
      <c r="AD80" s="324">
        <f t="shared" si="40"/>
        <v>2.6286302464680706</v>
      </c>
    </row>
    <row r="81" spans="2:30" x14ac:dyDescent="0.3">
      <c r="B81" s="125">
        <f t="shared" si="39"/>
        <v>5.9449628812498136E-2</v>
      </c>
      <c r="C81" s="121" t="s">
        <v>10</v>
      </c>
      <c r="D81" s="3" t="s">
        <v>14</v>
      </c>
      <c r="E81" s="4">
        <v>71.250000000000014</v>
      </c>
      <c r="F81" s="4">
        <f t="shared" si="31"/>
        <v>71.250000000000014</v>
      </c>
      <c r="G81" s="4">
        <v>71.250000000000014</v>
      </c>
      <c r="H81" s="4">
        <f t="shared" si="35"/>
        <v>71.250000000000014</v>
      </c>
      <c r="I81" s="4">
        <v>71.250000000000014</v>
      </c>
      <c r="J81" s="4">
        <f t="shared" si="36"/>
        <v>133.34249999999997</v>
      </c>
      <c r="K81" s="4">
        <v>195.43499999999995</v>
      </c>
      <c r="L81" s="4">
        <f t="shared" si="37"/>
        <v>191.65499999999997</v>
      </c>
      <c r="M81" s="4">
        <v>187.87500000000003</v>
      </c>
      <c r="N81" s="103">
        <v>191.3</v>
      </c>
      <c r="O81" s="103">
        <v>191.3</v>
      </c>
      <c r="P81" s="103">
        <v>19.940000000000001</v>
      </c>
      <c r="Q81" s="104">
        <v>19.940000000000001</v>
      </c>
      <c r="R81" s="306">
        <f t="shared" si="40"/>
        <v>16.982265204847597</v>
      </c>
      <c r="S81" s="306">
        <f t="shared" si="40"/>
        <v>16.854170199477899</v>
      </c>
      <c r="T81" s="306">
        <f t="shared" si="40"/>
        <v>16.727041646677538</v>
      </c>
      <c r="U81" s="306">
        <f t="shared" si="40"/>
        <v>16.600872252814121</v>
      </c>
      <c r="V81" s="306">
        <f t="shared" si="40"/>
        <v>16.475654779311952</v>
      </c>
      <c r="W81" s="306">
        <f t="shared" si="40"/>
        <v>16.351397977007075</v>
      </c>
      <c r="X81" s="306">
        <f t="shared" si="40"/>
        <v>16.228046791732524</v>
      </c>
      <c r="Y81" s="306">
        <f t="shared" si="40"/>
        <v>16.105626505442476</v>
      </c>
      <c r="Z81" s="306">
        <f t="shared" si="40"/>
        <v>15.984176786763861</v>
      </c>
      <c r="AA81" s="306">
        <f t="shared" si="40"/>
        <v>15.863611995968027</v>
      </c>
      <c r="AB81" s="306">
        <f t="shared" si="40"/>
        <v>15.743956829960053</v>
      </c>
      <c r="AC81" s="306">
        <f t="shared" si="40"/>
        <v>15.625204424079328</v>
      </c>
      <c r="AD81" s="324">
        <f t="shared" si="40"/>
        <v>15.507363051648916</v>
      </c>
    </row>
    <row r="82" spans="2:30" x14ac:dyDescent="0.3">
      <c r="B82" s="125">
        <f t="shared" si="39"/>
        <v>2.8711129662204467E-2</v>
      </c>
      <c r="C82" s="121" t="s">
        <v>11</v>
      </c>
      <c r="D82" s="3" t="s">
        <v>14</v>
      </c>
      <c r="E82" s="4">
        <v>1.6050000000000002</v>
      </c>
      <c r="F82" s="4">
        <f t="shared" si="31"/>
        <v>1.6050000000000002</v>
      </c>
      <c r="G82" s="4">
        <v>1.6050000000000002</v>
      </c>
      <c r="H82" s="4">
        <f t="shared" si="35"/>
        <v>1.6050000000000002</v>
      </c>
      <c r="I82" s="4">
        <v>1.6050000000000002</v>
      </c>
      <c r="J82" s="4">
        <f t="shared" si="36"/>
        <v>6.7424999999999997</v>
      </c>
      <c r="K82" s="4">
        <v>11.879999999999999</v>
      </c>
      <c r="L82" s="4">
        <f t="shared" si="37"/>
        <v>9.3149999999999995</v>
      </c>
      <c r="M82" s="4">
        <v>6.75</v>
      </c>
      <c r="N82" s="103">
        <v>8.5500000000000007</v>
      </c>
      <c r="O82" s="103">
        <v>8.5500000000000007</v>
      </c>
      <c r="P82" s="103">
        <v>9.6300000000000008</v>
      </c>
      <c r="Q82" s="104">
        <v>9.6300000000000008</v>
      </c>
      <c r="R82" s="306">
        <f t="shared" si="40"/>
        <v>8.2015653923110516</v>
      </c>
      <c r="S82" s="306">
        <f t="shared" si="40"/>
        <v>8.1397020572202692</v>
      </c>
      <c r="T82" s="306">
        <f t="shared" si="40"/>
        <v>8.0783054692830838</v>
      </c>
      <c r="U82" s="306">
        <f t="shared" si="40"/>
        <v>8.0173721060481444</v>
      </c>
      <c r="V82" s="306">
        <f t="shared" si="40"/>
        <v>7.956898471653667</v>
      </c>
      <c r="W82" s="306">
        <f t="shared" si="40"/>
        <v>7.8968887923058242</v>
      </c>
      <c r="X82" s="306">
        <f t="shared" si="40"/>
        <v>7.8373164796581847</v>
      </c>
      <c r="Y82" s="306">
        <f t="shared" si="40"/>
        <v>7.7781937436013573</v>
      </c>
      <c r="Z82" s="306">
        <f t="shared" si="40"/>
        <v>7.7195397420529579</v>
      </c>
      <c r="AA82" s="306">
        <f t="shared" si="40"/>
        <v>7.6613131154048189</v>
      </c>
      <c r="AB82" s="306">
        <f t="shared" si="40"/>
        <v>7.6035257909987619</v>
      </c>
      <c r="AC82" s="306">
        <f t="shared" si="40"/>
        <v>7.5461744535548609</v>
      </c>
      <c r="AD82" s="324">
        <f t="shared" si="40"/>
        <v>7.4892630986649484</v>
      </c>
    </row>
    <row r="83" spans="2:30" x14ac:dyDescent="0.3">
      <c r="B83" s="125">
        <f t="shared" si="39"/>
        <v>3.0857756179004797E-2</v>
      </c>
      <c r="C83" s="121" t="s">
        <v>12</v>
      </c>
      <c r="D83" s="3" t="s">
        <v>14</v>
      </c>
      <c r="E83" s="4">
        <v>34.950000000000003</v>
      </c>
      <c r="F83" s="4">
        <f t="shared" si="31"/>
        <v>34.950000000000003</v>
      </c>
      <c r="G83" s="4">
        <v>34.950000000000003</v>
      </c>
      <c r="H83" s="4">
        <f t="shared" si="35"/>
        <v>34.950000000000003</v>
      </c>
      <c r="I83" s="4">
        <v>34.950000000000003</v>
      </c>
      <c r="J83" s="4">
        <f t="shared" si="36"/>
        <v>105.4725</v>
      </c>
      <c r="K83" s="4">
        <v>175.995</v>
      </c>
      <c r="L83" s="4">
        <f t="shared" si="37"/>
        <v>180.22750000000002</v>
      </c>
      <c r="M83" s="4">
        <v>184.46</v>
      </c>
      <c r="N83" s="103">
        <v>7.38</v>
      </c>
      <c r="O83" s="103">
        <v>7.38</v>
      </c>
      <c r="P83" s="103">
        <v>10.35</v>
      </c>
      <c r="Q83" s="104">
        <v>10.35</v>
      </c>
      <c r="R83" s="306">
        <f t="shared" si="40"/>
        <v>8.8147665431380453</v>
      </c>
      <c r="S83" s="306">
        <f t="shared" si="40"/>
        <v>8.7482779119657081</v>
      </c>
      <c r="T83" s="306">
        <f t="shared" si="40"/>
        <v>8.6822909249304168</v>
      </c>
      <c r="U83" s="306">
        <f t="shared" si="40"/>
        <v>8.616801796219967</v>
      </c>
      <c r="V83" s="306">
        <f t="shared" si="40"/>
        <v>8.5518067685997341</v>
      </c>
      <c r="W83" s="306">
        <f t="shared" si="40"/>
        <v>8.4873103842539219</v>
      </c>
      <c r="X83" s="306">
        <f t="shared" si="40"/>
        <v>8.4232840669223474</v>
      </c>
      <c r="Y83" s="306">
        <f t="shared" si="40"/>
        <v>8.3597409393846362</v>
      </c>
      <c r="Z83" s="306">
        <f t="shared" si="40"/>
        <v>8.2967015919260749</v>
      </c>
      <c r="AA83" s="306">
        <f t="shared" si="40"/>
        <v>8.2341215726313468</v>
      </c>
      <c r="AB83" s="306">
        <f t="shared" si="40"/>
        <v>8.1720137006061453</v>
      </c>
      <c r="AC83" s="306">
        <f t="shared" si="40"/>
        <v>8.1103744126991497</v>
      </c>
      <c r="AD83" s="324">
        <f t="shared" si="40"/>
        <v>8.0492080032380287</v>
      </c>
    </row>
    <row r="84" spans="2:30" x14ac:dyDescent="0.3">
      <c r="B84" s="126"/>
      <c r="C84" s="121" t="s">
        <v>3</v>
      </c>
      <c r="D84" s="3" t="s">
        <v>14</v>
      </c>
      <c r="E84" s="4">
        <v>3381.8250000000003</v>
      </c>
      <c r="F84" s="4">
        <f t="shared" si="31"/>
        <v>3381.8250000000003</v>
      </c>
      <c r="G84" s="4">
        <v>3381.8250000000003</v>
      </c>
      <c r="H84" s="4">
        <f t="shared" si="35"/>
        <v>3381.8250000000003</v>
      </c>
      <c r="I84" s="4">
        <v>3381.8250000000003</v>
      </c>
      <c r="J84" s="4">
        <f t="shared" si="36"/>
        <v>2758.6950000000002</v>
      </c>
      <c r="K84" s="4">
        <v>2135.5650000000001</v>
      </c>
      <c r="L84" s="4">
        <f t="shared" si="37"/>
        <v>3725.7825000000003</v>
      </c>
      <c r="M84" s="4">
        <v>5316</v>
      </c>
      <c r="N84" s="4">
        <v>196.43</v>
      </c>
      <c r="O84" s="4">
        <v>196.43</v>
      </c>
      <c r="P84" s="4">
        <v>2343.11</v>
      </c>
      <c r="Q84" s="4">
        <v>2343.11</v>
      </c>
      <c r="R84" s="307">
        <v>2343.11</v>
      </c>
      <c r="S84" s="307">
        <v>2343.11</v>
      </c>
      <c r="T84" s="307">
        <v>2343.11</v>
      </c>
      <c r="U84" s="307">
        <v>2343.11</v>
      </c>
      <c r="V84" s="307">
        <v>2343.11</v>
      </c>
      <c r="W84" s="307">
        <v>2343.11</v>
      </c>
      <c r="X84" s="307">
        <v>2343.11</v>
      </c>
      <c r="Y84" s="307">
        <v>2343.11</v>
      </c>
      <c r="Z84" s="307">
        <v>2343.11</v>
      </c>
      <c r="AA84" s="307">
        <v>2343.11</v>
      </c>
      <c r="AB84" s="307">
        <v>2343.11</v>
      </c>
      <c r="AC84" s="307">
        <v>2343.11</v>
      </c>
      <c r="AD84" s="308">
        <v>2343.11</v>
      </c>
    </row>
    <row r="85" spans="2:30" x14ac:dyDescent="0.3">
      <c r="B85" s="6"/>
      <c r="C85" s="121" t="s">
        <v>15</v>
      </c>
      <c r="D85" s="3" t="s">
        <v>14</v>
      </c>
      <c r="E85" s="4">
        <v>1159.8499999999999</v>
      </c>
      <c r="F85" s="4">
        <v>1147.2</v>
      </c>
      <c r="G85" s="4">
        <v>1159.8499999999999</v>
      </c>
      <c r="H85" s="4">
        <v>1147.2</v>
      </c>
      <c r="I85" s="4">
        <v>1159.8499999999999</v>
      </c>
      <c r="J85" s="4">
        <v>1314.71</v>
      </c>
      <c r="K85" s="4">
        <v>2422.5300000000002</v>
      </c>
      <c r="L85" s="4">
        <v>1390.06</v>
      </c>
      <c r="M85" s="4">
        <v>974.48</v>
      </c>
      <c r="N85" s="4">
        <v>464.18</v>
      </c>
      <c r="O85" s="4">
        <v>464.18</v>
      </c>
      <c r="P85" s="4">
        <v>465.71</v>
      </c>
      <c r="Q85" s="4">
        <v>465.71</v>
      </c>
      <c r="R85" s="307">
        <v>465.71</v>
      </c>
      <c r="S85" s="307">
        <v>465.71</v>
      </c>
      <c r="T85" s="307">
        <v>465.71</v>
      </c>
      <c r="U85" s="307">
        <v>465.71</v>
      </c>
      <c r="V85" s="307">
        <v>465.71</v>
      </c>
      <c r="W85" s="307">
        <v>465.71</v>
      </c>
      <c r="X85" s="307">
        <v>465.71</v>
      </c>
      <c r="Y85" s="307">
        <v>465.71</v>
      </c>
      <c r="Z85" s="307">
        <v>465.71</v>
      </c>
      <c r="AA85" s="307">
        <v>465.71</v>
      </c>
      <c r="AB85" s="307">
        <v>465.71</v>
      </c>
      <c r="AC85" s="307">
        <v>465.71</v>
      </c>
      <c r="AD85" s="308">
        <v>465.71</v>
      </c>
    </row>
    <row r="86" spans="2:30" x14ac:dyDescent="0.3">
      <c r="B86" s="5"/>
      <c r="C86" s="122" t="s">
        <v>16</v>
      </c>
      <c r="D86" s="3" t="s">
        <v>14</v>
      </c>
      <c r="E86" s="4">
        <v>1795.99</v>
      </c>
      <c r="F86" s="4">
        <f>+(E86+G86)/2</f>
        <v>1795.99</v>
      </c>
      <c r="G86" s="4">
        <v>1795.99</v>
      </c>
      <c r="H86" s="4">
        <f>+(G86+I86)/2</f>
        <v>1795.99</v>
      </c>
      <c r="I86" s="4">
        <v>1795.99</v>
      </c>
      <c r="J86" s="4">
        <f>+(I86+K86)/2</f>
        <v>1414.6399999999999</v>
      </c>
      <c r="K86" s="4">
        <v>1033.29</v>
      </c>
      <c r="L86" s="4">
        <f>+(K86+M86)/2</f>
        <v>2623.5</v>
      </c>
      <c r="M86" s="4">
        <v>4213.71</v>
      </c>
      <c r="N86" s="103">
        <v>26.96</v>
      </c>
      <c r="O86" s="103">
        <v>26.96</v>
      </c>
      <c r="P86" s="4">
        <v>341.55</v>
      </c>
      <c r="Q86" s="36">
        <v>341.55</v>
      </c>
      <c r="R86" s="307">
        <v>341.55</v>
      </c>
      <c r="S86" s="307">
        <v>341.55</v>
      </c>
      <c r="T86" s="307">
        <v>341.55</v>
      </c>
      <c r="U86" s="307">
        <v>341.55</v>
      </c>
      <c r="V86" s="307">
        <v>341.55</v>
      </c>
      <c r="W86" s="307">
        <v>341.55</v>
      </c>
      <c r="X86" s="307">
        <v>341.55</v>
      </c>
      <c r="Y86" s="307">
        <v>341.55</v>
      </c>
      <c r="Z86" s="307">
        <v>341.55</v>
      </c>
      <c r="AA86" s="307">
        <v>341.55</v>
      </c>
      <c r="AB86" s="307">
        <v>341.55</v>
      </c>
      <c r="AC86" s="307">
        <v>341.55</v>
      </c>
      <c r="AD86" s="308">
        <v>341.55</v>
      </c>
    </row>
    <row r="87" spans="2:30" x14ac:dyDescent="0.3">
      <c r="B87" s="5"/>
      <c r="C87" s="122" t="s">
        <v>13</v>
      </c>
      <c r="D87" s="3" t="s">
        <v>14</v>
      </c>
      <c r="E87" s="4">
        <v>0</v>
      </c>
      <c r="F87" s="4">
        <f t="shared" ref="F87:F88" si="41">+(E87+G87)/2</f>
        <v>0</v>
      </c>
      <c r="G87" s="4">
        <v>0</v>
      </c>
      <c r="H87" s="4">
        <f t="shared" ref="H87:H88" si="42">+(G87+I87)/2</f>
        <v>0</v>
      </c>
      <c r="I87" s="4">
        <v>0</v>
      </c>
      <c r="J87" s="4">
        <f t="shared" ref="J87:J88" si="43">+(I87+K87)/2</f>
        <v>0</v>
      </c>
      <c r="K87" s="4">
        <v>0</v>
      </c>
      <c r="L87" s="4">
        <f t="shared" ref="L87:L88" si="44">+(K87+M87)/2</f>
        <v>0</v>
      </c>
      <c r="M87" s="4">
        <v>0</v>
      </c>
      <c r="N87" s="103">
        <v>0</v>
      </c>
      <c r="O87" s="103">
        <v>0</v>
      </c>
      <c r="P87" s="4">
        <v>0</v>
      </c>
      <c r="Q87" s="36">
        <v>0</v>
      </c>
      <c r="R87" s="307">
        <v>0</v>
      </c>
      <c r="S87" s="307">
        <v>0</v>
      </c>
      <c r="T87" s="307">
        <v>0</v>
      </c>
      <c r="U87" s="307">
        <v>0</v>
      </c>
      <c r="V87" s="307">
        <v>0</v>
      </c>
      <c r="W87" s="307">
        <v>0</v>
      </c>
      <c r="X87" s="307">
        <v>0</v>
      </c>
      <c r="Y87" s="307">
        <v>0</v>
      </c>
      <c r="Z87" s="307">
        <v>0</v>
      </c>
      <c r="AA87" s="307">
        <v>0</v>
      </c>
      <c r="AB87" s="307">
        <v>0</v>
      </c>
      <c r="AC87" s="307">
        <v>0</v>
      </c>
      <c r="AD87" s="308">
        <v>0</v>
      </c>
    </row>
    <row r="88" spans="2:30" ht="15" thickBot="1" x14ac:dyDescent="0.35">
      <c r="B88" s="128"/>
      <c r="C88" s="129" t="s">
        <v>14</v>
      </c>
      <c r="D88" s="106" t="s">
        <v>14</v>
      </c>
      <c r="E88" s="107">
        <v>12896.16</v>
      </c>
      <c r="F88" s="107">
        <f t="shared" si="41"/>
        <v>12896.16</v>
      </c>
      <c r="G88" s="107">
        <v>12896.16</v>
      </c>
      <c r="H88" s="107">
        <f t="shared" si="42"/>
        <v>12896.16</v>
      </c>
      <c r="I88" s="107">
        <v>12896.16</v>
      </c>
      <c r="J88" s="107">
        <f t="shared" si="43"/>
        <v>27577.08</v>
      </c>
      <c r="K88" s="107">
        <v>42258</v>
      </c>
      <c r="L88" s="107">
        <f t="shared" si="44"/>
        <v>42133.4925</v>
      </c>
      <c r="M88" s="107">
        <v>42008.985000000001</v>
      </c>
      <c r="N88" s="108">
        <v>49029.570000000007</v>
      </c>
      <c r="O88" s="108">
        <v>49029.570000000007</v>
      </c>
      <c r="P88" s="107">
        <v>42009.840000000004</v>
      </c>
      <c r="Q88" s="109">
        <v>42009.840000000004</v>
      </c>
      <c r="R88" s="309">
        <v>42009.840000000004</v>
      </c>
      <c r="S88" s="309">
        <v>42009.840000000004</v>
      </c>
      <c r="T88" s="309">
        <v>42009.840000000004</v>
      </c>
      <c r="U88" s="309">
        <v>42009.840000000004</v>
      </c>
      <c r="V88" s="309">
        <v>42009.840000000004</v>
      </c>
      <c r="W88" s="309">
        <v>42009.840000000004</v>
      </c>
      <c r="X88" s="309">
        <v>42009.840000000004</v>
      </c>
      <c r="Y88" s="309">
        <v>42009.840000000004</v>
      </c>
      <c r="Z88" s="309">
        <v>42009.840000000004</v>
      </c>
      <c r="AA88" s="309">
        <v>42009.840000000004</v>
      </c>
      <c r="AB88" s="309">
        <v>42009.840000000004</v>
      </c>
      <c r="AC88" s="309">
        <v>42009.840000000004</v>
      </c>
      <c r="AD88" s="310">
        <v>42009.840000000004</v>
      </c>
    </row>
  </sheetData>
  <pageMargins left="0.7" right="0.7" top="0.75" bottom="0.75" header="0.3" footer="0.3"/>
  <pageSetup orientation="portrait" horizontalDpi="200" verticalDpi="200" copies="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4123-71FE-4EC5-A268-493C137C664F}">
  <sheetPr>
    <tabColor rgb="FFFFC000"/>
  </sheetPr>
  <dimension ref="A1:L59"/>
  <sheetViews>
    <sheetView zoomScale="115" zoomScaleNormal="115" workbookViewId="0">
      <pane ySplit="1" topLeftCell="A48" activePane="bottomLeft" state="frozen"/>
      <selection pane="bottomLeft" activeCell="C59" sqref="C59:E59"/>
    </sheetView>
  </sheetViews>
  <sheetFormatPr baseColWidth="10" defaultColWidth="11.44140625" defaultRowHeight="14.4" x14ac:dyDescent="0.3"/>
  <cols>
    <col min="1" max="1" width="34.6640625" style="227" customWidth="1"/>
    <col min="2" max="2" width="56.5546875" customWidth="1"/>
    <col min="3" max="3" width="24.33203125" customWidth="1"/>
    <col min="4" max="4" width="25.88671875" customWidth="1"/>
    <col min="5" max="5" width="32.21875" customWidth="1"/>
    <col min="6" max="12" width="19.6640625" customWidth="1"/>
  </cols>
  <sheetData>
    <row r="1" spans="1:12" ht="15" thickBot="1" x14ac:dyDescent="0.35">
      <c r="A1" s="226" t="s">
        <v>133</v>
      </c>
      <c r="B1" s="99" t="s">
        <v>130</v>
      </c>
      <c r="C1" s="99">
        <v>2026</v>
      </c>
      <c r="D1" s="99">
        <v>2027</v>
      </c>
      <c r="E1" s="99">
        <v>2028</v>
      </c>
      <c r="F1" s="99">
        <v>2029</v>
      </c>
      <c r="G1" s="99">
        <v>2030</v>
      </c>
      <c r="H1" s="99">
        <v>2031</v>
      </c>
      <c r="I1" s="99">
        <v>2032</v>
      </c>
      <c r="J1" s="99">
        <v>2033</v>
      </c>
      <c r="K1" s="99">
        <v>2034</v>
      </c>
      <c r="L1" s="100">
        <v>2035</v>
      </c>
    </row>
    <row r="2" spans="1:12" ht="15" thickBot="1" x14ac:dyDescent="0.35"/>
    <row r="3" spans="1:12" ht="45" customHeight="1" thickBot="1" x14ac:dyDescent="0.35">
      <c r="B3" s="221" t="s">
        <v>139</v>
      </c>
      <c r="C3" s="222" t="s">
        <v>208</v>
      </c>
      <c r="D3" s="222" t="s">
        <v>209</v>
      </c>
      <c r="E3" s="223" t="s">
        <v>207</v>
      </c>
    </row>
    <row r="4" spans="1:12" x14ac:dyDescent="0.3">
      <c r="B4" s="142" t="s">
        <v>148</v>
      </c>
      <c r="C4" s="294">
        <f>+SUM(C22:L24)</f>
        <v>6.7758960326512243</v>
      </c>
      <c r="D4" s="294">
        <f>+SUM(C37:L39)</f>
        <v>10.619540000000001</v>
      </c>
      <c r="E4" s="295">
        <f>+C4+D4</f>
        <v>17.395436032651226</v>
      </c>
      <c r="F4" s="254"/>
    </row>
    <row r="5" spans="1:12" ht="15" thickBot="1" x14ac:dyDescent="0.35">
      <c r="B5" s="224" t="s">
        <v>149</v>
      </c>
      <c r="C5" s="296">
        <f>+SUM(C59:E59)</f>
        <v>144.09309455585279</v>
      </c>
      <c r="D5" s="296">
        <f>+SUM(C49:E49)</f>
        <v>337.82999999999981</v>
      </c>
      <c r="E5" s="297">
        <f>+C5+D5</f>
        <v>481.92309455585257</v>
      </c>
      <c r="F5" s="254"/>
    </row>
    <row r="7" spans="1:12" ht="15" thickBot="1" x14ac:dyDescent="0.35"/>
    <row r="8" spans="1:12" x14ac:dyDescent="0.3">
      <c r="B8" s="145" t="s">
        <v>140</v>
      </c>
      <c r="C8" s="83"/>
      <c r="D8" s="83"/>
      <c r="E8" s="83"/>
      <c r="F8" s="83"/>
      <c r="G8" s="83"/>
      <c r="H8" s="83"/>
      <c r="I8" s="83"/>
      <c r="J8" s="83"/>
      <c r="K8" s="83"/>
      <c r="L8" s="84"/>
    </row>
    <row r="9" spans="1:12" ht="15" thickBot="1" x14ac:dyDescent="0.35">
      <c r="B9" s="146" t="s">
        <v>147</v>
      </c>
      <c r="C9" s="101"/>
      <c r="D9" s="101"/>
      <c r="E9" s="101"/>
      <c r="F9" s="101"/>
      <c r="G9" s="101"/>
      <c r="H9" s="101"/>
      <c r="I9" s="101"/>
      <c r="J9" s="101"/>
      <c r="K9" s="101"/>
      <c r="L9" s="147"/>
    </row>
    <row r="10" spans="1:12" x14ac:dyDescent="0.3">
      <c r="B10" s="142" t="s">
        <v>142</v>
      </c>
      <c r="C10" s="76"/>
      <c r="D10" s="76"/>
      <c r="E10" s="76"/>
      <c r="F10" s="76"/>
      <c r="G10" s="76"/>
      <c r="H10" s="76"/>
      <c r="I10" s="76"/>
      <c r="J10" s="76"/>
      <c r="K10" s="76"/>
      <c r="L10" s="77"/>
    </row>
    <row r="11" spans="1:12" ht="28.8" x14ac:dyDescent="0.3">
      <c r="A11" s="227" t="s">
        <v>213</v>
      </c>
      <c r="B11" s="133" t="s">
        <v>143</v>
      </c>
      <c r="C11" s="258">
        <f>+(173*0.48/100)/1000</f>
        <v>8.3039999999999991E-4</v>
      </c>
      <c r="D11" s="258">
        <f>+((173/1000)-(SUM($C11:C11)))*(0.48/100)</f>
        <v>8.2641407999999982E-4</v>
      </c>
      <c r="E11" s="258">
        <f>+((173/1000)-(SUM($C11:D11)))*(0.48/100)</f>
        <v>8.2244729241599986E-4</v>
      </c>
      <c r="F11" s="258">
        <f>+((173/1000)-(SUM($C11:E11)))*(0.48/100)</f>
        <v>8.1849954541240305E-4</v>
      </c>
      <c r="G11" s="258">
        <f>+((173/1000)-(SUM($C11:F11)))*(0.48/100)</f>
        <v>8.1457074759442346E-4</v>
      </c>
      <c r="H11" s="258">
        <f>+((173/1000)-(SUM($C11:G11)))*(0.48/100)</f>
        <v>8.1066080800597034E-4</v>
      </c>
      <c r="I11" s="258">
        <f>+((173/1000)-(SUM($C11:H11)))*(0.48/100)</f>
        <v>8.0676963612754174E-4</v>
      </c>
      <c r="J11" s="258">
        <f>+((173/1000)-(SUM($C11:I11)))*(0.48/100)</f>
        <v>8.0289714187412942E-4</v>
      </c>
      <c r="K11" s="258">
        <f>+((173/1000)-(SUM($C11:J11)))*(0.48/100)</f>
        <v>7.9904323559313369E-4</v>
      </c>
      <c r="L11" s="259">
        <f>+((173/1000)-(SUM($C11:K11)))*(0.48/100)</f>
        <v>7.9520782806228652E-4</v>
      </c>
    </row>
    <row r="12" spans="1:12" ht="28.8" x14ac:dyDescent="0.3">
      <c r="A12" s="227" t="s">
        <v>214</v>
      </c>
      <c r="B12" s="133" t="s">
        <v>144</v>
      </c>
      <c r="C12" s="258">
        <f>+(80*0.48/100)/1000</f>
        <v>3.8400000000000001E-4</v>
      </c>
      <c r="D12" s="258">
        <f>+((80/1000)-(SUM($C12:C12)))*(0.48/100)</f>
        <v>3.8215679999999998E-4</v>
      </c>
      <c r="E12" s="258">
        <f>+((80/1000)-(SUM($C12:D12)))*(0.48/100)</f>
        <v>3.8032244735999995E-4</v>
      </c>
      <c r="F12" s="258">
        <f>+((80/1000)-(SUM($C12:E12)))*(0.48/100)</f>
        <v>3.7849689961267198E-4</v>
      </c>
      <c r="G12" s="258">
        <f>+((80/1000)-(SUM($C12:F12)))*(0.48/100)</f>
        <v>3.7668011449453116E-4</v>
      </c>
      <c r="H12" s="258">
        <f>+((80/1000)-(SUM($C12:G12)))*(0.48/100)</f>
        <v>3.7487204994495746E-4</v>
      </c>
      <c r="I12" s="258">
        <f>+((80/1000)-(SUM($C12:H12)))*(0.48/100)</f>
        <v>3.7307266410522162E-4</v>
      </c>
      <c r="J12" s="258">
        <f>+((80/1000)-(SUM($C12:I12)))*(0.48/100)</f>
        <v>3.7128191531751655E-4</v>
      </c>
      <c r="K12" s="258">
        <f>+((80/1000)-(SUM($C12:J12)))*(0.48/100)</f>
        <v>3.6949976212399246E-4</v>
      </c>
      <c r="L12" s="259">
        <f>+((80/1000)-(SUM($C12:K12)))*(0.48/100)</f>
        <v>3.6772616326579728E-4</v>
      </c>
    </row>
    <row r="13" spans="1:12" ht="29.4" thickBot="1" x14ac:dyDescent="0.35">
      <c r="A13" s="227" t="s">
        <v>215</v>
      </c>
      <c r="B13" s="139" t="s">
        <v>143</v>
      </c>
      <c r="C13" s="260">
        <f>+(102*0.48/100)/1000</f>
        <v>4.8960000000000008E-4</v>
      </c>
      <c r="D13" s="260">
        <f>+((102/1000)-(SUM($C13:C13)))*(0.48/100)</f>
        <v>4.8724991999999988E-4</v>
      </c>
      <c r="E13" s="260">
        <f>+((102/1000)-(SUM($C13:D13)))*(0.48/100)</f>
        <v>4.8491112038399995E-4</v>
      </c>
      <c r="F13" s="260">
        <f>+((102/1000)-(SUM($C13:E13)))*(0.48/100)</f>
        <v>4.8258354700615676E-4</v>
      </c>
      <c r="G13" s="260">
        <f>+((102/1000)-(SUM($C13:F13)))*(0.48/100)</f>
        <v>4.8026714598052719E-4</v>
      </c>
      <c r="H13" s="260">
        <f>+((102/1000)-(SUM($C13:G13)))*(0.48/100)</f>
        <v>4.779618636798207E-4</v>
      </c>
      <c r="I13" s="260">
        <f>+((102/1000)-(SUM($C13:H13)))*(0.48/100)</f>
        <v>4.7566764673415753E-4</v>
      </c>
      <c r="J13" s="260">
        <f>+((102/1000)-(SUM($C13:I13)))*(0.48/100)</f>
        <v>4.7338444202983356E-4</v>
      </c>
      <c r="K13" s="260">
        <f>+((102/1000)-(SUM($C13:J13)))*(0.48/100)</f>
        <v>4.7111219670809034E-4</v>
      </c>
      <c r="L13" s="261">
        <f>+((102/1000)-(SUM($C13:K13)))*(0.48/100)</f>
        <v>4.688508581638915E-4</v>
      </c>
    </row>
    <row r="14" spans="1:12" x14ac:dyDescent="0.3">
      <c r="B14" s="133" t="s">
        <v>211</v>
      </c>
      <c r="C14" s="208">
        <f>C11/(173/1000)</f>
        <v>4.7999999999999996E-3</v>
      </c>
      <c r="D14" s="208">
        <f>D11/((173/1000)-SUM($C11:C11))</f>
        <v>4.7999999999999996E-3</v>
      </c>
      <c r="E14" s="208">
        <f>E11/((173/1000)-SUM($C11:D11))</f>
        <v>4.7999999999999996E-3</v>
      </c>
      <c r="F14" s="208">
        <f>F11/((173/1000)-SUM($C11:E11))</f>
        <v>4.7999999999999996E-3</v>
      </c>
      <c r="G14" s="208">
        <f>G11/((173/1000)-SUM($C11:F11))</f>
        <v>4.7999999999999996E-3</v>
      </c>
      <c r="H14" s="208">
        <f>H11/((173/1000)-SUM($C11:G11))</f>
        <v>4.7999999999999996E-3</v>
      </c>
      <c r="I14" s="208">
        <f>I11/((173/1000)-SUM($C11:H11))</f>
        <v>4.7999999999999996E-3</v>
      </c>
      <c r="J14" s="208">
        <f>J11/((173/1000)-SUM($C11:I11))</f>
        <v>4.7999999999999996E-3</v>
      </c>
      <c r="K14" s="208">
        <f>K11/((173/1000)-SUM($C11:J11))</f>
        <v>4.7999999999999996E-3</v>
      </c>
      <c r="L14" s="209">
        <f>L11/((173/1000)-SUM($C11:K11))</f>
        <v>4.7999999999999996E-3</v>
      </c>
    </row>
    <row r="15" spans="1:12" ht="23.4" customHeight="1" x14ac:dyDescent="0.3">
      <c r="B15" s="133" t="s">
        <v>212</v>
      </c>
      <c r="C15" s="208">
        <f>C12/(80/1000)</f>
        <v>4.8000000000000004E-3</v>
      </c>
      <c r="D15" s="208">
        <f>D12/((80/1000)-SUM($C12:C12))</f>
        <v>4.7999999999999996E-3</v>
      </c>
      <c r="E15" s="208">
        <f>E12/((80/1000)-SUM($C12:D12))</f>
        <v>4.7999999999999996E-3</v>
      </c>
      <c r="F15" s="208">
        <f>F12/((80/1000)-SUM($C12:E12))</f>
        <v>4.7999999999999996E-3</v>
      </c>
      <c r="G15" s="208">
        <f>G12/((80/1000)-SUM($C12:F12))</f>
        <v>4.7999999999999996E-3</v>
      </c>
      <c r="H15" s="208">
        <f>H12/((80/1000)-SUM($C12:G12))</f>
        <v>4.7999999999999996E-3</v>
      </c>
      <c r="I15" s="208">
        <f>I12/((80/1000)-SUM($C12:H12))</f>
        <v>4.7999999999999996E-3</v>
      </c>
      <c r="J15" s="208">
        <f>J12/((80/1000)-SUM($C12:I12))</f>
        <v>4.7999999999999996E-3</v>
      </c>
      <c r="K15" s="208">
        <f>K12/((80/1000)-SUM($C12:J12))</f>
        <v>4.7999999999999996E-3</v>
      </c>
      <c r="L15" s="209">
        <f>L12/((80/1000)-SUM($C12:K12))</f>
        <v>4.7999999999999996E-3</v>
      </c>
    </row>
    <row r="16" spans="1:12" ht="31.2" customHeight="1" thickBot="1" x14ac:dyDescent="0.35">
      <c r="B16" s="133" t="s">
        <v>211</v>
      </c>
      <c r="C16" s="208">
        <f>C13/(102/1000)</f>
        <v>4.8000000000000013E-3</v>
      </c>
      <c r="D16" s="208">
        <f>D13/((102/1000)-SUM($C13:C13))</f>
        <v>4.7999999999999996E-3</v>
      </c>
      <c r="E16" s="208">
        <f>E13/((102/1000)-SUM($C13:D13))</f>
        <v>4.7999999999999996E-3</v>
      </c>
      <c r="F16" s="208">
        <f>F13/((102/1000)-SUM($C13:E13))</f>
        <v>4.7999999999999996E-3</v>
      </c>
      <c r="G16" s="208">
        <f>G13/((102/1000)-SUM($C13:F13))</f>
        <v>4.7999999999999996E-3</v>
      </c>
      <c r="H16" s="208">
        <f>H13/((102/1000)-SUM($C13:G13))</f>
        <v>4.7999999999999996E-3</v>
      </c>
      <c r="I16" s="208">
        <f>I13/((102/1000)-SUM($C13:H13))</f>
        <v>4.7999999999999996E-3</v>
      </c>
      <c r="J16" s="208">
        <f>J13/((102/1000)-SUM($C13:I13))</f>
        <v>4.7999999999999996E-3</v>
      </c>
      <c r="K16" s="208">
        <f>K13/((102/1000)-SUM($C13:J13))</f>
        <v>4.7999999999999996E-3</v>
      </c>
      <c r="L16" s="209">
        <f>L13/((102/1000)-SUM($C13:K13))</f>
        <v>4.7999999999999996E-3</v>
      </c>
    </row>
    <row r="17" spans="1:12" x14ac:dyDescent="0.3">
      <c r="A17" s="504" t="s">
        <v>204</v>
      </c>
      <c r="B17" s="203" t="s">
        <v>145</v>
      </c>
      <c r="C17" s="204"/>
      <c r="D17" s="204"/>
      <c r="E17" s="204"/>
      <c r="F17" s="204"/>
      <c r="G17" s="204"/>
      <c r="H17" s="204"/>
      <c r="I17" s="204"/>
      <c r="J17" s="204"/>
      <c r="K17" s="204"/>
      <c r="L17" s="205"/>
    </row>
    <row r="18" spans="1:12" x14ac:dyDescent="0.3">
      <c r="A18" s="504"/>
      <c r="B18" s="206" t="s">
        <v>143</v>
      </c>
      <c r="C18" s="199">
        <v>392.13</v>
      </c>
      <c r="D18" s="199">
        <v>392.13</v>
      </c>
      <c r="E18" s="199">
        <v>392.13</v>
      </c>
      <c r="F18" s="199">
        <v>392.13</v>
      </c>
      <c r="G18" s="199">
        <v>392.13</v>
      </c>
      <c r="H18" s="199">
        <v>392.13</v>
      </c>
      <c r="I18" s="199">
        <v>392.13</v>
      </c>
      <c r="J18" s="199">
        <v>392.13</v>
      </c>
      <c r="K18" s="199">
        <v>392.13</v>
      </c>
      <c r="L18" s="200">
        <v>392.13</v>
      </c>
    </row>
    <row r="19" spans="1:12" x14ac:dyDescent="0.3">
      <c r="A19" s="504"/>
      <c r="B19" s="206" t="s">
        <v>144</v>
      </c>
      <c r="C19" s="199">
        <v>455.06</v>
      </c>
      <c r="D19" s="199">
        <v>455.06</v>
      </c>
      <c r="E19" s="199">
        <v>455.06</v>
      </c>
      <c r="F19" s="199">
        <v>455.06</v>
      </c>
      <c r="G19" s="199">
        <v>455.06</v>
      </c>
      <c r="H19" s="199">
        <v>455.06</v>
      </c>
      <c r="I19" s="199">
        <v>455.06</v>
      </c>
      <c r="J19" s="199">
        <v>455.06</v>
      </c>
      <c r="K19" s="199">
        <v>455.06</v>
      </c>
      <c r="L19" s="200">
        <v>455.06</v>
      </c>
    </row>
    <row r="20" spans="1:12" ht="15" thickBot="1" x14ac:dyDescent="0.35">
      <c r="A20" s="504"/>
      <c r="B20" s="207" t="s">
        <v>143</v>
      </c>
      <c r="C20" s="201">
        <v>392.13</v>
      </c>
      <c r="D20" s="201">
        <v>392.13</v>
      </c>
      <c r="E20" s="201">
        <v>392.13</v>
      </c>
      <c r="F20" s="201">
        <v>392.13</v>
      </c>
      <c r="G20" s="201">
        <v>392.13</v>
      </c>
      <c r="H20" s="201">
        <v>392.13</v>
      </c>
      <c r="I20" s="201">
        <v>392.13</v>
      </c>
      <c r="J20" s="201">
        <v>392.13</v>
      </c>
      <c r="K20" s="201">
        <v>392.13</v>
      </c>
      <c r="L20" s="202">
        <v>392.13</v>
      </c>
    </row>
    <row r="21" spans="1:12" x14ac:dyDescent="0.3">
      <c r="B21" s="136" t="s">
        <v>146</v>
      </c>
      <c r="C21" s="137"/>
      <c r="D21" s="137"/>
      <c r="E21" s="137"/>
      <c r="F21" s="137"/>
      <c r="G21" s="137"/>
      <c r="H21" s="137"/>
      <c r="I21" s="137"/>
      <c r="J21" s="137"/>
      <c r="K21" s="137"/>
      <c r="L21" s="138"/>
    </row>
    <row r="22" spans="1:12" x14ac:dyDescent="0.3">
      <c r="B22" s="133" t="s">
        <v>143</v>
      </c>
      <c r="C22" s="137">
        <f t="shared" ref="C22:L22" si="0">+C11*C18</f>
        <v>0.32562475199999996</v>
      </c>
      <c r="D22" s="137">
        <f t="shared" si="0"/>
        <v>0.32406175319039993</v>
      </c>
      <c r="E22" s="137">
        <f t="shared" si="0"/>
        <v>0.32250625677508604</v>
      </c>
      <c r="F22" s="137">
        <f t="shared" si="0"/>
        <v>0.32095822674256558</v>
      </c>
      <c r="G22" s="137">
        <f t="shared" si="0"/>
        <v>0.31941762725420125</v>
      </c>
      <c r="H22" s="137">
        <f t="shared" si="0"/>
        <v>0.31788442264338113</v>
      </c>
      <c r="I22" s="137">
        <f t="shared" si="0"/>
        <v>0.31635857741469292</v>
      </c>
      <c r="J22" s="137">
        <f t="shared" si="0"/>
        <v>0.31484005624310235</v>
      </c>
      <c r="K22" s="137">
        <f t="shared" si="0"/>
        <v>0.3133288239731355</v>
      </c>
      <c r="L22" s="138">
        <f t="shared" si="0"/>
        <v>0.31182484561806439</v>
      </c>
    </row>
    <row r="23" spans="1:12" x14ac:dyDescent="0.3">
      <c r="B23" s="133" t="s">
        <v>144</v>
      </c>
      <c r="C23" s="137">
        <f t="shared" ref="C23:L23" si="1">+C12*C19</f>
        <v>0.17474304000000002</v>
      </c>
      <c r="D23" s="137">
        <f t="shared" si="1"/>
        <v>0.17390427340799999</v>
      </c>
      <c r="E23" s="137">
        <f t="shared" si="1"/>
        <v>0.17306953289564159</v>
      </c>
      <c r="F23" s="137">
        <f t="shared" si="1"/>
        <v>0.17223879913774251</v>
      </c>
      <c r="G23" s="137">
        <f t="shared" si="1"/>
        <v>0.17141205290188136</v>
      </c>
      <c r="H23" s="137">
        <f t="shared" si="1"/>
        <v>0.17058927504795235</v>
      </c>
      <c r="I23" s="137">
        <f t="shared" si="1"/>
        <v>0.16977044652772216</v>
      </c>
      <c r="J23" s="137">
        <f t="shared" si="1"/>
        <v>0.16895554838438909</v>
      </c>
      <c r="K23" s="137">
        <f t="shared" si="1"/>
        <v>0.16814456175214401</v>
      </c>
      <c r="L23" s="138">
        <f t="shared" si="1"/>
        <v>0.16733746785573372</v>
      </c>
    </row>
    <row r="24" spans="1:12" x14ac:dyDescent="0.3">
      <c r="B24" s="139" t="s">
        <v>143</v>
      </c>
      <c r="C24" s="140">
        <f t="shared" ref="C24:L24" si="2">+C13*C20</f>
        <v>0.19198684800000004</v>
      </c>
      <c r="D24" s="140">
        <f t="shared" si="2"/>
        <v>0.19106531112959996</v>
      </c>
      <c r="E24" s="140">
        <f t="shared" si="2"/>
        <v>0.19014819763617791</v>
      </c>
      <c r="F24" s="140">
        <f t="shared" si="2"/>
        <v>0.18923548628752423</v>
      </c>
      <c r="G24" s="140">
        <f t="shared" si="2"/>
        <v>0.18832715595334412</v>
      </c>
      <c r="H24" s="140">
        <f t="shared" si="2"/>
        <v>0.18742318560476809</v>
      </c>
      <c r="I24" s="140">
        <f t="shared" si="2"/>
        <v>0.18652355431386519</v>
      </c>
      <c r="J24" s="140">
        <f t="shared" si="2"/>
        <v>0.18562824125315863</v>
      </c>
      <c r="K24" s="140">
        <f t="shared" si="2"/>
        <v>0.18473722569514348</v>
      </c>
      <c r="L24" s="141">
        <f t="shared" si="2"/>
        <v>0.18385048701180676</v>
      </c>
    </row>
    <row r="25" spans="1:12" ht="15" thickBot="1" x14ac:dyDescent="0.35">
      <c r="B25" s="130"/>
      <c r="C25" s="71">
        <f>+SUM(C22:C24)</f>
        <v>0.69235464000000002</v>
      </c>
      <c r="D25" s="71">
        <f t="shared" ref="D25:L25" si="3">+SUM(D22:D24)</f>
        <v>0.68903133772799996</v>
      </c>
      <c r="E25" s="71">
        <f t="shared" si="3"/>
        <v>0.68572398730690554</v>
      </c>
      <c r="F25" s="71">
        <f t="shared" si="3"/>
        <v>0.68243251216783229</v>
      </c>
      <c r="G25" s="71">
        <f t="shared" si="3"/>
        <v>0.67915683610942679</v>
      </c>
      <c r="H25" s="71">
        <f t="shared" si="3"/>
        <v>0.67589688329610154</v>
      </c>
      <c r="I25" s="71">
        <f t="shared" si="3"/>
        <v>0.67265257825628022</v>
      </c>
      <c r="J25" s="71">
        <f t="shared" si="3"/>
        <v>0.66942384588065007</v>
      </c>
      <c r="K25" s="71">
        <f t="shared" si="3"/>
        <v>0.66621061142042304</v>
      </c>
      <c r="L25" s="71">
        <f t="shared" si="3"/>
        <v>0.66301280048560485</v>
      </c>
    </row>
    <row r="26" spans="1:12" x14ac:dyDescent="0.3">
      <c r="B26" s="145" t="s">
        <v>140</v>
      </c>
      <c r="C26" s="83"/>
      <c r="D26" s="83"/>
      <c r="E26" s="83"/>
      <c r="F26" s="83"/>
      <c r="G26" s="83"/>
      <c r="H26" s="83"/>
      <c r="I26" s="83"/>
      <c r="J26" s="83"/>
      <c r="K26" s="83"/>
      <c r="L26" s="84"/>
    </row>
    <row r="27" spans="1:12" ht="15" thickBot="1" x14ac:dyDescent="0.35">
      <c r="B27" s="146" t="s">
        <v>141</v>
      </c>
      <c r="C27" s="101"/>
      <c r="D27" s="101"/>
      <c r="E27" s="101"/>
      <c r="F27" s="101"/>
      <c r="G27" s="101"/>
      <c r="H27" s="101"/>
      <c r="I27" s="101"/>
      <c r="J27" s="101"/>
      <c r="K27" s="101"/>
      <c r="L27" s="147"/>
    </row>
    <row r="28" spans="1:12" x14ac:dyDescent="0.3">
      <c r="B28" s="219" t="s">
        <v>142</v>
      </c>
      <c r="C28" s="220"/>
      <c r="D28" s="220"/>
      <c r="E28" s="220"/>
      <c r="F28" s="220"/>
      <c r="G28" s="220"/>
      <c r="H28" s="220"/>
      <c r="I28" s="220"/>
      <c r="J28" s="220"/>
      <c r="K28" s="220"/>
      <c r="L28" s="205"/>
    </row>
    <row r="29" spans="1:12" x14ac:dyDescent="0.3">
      <c r="A29" s="227" t="s">
        <v>216</v>
      </c>
      <c r="B29" s="206" t="s">
        <v>143</v>
      </c>
      <c r="C29" s="210">
        <v>1.7299555064644891E-2</v>
      </c>
      <c r="D29" s="210">
        <v>1.7299555064644891E-2</v>
      </c>
      <c r="E29" s="210">
        <v>1.7299555064644891E-2</v>
      </c>
      <c r="F29" s="210">
        <v>1.7299555064644891E-2</v>
      </c>
      <c r="G29" s="210">
        <v>1.7299555064644891E-2</v>
      </c>
      <c r="H29" s="210">
        <v>1.7299555064644891E-2</v>
      </c>
      <c r="I29" s="210">
        <v>1.7299555064644891E-2</v>
      </c>
      <c r="J29" s="210">
        <v>1.7299555064644891E-2</v>
      </c>
      <c r="K29" s="210">
        <v>1.7299555064644891E-2</v>
      </c>
      <c r="L29" s="211">
        <v>1.7299555064644891E-2</v>
      </c>
    </row>
    <row r="30" spans="1:12" x14ac:dyDescent="0.3">
      <c r="B30" s="206" t="s">
        <v>144</v>
      </c>
      <c r="C30" s="210">
        <v>8.0111229713720894E-3</v>
      </c>
      <c r="D30" s="210">
        <v>8.0111229713720894E-3</v>
      </c>
      <c r="E30" s="210">
        <v>8.0111229713720894E-3</v>
      </c>
      <c r="F30" s="210">
        <v>8.0111229713720894E-3</v>
      </c>
      <c r="G30" s="210">
        <v>8.0111229713720894E-3</v>
      </c>
      <c r="H30" s="210">
        <v>8.0111229713720894E-3</v>
      </c>
      <c r="I30" s="210">
        <v>8.0111229713720894E-3</v>
      </c>
      <c r="J30" s="210">
        <v>8.0111229713720894E-3</v>
      </c>
      <c r="K30" s="210">
        <v>8.0111229713720894E-3</v>
      </c>
      <c r="L30" s="211">
        <v>8.0111229713720894E-3</v>
      </c>
    </row>
    <row r="31" spans="1:12" ht="15" thickBot="1" x14ac:dyDescent="0.35">
      <c r="B31" s="207" t="s">
        <v>143</v>
      </c>
      <c r="C31" s="212">
        <v>1.0166942925328768E-2</v>
      </c>
      <c r="D31" s="212">
        <v>1.0166942925328768E-2</v>
      </c>
      <c r="E31" s="212">
        <v>1.0166942925328768E-2</v>
      </c>
      <c r="F31" s="212">
        <v>1.0166942925328768E-2</v>
      </c>
      <c r="G31" s="212">
        <v>1.0166942925328768E-2</v>
      </c>
      <c r="H31" s="212">
        <v>1.0166942925328768E-2</v>
      </c>
      <c r="I31" s="212">
        <v>1.0166942925328768E-2</v>
      </c>
      <c r="J31" s="212">
        <v>1.0166942925328768E-2</v>
      </c>
      <c r="K31" s="212">
        <v>1.0166942925328768E-2</v>
      </c>
      <c r="L31" s="213">
        <v>1.0166942925328768E-2</v>
      </c>
    </row>
    <row r="32" spans="1:12" x14ac:dyDescent="0.3">
      <c r="B32" s="143" t="s">
        <v>145</v>
      </c>
      <c r="C32" s="144"/>
      <c r="D32" s="144"/>
      <c r="E32" s="144"/>
      <c r="F32" s="144"/>
      <c r="G32" s="144"/>
      <c r="H32" s="144"/>
      <c r="I32" s="144"/>
      <c r="J32" s="144"/>
      <c r="K32" s="144"/>
      <c r="L32" s="77"/>
    </row>
    <row r="33" spans="1:12" x14ac:dyDescent="0.3">
      <c r="B33" s="133" t="s">
        <v>143</v>
      </c>
      <c r="C33" s="137">
        <f t="shared" ref="C33:L33" si="4">+C37/C29</f>
        <v>13.8327257033944</v>
      </c>
      <c r="D33" s="137">
        <f t="shared" si="4"/>
        <v>13.832725703394392</v>
      </c>
      <c r="E33" s="137">
        <f t="shared" si="4"/>
        <v>13.832725703394392</v>
      </c>
      <c r="F33" s="137">
        <f t="shared" si="4"/>
        <v>13.832725703394392</v>
      </c>
      <c r="G33" s="137">
        <f t="shared" si="4"/>
        <v>13.832725703394392</v>
      </c>
      <c r="H33" s="137">
        <f t="shared" si="4"/>
        <v>13.832725703394392</v>
      </c>
      <c r="I33" s="137">
        <f t="shared" si="4"/>
        <v>13.832725703394392</v>
      </c>
      <c r="J33" s="137">
        <f t="shared" si="4"/>
        <v>13.832725703394392</v>
      </c>
      <c r="K33" s="137">
        <f t="shared" si="4"/>
        <v>13.832725703394392</v>
      </c>
      <c r="L33" s="138">
        <f t="shared" si="4"/>
        <v>13.832725703394392</v>
      </c>
    </row>
    <row r="34" spans="1:12" x14ac:dyDescent="0.3">
      <c r="B34" s="133" t="s">
        <v>144</v>
      </c>
      <c r="C34" s="137">
        <f t="shared" ref="C34:L34" si="5">+C38/C30</f>
        <v>64.597685224567982</v>
      </c>
      <c r="D34" s="137">
        <f t="shared" si="5"/>
        <v>64.597685224567982</v>
      </c>
      <c r="E34" s="137">
        <f t="shared" si="5"/>
        <v>64.597685224567982</v>
      </c>
      <c r="F34" s="137">
        <f t="shared" si="5"/>
        <v>64.597685224567982</v>
      </c>
      <c r="G34" s="137">
        <f t="shared" si="5"/>
        <v>64.597685224567982</v>
      </c>
      <c r="H34" s="137">
        <f t="shared" si="5"/>
        <v>64.597685224567982</v>
      </c>
      <c r="I34" s="137">
        <f t="shared" si="5"/>
        <v>64.597685224567982</v>
      </c>
      <c r="J34" s="137">
        <f t="shared" si="5"/>
        <v>64.597685224567982</v>
      </c>
      <c r="K34" s="137">
        <f t="shared" si="5"/>
        <v>64.597685224567982</v>
      </c>
      <c r="L34" s="138">
        <f t="shared" si="5"/>
        <v>64.597685224567982</v>
      </c>
    </row>
    <row r="35" spans="1:12" ht="15" thickBot="1" x14ac:dyDescent="0.35">
      <c r="B35" s="139" t="s">
        <v>143</v>
      </c>
      <c r="C35" s="140">
        <f t="shared" ref="C35:L35" si="6">+C39/C31</f>
        <v>30.014331962046715</v>
      </c>
      <c r="D35" s="140">
        <f t="shared" si="6"/>
        <v>30.014331962046715</v>
      </c>
      <c r="E35" s="140">
        <f t="shared" si="6"/>
        <v>30.014331962046715</v>
      </c>
      <c r="F35" s="140">
        <f t="shared" si="6"/>
        <v>30.014331962046715</v>
      </c>
      <c r="G35" s="140">
        <f t="shared" si="6"/>
        <v>30.014331962046715</v>
      </c>
      <c r="H35" s="140">
        <f t="shared" si="6"/>
        <v>30.014331962046715</v>
      </c>
      <c r="I35" s="140">
        <f t="shared" si="6"/>
        <v>30.014331962046715</v>
      </c>
      <c r="J35" s="140">
        <f t="shared" si="6"/>
        <v>30.014331962046715</v>
      </c>
      <c r="K35" s="140">
        <f t="shared" si="6"/>
        <v>30.014331962046715</v>
      </c>
      <c r="L35" s="141">
        <f t="shared" si="6"/>
        <v>30.014331962046715</v>
      </c>
    </row>
    <row r="36" spans="1:12" x14ac:dyDescent="0.3">
      <c r="A36" s="227" t="s">
        <v>216</v>
      </c>
      <c r="B36" s="214" t="s">
        <v>146</v>
      </c>
      <c r="C36" s="199"/>
      <c r="D36" s="199"/>
      <c r="E36" s="199"/>
      <c r="F36" s="199"/>
      <c r="G36" s="199"/>
      <c r="H36" s="199"/>
      <c r="I36" s="199"/>
      <c r="J36" s="199"/>
      <c r="K36" s="199"/>
      <c r="L36" s="200"/>
    </row>
    <row r="37" spans="1:12" x14ac:dyDescent="0.3">
      <c r="B37" s="206" t="s">
        <v>143</v>
      </c>
      <c r="C37" s="199">
        <v>0.23930000000000018</v>
      </c>
      <c r="D37" s="199">
        <v>0.23930000000000001</v>
      </c>
      <c r="E37" s="199">
        <v>0.23930000000000001</v>
      </c>
      <c r="F37" s="199">
        <v>0.23930000000000001</v>
      </c>
      <c r="G37" s="199">
        <v>0.23930000000000001</v>
      </c>
      <c r="H37" s="199">
        <v>0.23930000000000001</v>
      </c>
      <c r="I37" s="199">
        <v>0.23930000000000001</v>
      </c>
      <c r="J37" s="199">
        <v>0.23930000000000001</v>
      </c>
      <c r="K37" s="199">
        <v>0.23930000000000001</v>
      </c>
      <c r="L37" s="200">
        <v>0.23930000000000001</v>
      </c>
    </row>
    <row r="38" spans="1:12" x14ac:dyDescent="0.3">
      <c r="B38" s="206" t="s">
        <v>144</v>
      </c>
      <c r="C38" s="199">
        <v>0.51749999999999996</v>
      </c>
      <c r="D38" s="199">
        <v>0.51749999999999996</v>
      </c>
      <c r="E38" s="199">
        <v>0.51749999999999996</v>
      </c>
      <c r="F38" s="199">
        <v>0.51749999999999996</v>
      </c>
      <c r="G38" s="199">
        <v>0.51749999999999996</v>
      </c>
      <c r="H38" s="199">
        <v>0.51749999999999996</v>
      </c>
      <c r="I38" s="199">
        <v>0.51749999999999996</v>
      </c>
      <c r="J38" s="199">
        <v>0.51749999999999996</v>
      </c>
      <c r="K38" s="199">
        <v>0.51749999999999996</v>
      </c>
      <c r="L38" s="200">
        <v>0.51749999999999996</v>
      </c>
    </row>
    <row r="39" spans="1:12" ht="15" thickBot="1" x14ac:dyDescent="0.35">
      <c r="B39" s="207" t="s">
        <v>143</v>
      </c>
      <c r="C39" s="201">
        <v>0.30515399999999998</v>
      </c>
      <c r="D39" s="201">
        <v>0.30515399999999998</v>
      </c>
      <c r="E39" s="201">
        <v>0.30515399999999998</v>
      </c>
      <c r="F39" s="201">
        <v>0.30515399999999998</v>
      </c>
      <c r="G39" s="201">
        <v>0.30515399999999998</v>
      </c>
      <c r="H39" s="201">
        <v>0.30515399999999998</v>
      </c>
      <c r="I39" s="201">
        <v>0.30515399999999998</v>
      </c>
      <c r="J39" s="201">
        <v>0.30515399999999998</v>
      </c>
      <c r="K39" s="201">
        <v>0.30515399999999998</v>
      </c>
      <c r="L39" s="202">
        <v>0.30515399999999998</v>
      </c>
    </row>
    <row r="40" spans="1:12" x14ac:dyDescent="0.3">
      <c r="B40" s="130"/>
      <c r="C40" s="71">
        <f>+SUM(C37:C39)</f>
        <v>1.0619540000000001</v>
      </c>
      <c r="D40" s="71">
        <f t="shared" ref="D40:L40" si="7">+SUM(D37:D39)</f>
        <v>1.0619539999999998</v>
      </c>
      <c r="E40" s="71">
        <f t="shared" si="7"/>
        <v>1.0619539999999998</v>
      </c>
      <c r="F40" s="71">
        <f t="shared" si="7"/>
        <v>1.0619539999999998</v>
      </c>
      <c r="G40" s="71">
        <f t="shared" si="7"/>
        <v>1.0619539999999998</v>
      </c>
      <c r="H40" s="71">
        <f t="shared" si="7"/>
        <v>1.0619539999999998</v>
      </c>
      <c r="I40" s="71">
        <f t="shared" si="7"/>
        <v>1.0619539999999998</v>
      </c>
      <c r="J40" s="71">
        <f t="shared" si="7"/>
        <v>1.0619539999999998</v>
      </c>
      <c r="K40" s="71">
        <f t="shared" si="7"/>
        <v>1.0619539999999998</v>
      </c>
      <c r="L40" s="71">
        <f t="shared" si="7"/>
        <v>1.0619539999999998</v>
      </c>
    </row>
    <row r="41" spans="1:12" ht="15" thickBot="1" x14ac:dyDescent="0.35">
      <c r="B41" s="130"/>
      <c r="C41" s="71"/>
      <c r="D41" s="71"/>
      <c r="E41" s="71"/>
      <c r="F41" s="71"/>
      <c r="G41" s="71"/>
      <c r="H41" s="71"/>
      <c r="I41" s="71"/>
      <c r="J41" s="71"/>
      <c r="K41" s="71"/>
      <c r="L41" s="71"/>
    </row>
    <row r="42" spans="1:12" x14ac:dyDescent="0.3">
      <c r="B42" s="145" t="s">
        <v>150</v>
      </c>
      <c r="C42" s="83"/>
      <c r="D42" s="83"/>
      <c r="E42" s="83"/>
      <c r="F42" s="83"/>
      <c r="G42" s="83"/>
      <c r="H42" s="83"/>
      <c r="I42" s="83"/>
      <c r="J42" s="83"/>
      <c r="K42" s="83"/>
      <c r="L42" s="84"/>
    </row>
    <row r="43" spans="1:12" ht="15" thickBot="1" x14ac:dyDescent="0.35">
      <c r="B43" s="146" t="s">
        <v>141</v>
      </c>
      <c r="C43" s="101"/>
      <c r="D43" s="101"/>
      <c r="E43" s="101"/>
      <c r="F43" s="101"/>
      <c r="G43" s="101"/>
      <c r="H43" s="101"/>
      <c r="I43" s="101"/>
      <c r="J43" s="101"/>
      <c r="K43" s="101"/>
      <c r="L43" s="147"/>
    </row>
    <row r="44" spans="1:12" x14ac:dyDescent="0.3">
      <c r="B44" s="219" t="s">
        <v>142</v>
      </c>
      <c r="C44" s="220"/>
      <c r="D44" s="220"/>
      <c r="E44" s="220"/>
      <c r="F44" s="220"/>
      <c r="G44" s="220"/>
      <c r="H44" s="220"/>
      <c r="I44" s="220"/>
      <c r="J44" s="220"/>
      <c r="K44" s="220"/>
      <c r="L44" s="205"/>
    </row>
    <row r="45" spans="1:12" ht="15" thickBot="1" x14ac:dyDescent="0.35">
      <c r="A45" s="227" t="s">
        <v>204</v>
      </c>
      <c r="B45" s="206" t="s">
        <v>151</v>
      </c>
      <c r="C45" s="199">
        <v>5.6660000000000004</v>
      </c>
      <c r="D45" s="199">
        <v>5.6660000000000004</v>
      </c>
      <c r="E45" s="199">
        <v>5.6660000000000004</v>
      </c>
      <c r="F45" s="210"/>
      <c r="G45" s="210"/>
      <c r="H45" s="210"/>
      <c r="I45" s="210"/>
      <c r="J45" s="210"/>
      <c r="K45" s="210"/>
      <c r="L45" s="211"/>
    </row>
    <row r="46" spans="1:12" x14ac:dyDescent="0.3">
      <c r="B46" s="143" t="s">
        <v>145</v>
      </c>
      <c r="C46" s="144"/>
      <c r="D46" s="144"/>
      <c r="E46" s="144"/>
      <c r="F46" s="144"/>
      <c r="G46" s="144"/>
      <c r="H46" s="144"/>
      <c r="I46" s="144"/>
      <c r="J46" s="144"/>
      <c r="K46" s="144"/>
      <c r="L46" s="77"/>
    </row>
    <row r="47" spans="1:12" ht="15" thickBot="1" x14ac:dyDescent="0.35">
      <c r="B47" s="139" t="s">
        <v>151</v>
      </c>
      <c r="C47" s="140">
        <f>+C49/C45</f>
        <v>19.8746911401341</v>
      </c>
      <c r="D47" s="140">
        <f t="shared" ref="D47:E47" si="8">+D49/D45</f>
        <v>19.874691140134132</v>
      </c>
      <c r="E47" s="140">
        <f t="shared" si="8"/>
        <v>19.874691140134132</v>
      </c>
      <c r="F47" s="140"/>
      <c r="G47" s="140"/>
      <c r="H47" s="140"/>
      <c r="I47" s="140"/>
      <c r="J47" s="140"/>
      <c r="K47" s="140"/>
      <c r="L47" s="141"/>
    </row>
    <row r="48" spans="1:12" x14ac:dyDescent="0.3">
      <c r="B48" s="214" t="s">
        <v>146</v>
      </c>
      <c r="C48" s="199"/>
      <c r="D48" s="199"/>
      <c r="E48" s="199"/>
      <c r="F48" s="199"/>
      <c r="G48" s="199"/>
      <c r="H48" s="199"/>
      <c r="I48" s="199"/>
      <c r="J48" s="199"/>
      <c r="K48" s="199"/>
      <c r="L48" s="200"/>
    </row>
    <row r="49" spans="1:12" ht="15" thickBot="1" x14ac:dyDescent="0.35">
      <c r="A49" s="227" t="s">
        <v>204</v>
      </c>
      <c r="B49" s="207" t="s">
        <v>151</v>
      </c>
      <c r="C49" s="201">
        <v>112.60999999999981</v>
      </c>
      <c r="D49" s="201">
        <v>112.61</v>
      </c>
      <c r="E49" s="201">
        <v>112.61</v>
      </c>
      <c r="F49" s="201"/>
      <c r="G49" s="201"/>
      <c r="H49" s="201"/>
      <c r="I49" s="201"/>
      <c r="J49" s="201"/>
      <c r="K49" s="201"/>
      <c r="L49" s="202"/>
    </row>
    <row r="50" spans="1:12" ht="15" thickBot="1" x14ac:dyDescent="0.35"/>
    <row r="51" spans="1:12" x14ac:dyDescent="0.3">
      <c r="B51" s="145" t="s">
        <v>150</v>
      </c>
      <c r="C51" s="83"/>
      <c r="D51" s="83"/>
      <c r="E51" s="83"/>
      <c r="F51" s="83"/>
      <c r="G51" s="83"/>
      <c r="H51" s="83"/>
      <c r="I51" s="83"/>
      <c r="J51" s="83"/>
      <c r="K51" s="83"/>
      <c r="L51" s="84"/>
    </row>
    <row r="52" spans="1:12" ht="15" thickBot="1" x14ac:dyDescent="0.35">
      <c r="B52" s="146" t="s">
        <v>147</v>
      </c>
      <c r="C52" s="101"/>
      <c r="D52" s="101"/>
      <c r="E52" s="101"/>
      <c r="F52" s="101"/>
      <c r="G52" s="101"/>
      <c r="H52" s="101"/>
      <c r="I52" s="101"/>
      <c r="J52" s="101"/>
      <c r="K52" s="101"/>
      <c r="L52" s="147"/>
    </row>
    <row r="53" spans="1:12" x14ac:dyDescent="0.3">
      <c r="B53" s="142" t="s">
        <v>142</v>
      </c>
      <c r="C53" s="76"/>
      <c r="D53" s="76"/>
      <c r="E53" s="76"/>
      <c r="F53" s="76"/>
      <c r="G53" s="76"/>
      <c r="H53" s="76"/>
      <c r="I53" s="76"/>
      <c r="J53" s="76"/>
      <c r="K53" s="76"/>
      <c r="L53" s="77"/>
    </row>
    <row r="54" spans="1:12" ht="15" thickBot="1" x14ac:dyDescent="0.35">
      <c r="B54" s="133" t="s">
        <v>151</v>
      </c>
      <c r="C54" s="137">
        <f>+(17000/1000)*(0.48/100)</f>
        <v>8.1599999999999992E-2</v>
      </c>
      <c r="D54" s="137">
        <f>+((17000/1000)-(SUM($C54:C54)))*(0.48/100)</f>
        <v>8.1208319999999987E-2</v>
      </c>
      <c r="E54" s="137">
        <f>+((17000/1000)-(SUM($C54:D54)))*(0.48/100)</f>
        <v>8.0818520063999991E-2</v>
      </c>
      <c r="F54" s="134"/>
      <c r="G54" s="134"/>
      <c r="H54" s="134"/>
      <c r="I54" s="134"/>
      <c r="J54" s="134"/>
      <c r="K54" s="134"/>
      <c r="L54" s="135"/>
    </row>
    <row r="55" spans="1:12" ht="15" thickBot="1" x14ac:dyDescent="0.35">
      <c r="B55" s="215" t="s">
        <v>210</v>
      </c>
      <c r="C55" s="218">
        <f>C54/(17000/1000)</f>
        <v>4.7999999999999996E-3</v>
      </c>
      <c r="D55" s="218">
        <f>D54/((17000/1000)-SUM($C54:C54))</f>
        <v>4.7999999999999996E-3</v>
      </c>
      <c r="E55" s="218">
        <f>E54/((17000/1000)-SUM($C54:D54))</f>
        <v>4.7999999999999996E-3</v>
      </c>
      <c r="F55" s="216"/>
      <c r="G55" s="216"/>
      <c r="H55" s="216"/>
      <c r="I55" s="216"/>
      <c r="J55" s="216"/>
      <c r="K55" s="216"/>
      <c r="L55" s="217"/>
    </row>
    <row r="56" spans="1:12" x14ac:dyDescent="0.3">
      <c r="A56" s="227" t="s">
        <v>204</v>
      </c>
      <c r="B56" s="203" t="s">
        <v>145</v>
      </c>
      <c r="C56" s="204"/>
      <c r="D56" s="204"/>
      <c r="E56" s="204"/>
      <c r="F56" s="204"/>
      <c r="G56" s="204"/>
      <c r="H56" s="204"/>
      <c r="I56" s="204"/>
      <c r="J56" s="204"/>
      <c r="K56" s="204"/>
      <c r="L56" s="205"/>
    </row>
    <row r="57" spans="1:12" ht="15" thickBot="1" x14ac:dyDescent="0.35">
      <c r="B57" s="207" t="s">
        <v>151</v>
      </c>
      <c r="C57" s="201">
        <v>591.45000000000005</v>
      </c>
      <c r="D57" s="201">
        <v>591.45000000000005</v>
      </c>
      <c r="E57" s="201">
        <v>591.45000000000005</v>
      </c>
      <c r="F57" s="201"/>
      <c r="G57" s="201"/>
      <c r="H57" s="201"/>
      <c r="I57" s="201"/>
      <c r="J57" s="201"/>
      <c r="K57" s="201"/>
      <c r="L57" s="202"/>
    </row>
    <row r="58" spans="1:12" x14ac:dyDescent="0.3">
      <c r="B58" s="136" t="s">
        <v>146</v>
      </c>
      <c r="C58" s="137"/>
      <c r="D58" s="137"/>
      <c r="E58" s="137"/>
      <c r="F58" s="137"/>
      <c r="G58" s="137"/>
      <c r="H58" s="137"/>
      <c r="I58" s="137"/>
      <c r="J58" s="137"/>
      <c r="K58" s="137"/>
      <c r="L58" s="138"/>
    </row>
    <row r="59" spans="1:12" ht="15" thickBot="1" x14ac:dyDescent="0.35">
      <c r="B59" s="139" t="s">
        <v>151</v>
      </c>
      <c r="C59" s="140">
        <f>+C54*C57</f>
        <v>48.262319999999995</v>
      </c>
      <c r="D59" s="140">
        <f>+D54*D57</f>
        <v>48.030660863999998</v>
      </c>
      <c r="E59" s="140">
        <f>+E54*E57</f>
        <v>47.8001136918528</v>
      </c>
      <c r="F59" s="140"/>
      <c r="G59" s="140"/>
      <c r="H59" s="140"/>
      <c r="I59" s="140"/>
      <c r="J59" s="140"/>
      <c r="K59" s="140"/>
      <c r="L59" s="141"/>
    </row>
  </sheetData>
  <mergeCells count="1">
    <mergeCell ref="A17:A20"/>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CED08-CBCF-403E-B68D-ED860EEE3A3C}">
  <sheetPr>
    <tabColor rgb="FFFFC000"/>
  </sheetPr>
  <dimension ref="A1:P178"/>
  <sheetViews>
    <sheetView topLeftCell="H1" zoomScaleNormal="100" workbookViewId="0">
      <pane ySplit="1" topLeftCell="A162" activePane="bottomLeft" state="frozen"/>
      <selection pane="bottomLeft" activeCell="J171" sqref="J171"/>
    </sheetView>
  </sheetViews>
  <sheetFormatPr baseColWidth="10" defaultColWidth="11.44140625" defaultRowHeight="14.4" x14ac:dyDescent="0.3"/>
  <cols>
    <col min="1" max="1" width="36.33203125" customWidth="1"/>
    <col min="2" max="2" width="56.6640625" customWidth="1"/>
    <col min="3" max="12" width="35" style="70" customWidth="1"/>
    <col min="13" max="13" width="16.109375" customWidth="1"/>
    <col min="15" max="15" width="15.6640625" customWidth="1"/>
    <col min="16" max="16" width="20.88671875" customWidth="1"/>
  </cols>
  <sheetData>
    <row r="1" spans="1:12" ht="15" thickBot="1" x14ac:dyDescent="0.35">
      <c r="A1" s="98" t="s">
        <v>133</v>
      </c>
      <c r="B1" s="99" t="s">
        <v>130</v>
      </c>
      <c r="C1" s="149">
        <v>2026</v>
      </c>
      <c r="D1" s="149">
        <v>2027</v>
      </c>
      <c r="E1" s="149">
        <v>2028</v>
      </c>
      <c r="F1" s="149">
        <v>2029</v>
      </c>
      <c r="G1" s="149">
        <v>2030</v>
      </c>
      <c r="H1" s="149">
        <v>2031</v>
      </c>
      <c r="I1" s="149">
        <v>2032</v>
      </c>
      <c r="J1" s="149">
        <v>2033</v>
      </c>
      <c r="K1" s="149">
        <v>2034</v>
      </c>
      <c r="L1" s="150">
        <v>2035</v>
      </c>
    </row>
    <row r="2" spans="1:12" ht="15" thickBot="1" x14ac:dyDescent="0.35"/>
    <row r="3" spans="1:12" ht="43.8" thickBot="1" x14ac:dyDescent="0.35">
      <c r="B3" s="156" t="s">
        <v>139</v>
      </c>
      <c r="C3" s="244" t="s">
        <v>209</v>
      </c>
      <c r="D3" s="244" t="s">
        <v>208</v>
      </c>
      <c r="E3" s="157" t="s">
        <v>207</v>
      </c>
    </row>
    <row r="4" spans="1:12" x14ac:dyDescent="0.3">
      <c r="B4" s="142" t="s">
        <v>152</v>
      </c>
      <c r="C4" s="272">
        <f>+SUM(C15:F16)</f>
        <v>2.3208824115682463</v>
      </c>
      <c r="D4" s="272">
        <v>0</v>
      </c>
      <c r="E4" s="273">
        <f>+C4+D4</f>
        <v>2.3208824115682463</v>
      </c>
      <c r="F4" s="262"/>
    </row>
    <row r="5" spans="1:12" x14ac:dyDescent="0.3">
      <c r="B5" s="132" t="s">
        <v>153</v>
      </c>
      <c r="C5" s="274">
        <f>+SUM(C26:L26)</f>
        <v>424.90612999999991</v>
      </c>
      <c r="D5" s="274">
        <v>0</v>
      </c>
      <c r="E5" s="275">
        <f>+C5+D5</f>
        <v>424.90612999999991</v>
      </c>
      <c r="F5" s="262"/>
    </row>
    <row r="6" spans="1:12" x14ac:dyDescent="0.3">
      <c r="B6" s="132" t="s">
        <v>154</v>
      </c>
      <c r="C6" s="274">
        <f>+SUM(C46:L51)</f>
        <v>7870.566604481769</v>
      </c>
      <c r="D6" s="274">
        <f>+SUM(C91:L96)</f>
        <v>1145.0687564413863</v>
      </c>
      <c r="E6" s="276">
        <f>+C6+D6</f>
        <v>9015.6353609231555</v>
      </c>
      <c r="F6" s="262"/>
    </row>
    <row r="7" spans="1:12" ht="15" thickBot="1" x14ac:dyDescent="0.35">
      <c r="B7" s="224" t="s">
        <v>155</v>
      </c>
      <c r="C7" s="277">
        <f>+SUM(C168:L175)</f>
        <v>16204.941474161606</v>
      </c>
      <c r="D7" s="277">
        <f>+SUM(C138:L145)</f>
        <v>2773.9218407574267</v>
      </c>
      <c r="E7" s="278">
        <f>+C7+D7</f>
        <v>18978.863314919032</v>
      </c>
      <c r="F7" s="262"/>
    </row>
    <row r="8" spans="1:12" ht="15" thickBot="1" x14ac:dyDescent="0.35"/>
    <row r="9" spans="1:12" x14ac:dyDescent="0.3">
      <c r="B9" s="145" t="s">
        <v>156</v>
      </c>
      <c r="C9" s="83"/>
      <c r="D9" s="83"/>
      <c r="E9" s="83"/>
      <c r="F9" s="83"/>
      <c r="G9" s="83"/>
      <c r="H9" s="83"/>
      <c r="I9" s="83"/>
      <c r="J9" s="83"/>
      <c r="K9" s="83"/>
      <c r="L9" s="84"/>
    </row>
    <row r="10" spans="1:12" ht="15" thickBot="1" x14ac:dyDescent="0.35">
      <c r="B10" s="146" t="s">
        <v>217</v>
      </c>
      <c r="C10" s="101"/>
      <c r="D10" s="101"/>
      <c r="E10" s="101"/>
      <c r="F10" s="101"/>
      <c r="G10" s="101"/>
      <c r="H10" s="101"/>
      <c r="I10" s="101"/>
      <c r="J10" s="101"/>
      <c r="K10" s="101"/>
      <c r="L10" s="147"/>
    </row>
    <row r="11" spans="1:12" x14ac:dyDescent="0.3">
      <c r="A11" t="s">
        <v>204</v>
      </c>
      <c r="B11" s="219" t="s">
        <v>142</v>
      </c>
      <c r="C11" s="220"/>
      <c r="D11" s="220"/>
      <c r="E11" s="220"/>
      <c r="F11" s="220"/>
      <c r="G11" s="220"/>
      <c r="H11" s="220"/>
      <c r="I11" s="220"/>
      <c r="J11" s="220"/>
      <c r="K11" s="220"/>
      <c r="L11" s="205"/>
    </row>
    <row r="12" spans="1:12" ht="15" thickBot="1" x14ac:dyDescent="0.35">
      <c r="B12" s="206" t="s">
        <v>32</v>
      </c>
      <c r="C12" s="199">
        <v>3</v>
      </c>
      <c r="D12" s="199">
        <v>3</v>
      </c>
      <c r="E12" s="199">
        <v>3</v>
      </c>
      <c r="F12" s="210">
        <v>3</v>
      </c>
      <c r="G12" s="210"/>
      <c r="H12" s="210"/>
      <c r="I12" s="210"/>
      <c r="J12" s="210"/>
      <c r="K12" s="210"/>
      <c r="L12" s="211"/>
    </row>
    <row r="13" spans="1:12" x14ac:dyDescent="0.3">
      <c r="B13" s="143" t="s">
        <v>145</v>
      </c>
      <c r="C13" s="144"/>
      <c r="D13" s="144"/>
      <c r="E13" s="144"/>
      <c r="F13" s="144"/>
      <c r="G13" s="144"/>
      <c r="H13" s="144"/>
      <c r="I13" s="144"/>
      <c r="J13" s="144"/>
      <c r="K13" s="144"/>
      <c r="L13" s="77"/>
    </row>
    <row r="14" spans="1:12" ht="15" thickBot="1" x14ac:dyDescent="0.35">
      <c r="B14" s="139" t="s">
        <v>32</v>
      </c>
      <c r="C14" s="140">
        <f>+C16/C12</f>
        <v>0.29939143596081602</v>
      </c>
      <c r="D14" s="140">
        <f t="shared" ref="D14:F14" si="0">+D16/D12</f>
        <v>0.21825635681543487</v>
      </c>
      <c r="E14" s="140">
        <f t="shared" si="0"/>
        <v>0.15328841521193784</v>
      </c>
      <c r="F14" s="140">
        <f t="shared" si="0"/>
        <v>0.10269126253455992</v>
      </c>
      <c r="G14" s="140"/>
      <c r="H14" s="140"/>
      <c r="I14" s="140"/>
      <c r="J14" s="140"/>
      <c r="K14" s="140"/>
      <c r="L14" s="141"/>
    </row>
    <row r="15" spans="1:12" x14ac:dyDescent="0.3">
      <c r="A15" t="s">
        <v>204</v>
      </c>
      <c r="B15" s="214" t="s">
        <v>146</v>
      </c>
      <c r="C15" s="199"/>
      <c r="D15" s="199"/>
      <c r="E15" s="199"/>
      <c r="F15" s="199"/>
      <c r="G15" s="199"/>
      <c r="H15" s="199"/>
      <c r="I15" s="199"/>
      <c r="J15" s="199"/>
      <c r="K15" s="199"/>
      <c r="L15" s="200"/>
    </row>
    <row r="16" spans="1:12" ht="15" thickBot="1" x14ac:dyDescent="0.35">
      <c r="B16" s="207" t="s">
        <v>32</v>
      </c>
      <c r="C16" s="201">
        <v>0.89817430788244801</v>
      </c>
      <c r="D16" s="201">
        <v>0.65476907044630461</v>
      </c>
      <c r="E16" s="201">
        <v>0.45986524563581355</v>
      </c>
      <c r="F16" s="201">
        <v>0.30807378760367976</v>
      </c>
      <c r="G16" s="201"/>
      <c r="H16" s="201"/>
      <c r="I16" s="201"/>
      <c r="J16" s="201"/>
      <c r="K16" s="201"/>
      <c r="L16" s="202"/>
    </row>
    <row r="18" spans="1:12" ht="15" thickBot="1" x14ac:dyDescent="0.35"/>
    <row r="19" spans="1:12" x14ac:dyDescent="0.3">
      <c r="B19" s="145" t="s">
        <v>157</v>
      </c>
      <c r="C19" s="83"/>
      <c r="D19" s="83"/>
      <c r="E19" s="83"/>
      <c r="F19" s="83"/>
      <c r="G19" s="83"/>
      <c r="H19" s="83"/>
      <c r="I19" s="83"/>
      <c r="J19" s="83"/>
      <c r="K19" s="83"/>
      <c r="L19" s="84"/>
    </row>
    <row r="20" spans="1:12" ht="15" thickBot="1" x14ac:dyDescent="0.35">
      <c r="B20" s="146" t="s">
        <v>237</v>
      </c>
      <c r="C20" s="101"/>
      <c r="D20" s="101"/>
      <c r="E20" s="101"/>
      <c r="F20" s="101"/>
      <c r="G20" s="101"/>
      <c r="H20" s="101"/>
      <c r="I20" s="101"/>
      <c r="J20" s="101"/>
      <c r="K20" s="101"/>
      <c r="L20" s="147"/>
    </row>
    <row r="21" spans="1:12" x14ac:dyDescent="0.3">
      <c r="A21" t="s">
        <v>204</v>
      </c>
      <c r="B21" s="219" t="s">
        <v>142</v>
      </c>
      <c r="C21" s="220"/>
      <c r="D21" s="220"/>
      <c r="E21" s="220"/>
      <c r="F21" s="220"/>
      <c r="G21" s="220"/>
      <c r="H21" s="220"/>
      <c r="I21" s="220"/>
      <c r="J21" s="220"/>
      <c r="K21" s="220"/>
      <c r="L21" s="205"/>
    </row>
    <row r="22" spans="1:12" ht="15" thickBot="1" x14ac:dyDescent="0.35">
      <c r="B22" s="206" t="s">
        <v>32</v>
      </c>
      <c r="C22" s="199">
        <v>121.81</v>
      </c>
      <c r="D22" s="199">
        <v>121.81</v>
      </c>
      <c r="E22" s="199">
        <v>121.81</v>
      </c>
      <c r="F22" s="210">
        <v>121.81</v>
      </c>
      <c r="G22" s="210">
        <v>121.81</v>
      </c>
      <c r="H22" s="210">
        <v>121.81</v>
      </c>
      <c r="I22" s="210">
        <v>121.81</v>
      </c>
      <c r="J22" s="210">
        <v>121.81</v>
      </c>
      <c r="K22" s="210">
        <v>121.81</v>
      </c>
      <c r="L22" s="211">
        <v>121.81</v>
      </c>
    </row>
    <row r="23" spans="1:12" x14ac:dyDescent="0.3">
      <c r="B23" s="143" t="s">
        <v>145</v>
      </c>
      <c r="C23" s="151"/>
      <c r="D23" s="151"/>
      <c r="E23" s="151"/>
      <c r="F23" s="151"/>
      <c r="G23" s="151"/>
      <c r="H23" s="151"/>
      <c r="I23" s="151"/>
      <c r="J23" s="151"/>
      <c r="K23" s="151"/>
      <c r="L23" s="152"/>
    </row>
    <row r="24" spans="1:12" ht="15" thickBot="1" x14ac:dyDescent="0.35">
      <c r="B24" s="139" t="s">
        <v>32</v>
      </c>
      <c r="C24" s="140">
        <f>+C26/C22</f>
        <v>0.34882696822920944</v>
      </c>
      <c r="D24" s="140">
        <f t="shared" ref="D24:L24" si="1">+D26/D22</f>
        <v>0.34882696822920944</v>
      </c>
      <c r="E24" s="140">
        <f t="shared" si="1"/>
        <v>0.34882696822920944</v>
      </c>
      <c r="F24" s="140">
        <f t="shared" si="1"/>
        <v>0.34882696822920944</v>
      </c>
      <c r="G24" s="140">
        <f t="shared" si="1"/>
        <v>0.34882696822920944</v>
      </c>
      <c r="H24" s="140">
        <f t="shared" si="1"/>
        <v>0.34882696822920944</v>
      </c>
      <c r="I24" s="140">
        <f t="shared" si="1"/>
        <v>0.34882696822920944</v>
      </c>
      <c r="J24" s="140">
        <f t="shared" si="1"/>
        <v>0.34882696822920944</v>
      </c>
      <c r="K24" s="140">
        <f t="shared" si="1"/>
        <v>0.348826968229209</v>
      </c>
      <c r="L24" s="141">
        <f t="shared" si="1"/>
        <v>0.348826968229209</v>
      </c>
    </row>
    <row r="25" spans="1:12" x14ac:dyDescent="0.3">
      <c r="A25" t="s">
        <v>204</v>
      </c>
      <c r="B25" s="214" t="s">
        <v>146</v>
      </c>
      <c r="C25" s="199"/>
      <c r="D25" s="199"/>
      <c r="E25" s="199"/>
      <c r="F25" s="199"/>
      <c r="G25" s="199"/>
      <c r="H25" s="199"/>
      <c r="I25" s="199"/>
      <c r="J25" s="199"/>
      <c r="K25" s="199"/>
      <c r="L25" s="200"/>
    </row>
    <row r="26" spans="1:12" ht="15" thickBot="1" x14ac:dyDescent="0.35">
      <c r="B26" s="207" t="s">
        <v>32</v>
      </c>
      <c r="C26" s="201">
        <v>42.490613000000003</v>
      </c>
      <c r="D26" s="201">
        <v>42.490613000000003</v>
      </c>
      <c r="E26" s="201">
        <v>42.490613000000003</v>
      </c>
      <c r="F26" s="201">
        <v>42.490613000000003</v>
      </c>
      <c r="G26" s="201">
        <v>42.490613000000003</v>
      </c>
      <c r="H26" s="201">
        <v>42.490613000000003</v>
      </c>
      <c r="I26" s="201">
        <v>42.490613000000003</v>
      </c>
      <c r="J26" s="201">
        <v>42.490613000000003</v>
      </c>
      <c r="K26" s="201">
        <v>42.490612999999946</v>
      </c>
      <c r="L26" s="202">
        <v>42.490612999999946</v>
      </c>
    </row>
    <row r="28" spans="1:12" ht="15" thickBot="1" x14ac:dyDescent="0.35"/>
    <row r="29" spans="1:12" x14ac:dyDescent="0.3">
      <c r="B29" s="145" t="s">
        <v>162</v>
      </c>
      <c r="C29" s="83"/>
      <c r="D29" s="83"/>
      <c r="E29" s="83"/>
      <c r="F29" s="83"/>
      <c r="G29" s="83"/>
      <c r="H29" s="83"/>
      <c r="I29" s="83"/>
      <c r="J29" s="83"/>
      <c r="K29" s="83"/>
      <c r="L29" s="84"/>
    </row>
    <row r="30" spans="1:12" ht="15" thickBot="1" x14ac:dyDescent="0.35">
      <c r="B30" s="242" t="s">
        <v>141</v>
      </c>
      <c r="C30" s="101"/>
      <c r="D30" s="101"/>
      <c r="E30" s="101"/>
      <c r="F30" s="101"/>
      <c r="G30" s="101"/>
      <c r="H30" s="101"/>
      <c r="I30" s="101"/>
      <c r="J30" s="101"/>
      <c r="K30" s="101"/>
      <c r="L30" s="147"/>
    </row>
    <row r="31" spans="1:12" x14ac:dyDescent="0.3">
      <c r="A31" t="s">
        <v>204</v>
      </c>
      <c r="B31" s="219" t="s">
        <v>142</v>
      </c>
      <c r="C31" s="220"/>
      <c r="D31" s="220"/>
      <c r="E31" s="220"/>
      <c r="F31" s="220"/>
      <c r="G31" s="220"/>
      <c r="H31" s="220"/>
      <c r="I31" s="220"/>
      <c r="J31" s="220"/>
      <c r="K31" s="220"/>
      <c r="L31" s="205"/>
    </row>
    <row r="32" spans="1:12" x14ac:dyDescent="0.3">
      <c r="B32" s="237" t="s">
        <v>151</v>
      </c>
      <c r="C32" s="298">
        <v>54.629208942999995</v>
      </c>
      <c r="D32" s="298">
        <v>54.629208942999995</v>
      </c>
      <c r="E32" s="298">
        <v>54.629208942999995</v>
      </c>
      <c r="F32" s="298">
        <v>54.629208942999995</v>
      </c>
      <c r="G32" s="298">
        <v>54.629208942999995</v>
      </c>
      <c r="H32" s="298">
        <v>54.629208942999995</v>
      </c>
      <c r="I32" s="298">
        <v>54.629208942999995</v>
      </c>
      <c r="J32" s="298">
        <v>54.629208942999995</v>
      </c>
      <c r="K32" s="298">
        <v>54.629208942999995</v>
      </c>
      <c r="L32" s="299">
        <v>54.629208942999995</v>
      </c>
    </row>
    <row r="33" spans="1:12" x14ac:dyDescent="0.3">
      <c r="B33" s="237" t="s">
        <v>160</v>
      </c>
      <c r="C33" s="298">
        <v>39.664720974000005</v>
      </c>
      <c r="D33" s="298">
        <v>39.664720974000005</v>
      </c>
      <c r="E33" s="298">
        <v>39.664720974000005</v>
      </c>
      <c r="F33" s="298">
        <v>39.664720974000005</v>
      </c>
      <c r="G33" s="298">
        <v>39.664720974000005</v>
      </c>
      <c r="H33" s="298">
        <v>39.664720974000005</v>
      </c>
      <c r="I33" s="298">
        <v>39.664720974000005</v>
      </c>
      <c r="J33" s="298">
        <v>39.664720974000005</v>
      </c>
      <c r="K33" s="298">
        <v>39.664720974000005</v>
      </c>
      <c r="L33" s="299">
        <v>39.664720974000005</v>
      </c>
    </row>
    <row r="34" spans="1:12" ht="28.8" x14ac:dyDescent="0.3">
      <c r="B34" s="239" t="s">
        <v>158</v>
      </c>
      <c r="C34" s="298">
        <v>0.56811517191300009</v>
      </c>
      <c r="D34" s="298">
        <v>0.56811517191300009</v>
      </c>
      <c r="E34" s="298">
        <v>0.56811517191300009</v>
      </c>
      <c r="F34" s="298">
        <v>0.56811517191300009</v>
      </c>
      <c r="G34" s="298">
        <v>0.56811517191300009</v>
      </c>
      <c r="H34" s="298">
        <v>0.56811517191300009</v>
      </c>
      <c r="I34" s="298">
        <v>0.56811517191300009</v>
      </c>
      <c r="J34" s="298">
        <v>0.56811517191300009</v>
      </c>
      <c r="K34" s="298">
        <v>0.56811517191300009</v>
      </c>
      <c r="L34" s="299">
        <v>0.56811517191300009</v>
      </c>
    </row>
    <row r="35" spans="1:12" ht="28.8" x14ac:dyDescent="0.3">
      <c r="B35" s="206" t="s">
        <v>159</v>
      </c>
      <c r="C35" s="300">
        <v>21.062283634499998</v>
      </c>
      <c r="D35" s="300">
        <v>21.062283634499998</v>
      </c>
      <c r="E35" s="300">
        <v>21.062283634499998</v>
      </c>
      <c r="F35" s="300">
        <v>21.062283634499998</v>
      </c>
      <c r="G35" s="300">
        <v>21.062283634499998</v>
      </c>
      <c r="H35" s="300">
        <v>21.062283634499998</v>
      </c>
      <c r="I35" s="300">
        <v>21.062283634499998</v>
      </c>
      <c r="J35" s="300">
        <v>21.062283634499998</v>
      </c>
      <c r="K35" s="300">
        <v>21.062283634499998</v>
      </c>
      <c r="L35" s="301">
        <v>21.062283634499998</v>
      </c>
    </row>
    <row r="36" spans="1:12" x14ac:dyDescent="0.3">
      <c r="B36" s="206" t="s">
        <v>161</v>
      </c>
      <c r="C36" s="300">
        <v>1.51490843551</v>
      </c>
      <c r="D36" s="300">
        <v>1.51490843551</v>
      </c>
      <c r="E36" s="300">
        <v>1.51490843551</v>
      </c>
      <c r="F36" s="300">
        <v>1.51490843551</v>
      </c>
      <c r="G36" s="300">
        <v>1.51490843551</v>
      </c>
      <c r="H36" s="300">
        <v>1.51490843551</v>
      </c>
      <c r="I36" s="300">
        <v>1.51490843551</v>
      </c>
      <c r="J36" s="300">
        <v>1.51490843551</v>
      </c>
      <c r="K36" s="300">
        <v>1.51490843551</v>
      </c>
      <c r="L36" s="301">
        <v>1.51490843551</v>
      </c>
    </row>
    <row r="37" spans="1:12" ht="29.4" thickBot="1" x14ac:dyDescent="0.35">
      <c r="B37" s="207" t="s">
        <v>158</v>
      </c>
      <c r="C37" s="266">
        <v>2.2016863291899997</v>
      </c>
      <c r="D37" s="266">
        <v>2.2016863291899997</v>
      </c>
      <c r="E37" s="266">
        <v>2.2016863291899997</v>
      </c>
      <c r="F37" s="266">
        <v>2.2016863291899997</v>
      </c>
      <c r="G37" s="266">
        <v>2.2016863291899997</v>
      </c>
      <c r="H37" s="266">
        <v>2.2016863291899997</v>
      </c>
      <c r="I37" s="266">
        <v>2.2016863291899997</v>
      </c>
      <c r="J37" s="266">
        <v>2.2016863291899997</v>
      </c>
      <c r="K37" s="266">
        <v>2.2016863291899997</v>
      </c>
      <c r="L37" s="302">
        <v>2.2016863291899997</v>
      </c>
    </row>
    <row r="38" spans="1:12" x14ac:dyDescent="0.3">
      <c r="B38" s="143" t="s">
        <v>145</v>
      </c>
      <c r="C38" s="144"/>
      <c r="D38" s="144"/>
      <c r="E38" s="144"/>
      <c r="F38" s="144"/>
      <c r="G38" s="144"/>
      <c r="H38" s="144"/>
      <c r="I38" s="144"/>
      <c r="J38" s="144"/>
      <c r="K38" s="144"/>
      <c r="L38" s="77"/>
    </row>
    <row r="39" spans="1:12" x14ac:dyDescent="0.3">
      <c r="B39" s="153" t="s">
        <v>151</v>
      </c>
      <c r="C39" s="137">
        <f>+C46/C32</f>
        <v>6.62449333333333</v>
      </c>
      <c r="D39" s="137">
        <f t="shared" ref="D39:L39" si="2">+D46/D32</f>
        <v>6.6244933333333318</v>
      </c>
      <c r="E39" s="137">
        <f t="shared" si="2"/>
        <v>6.6244933333333318</v>
      </c>
      <c r="F39" s="137">
        <f t="shared" si="2"/>
        <v>6.6244933333333318</v>
      </c>
      <c r="G39" s="137">
        <f t="shared" si="2"/>
        <v>6.6244933333333318</v>
      </c>
      <c r="H39" s="137">
        <f t="shared" si="2"/>
        <v>6.6244933333333318</v>
      </c>
      <c r="I39" s="137">
        <f t="shared" si="2"/>
        <v>6.6244933333333318</v>
      </c>
      <c r="J39" s="137">
        <f t="shared" si="2"/>
        <v>6.6244933333333318</v>
      </c>
      <c r="K39" s="137">
        <f t="shared" si="2"/>
        <v>6.6244933333333318</v>
      </c>
      <c r="L39" s="155">
        <f t="shared" si="2"/>
        <v>6.6244933333333318</v>
      </c>
    </row>
    <row r="40" spans="1:12" x14ac:dyDescent="0.3">
      <c r="B40" s="153" t="s">
        <v>160</v>
      </c>
      <c r="C40" s="137">
        <f t="shared" ref="C40:C44" si="3">+C47/C33</f>
        <v>6.624493089772062</v>
      </c>
      <c r="D40" s="137">
        <f t="shared" ref="D40:L40" si="4">+D47/D33</f>
        <v>6.624493089772062</v>
      </c>
      <c r="E40" s="137">
        <f t="shared" si="4"/>
        <v>6.624493089772062</v>
      </c>
      <c r="F40" s="137">
        <f t="shared" si="4"/>
        <v>6.624493089772062</v>
      </c>
      <c r="G40" s="137">
        <f t="shared" si="4"/>
        <v>6.624493089772062</v>
      </c>
      <c r="H40" s="137">
        <f t="shared" si="4"/>
        <v>6.624493089772062</v>
      </c>
      <c r="I40" s="137">
        <f t="shared" si="4"/>
        <v>6.624493089772062</v>
      </c>
      <c r="J40" s="137">
        <f t="shared" si="4"/>
        <v>6.624493089772062</v>
      </c>
      <c r="K40" s="137">
        <f t="shared" si="4"/>
        <v>6.624493089772062</v>
      </c>
      <c r="L40" s="155">
        <f t="shared" si="4"/>
        <v>6.624493089772062</v>
      </c>
    </row>
    <row r="41" spans="1:12" ht="28.8" x14ac:dyDescent="0.3">
      <c r="B41" s="154" t="s">
        <v>158</v>
      </c>
      <c r="C41" s="137">
        <f t="shared" si="3"/>
        <v>6.6183763185535867</v>
      </c>
      <c r="D41" s="137">
        <f t="shared" ref="D41:L41" si="5">+D48/D34</f>
        <v>6.6183763185535867</v>
      </c>
      <c r="E41" s="137">
        <f t="shared" si="5"/>
        <v>6.6183763185535867</v>
      </c>
      <c r="F41" s="137">
        <f t="shared" si="5"/>
        <v>6.6183763185535867</v>
      </c>
      <c r="G41" s="137">
        <f t="shared" si="5"/>
        <v>6.6183763185535867</v>
      </c>
      <c r="H41" s="137">
        <f t="shared" si="5"/>
        <v>6.6183763185535867</v>
      </c>
      <c r="I41" s="137">
        <f t="shared" si="5"/>
        <v>6.6183763185535867</v>
      </c>
      <c r="J41" s="137">
        <f t="shared" si="5"/>
        <v>6.6183763185535867</v>
      </c>
      <c r="K41" s="137">
        <f t="shared" si="5"/>
        <v>6.6183763185535867</v>
      </c>
      <c r="L41" s="155">
        <f t="shared" si="5"/>
        <v>6.6183763185535867</v>
      </c>
    </row>
    <row r="42" spans="1:12" ht="30.6" customHeight="1" x14ac:dyDescent="0.3">
      <c r="B42" s="133" t="s">
        <v>159</v>
      </c>
      <c r="C42" s="137">
        <f t="shared" si="3"/>
        <v>6.6246377848340252</v>
      </c>
      <c r="D42" s="137">
        <f t="shared" ref="D42:L42" si="6">+D49/D35</f>
        <v>6.6246377848340252</v>
      </c>
      <c r="E42" s="137">
        <f t="shared" si="6"/>
        <v>6.6246377848340252</v>
      </c>
      <c r="F42" s="137">
        <f t="shared" si="6"/>
        <v>6.6246377848340252</v>
      </c>
      <c r="G42" s="137">
        <f t="shared" si="6"/>
        <v>6.6246377848340252</v>
      </c>
      <c r="H42" s="137">
        <f t="shared" si="6"/>
        <v>6.6246377848340252</v>
      </c>
      <c r="I42" s="137">
        <f t="shared" si="6"/>
        <v>6.6246377848340252</v>
      </c>
      <c r="J42" s="137">
        <f t="shared" si="6"/>
        <v>6.6246377848340252</v>
      </c>
      <c r="K42" s="137">
        <f t="shared" si="6"/>
        <v>6.6246377848340252</v>
      </c>
      <c r="L42" s="138">
        <f t="shared" si="6"/>
        <v>6.6246377848340252</v>
      </c>
    </row>
    <row r="43" spans="1:12" ht="22.8" customHeight="1" x14ac:dyDescent="0.3">
      <c r="B43" s="133" t="s">
        <v>161</v>
      </c>
      <c r="C43" s="137">
        <f t="shared" si="3"/>
        <v>2.9917055669930508</v>
      </c>
      <c r="D43" s="137">
        <f t="shared" ref="D43:L43" si="7">+D50/D36</f>
        <v>2.9917055669930508</v>
      </c>
      <c r="E43" s="137">
        <f t="shared" si="7"/>
        <v>2.9917055669930508</v>
      </c>
      <c r="F43" s="137">
        <f t="shared" si="7"/>
        <v>2.9917055669930508</v>
      </c>
      <c r="G43" s="137">
        <f t="shared" si="7"/>
        <v>2.9917055669930508</v>
      </c>
      <c r="H43" s="137">
        <f t="shared" si="7"/>
        <v>2.9917055669930508</v>
      </c>
      <c r="I43" s="137">
        <f t="shared" si="7"/>
        <v>2.9917055669930508</v>
      </c>
      <c r="J43" s="137">
        <f t="shared" si="7"/>
        <v>2.9917055669930508</v>
      </c>
      <c r="K43" s="137">
        <f t="shared" si="7"/>
        <v>2.9917055669930508</v>
      </c>
      <c r="L43" s="138">
        <f t="shared" si="7"/>
        <v>2.9917055669930508</v>
      </c>
    </row>
    <row r="44" spans="1:12" ht="29.4" thickBot="1" x14ac:dyDescent="0.35">
      <c r="B44" s="139" t="s">
        <v>158</v>
      </c>
      <c r="C44" s="140">
        <f t="shared" si="3"/>
        <v>6.6244677121494515</v>
      </c>
      <c r="D44" s="140">
        <f t="shared" ref="D44:L44" si="8">+D51/D37</f>
        <v>6.6244677121494515</v>
      </c>
      <c r="E44" s="140">
        <f t="shared" si="8"/>
        <v>6.6244677121494515</v>
      </c>
      <c r="F44" s="140">
        <f t="shared" si="8"/>
        <v>6.6244677121494515</v>
      </c>
      <c r="G44" s="140">
        <f t="shared" si="8"/>
        <v>6.6244677121494515</v>
      </c>
      <c r="H44" s="140">
        <f t="shared" si="8"/>
        <v>6.6244677121494515</v>
      </c>
      <c r="I44" s="140">
        <f t="shared" si="8"/>
        <v>6.6244677121494515</v>
      </c>
      <c r="J44" s="140">
        <f t="shared" si="8"/>
        <v>6.6244677121494515</v>
      </c>
      <c r="K44" s="140">
        <f t="shared" si="8"/>
        <v>6.6244677121494515</v>
      </c>
      <c r="L44" s="141">
        <f t="shared" si="8"/>
        <v>6.6244677121494515</v>
      </c>
    </row>
    <row r="45" spans="1:12" x14ac:dyDescent="0.3">
      <c r="A45" t="s">
        <v>204</v>
      </c>
      <c r="B45" s="203" t="s">
        <v>146</v>
      </c>
      <c r="C45" s="204"/>
      <c r="D45" s="204"/>
      <c r="E45" s="204"/>
      <c r="F45" s="204"/>
      <c r="G45" s="204"/>
      <c r="H45" s="204"/>
      <c r="I45" s="204"/>
      <c r="J45" s="204"/>
      <c r="K45" s="204"/>
      <c r="L45" s="205"/>
    </row>
    <row r="46" spans="1:12" x14ac:dyDescent="0.3">
      <c r="B46" s="237" t="s">
        <v>151</v>
      </c>
      <c r="C46" s="199">
        <v>361.89083044817698</v>
      </c>
      <c r="D46" s="199">
        <v>361.8908304481771</v>
      </c>
      <c r="E46" s="199">
        <v>361.8908304481771</v>
      </c>
      <c r="F46" s="199">
        <v>361.8908304481771</v>
      </c>
      <c r="G46" s="199">
        <v>361.8908304481771</v>
      </c>
      <c r="H46" s="199">
        <v>361.8908304481771</v>
      </c>
      <c r="I46" s="199">
        <v>361.8908304481771</v>
      </c>
      <c r="J46" s="199">
        <v>361.8908304481771</v>
      </c>
      <c r="K46" s="199">
        <v>361.8908304481771</v>
      </c>
      <c r="L46" s="200">
        <v>361.8908304481771</v>
      </c>
    </row>
    <row r="47" spans="1:12" x14ac:dyDescent="0.3">
      <c r="B47" s="237" t="s">
        <v>160</v>
      </c>
      <c r="C47" s="199">
        <v>262.75867</v>
      </c>
      <c r="D47" s="199">
        <v>262.75867</v>
      </c>
      <c r="E47" s="199">
        <v>262.75867</v>
      </c>
      <c r="F47" s="199">
        <v>262.75867</v>
      </c>
      <c r="G47" s="199">
        <v>262.75867</v>
      </c>
      <c r="H47" s="199">
        <v>262.75867</v>
      </c>
      <c r="I47" s="199">
        <v>262.75867</v>
      </c>
      <c r="J47" s="199">
        <v>262.75867</v>
      </c>
      <c r="K47" s="199">
        <v>262.75867</v>
      </c>
      <c r="L47" s="200">
        <v>262.75867</v>
      </c>
    </row>
    <row r="48" spans="1:12" ht="28.8" x14ac:dyDescent="0.3">
      <c r="B48" s="239" t="s">
        <v>158</v>
      </c>
      <c r="C48" s="199">
        <v>3.76</v>
      </c>
      <c r="D48" s="199">
        <v>3.76</v>
      </c>
      <c r="E48" s="199">
        <v>3.76</v>
      </c>
      <c r="F48" s="199">
        <v>3.76</v>
      </c>
      <c r="G48" s="199">
        <v>3.76</v>
      </c>
      <c r="H48" s="199">
        <v>3.76</v>
      </c>
      <c r="I48" s="199">
        <v>3.76</v>
      </c>
      <c r="J48" s="199">
        <v>3.76</v>
      </c>
      <c r="K48" s="199">
        <v>3.76</v>
      </c>
      <c r="L48" s="200">
        <v>3.76</v>
      </c>
    </row>
    <row r="49" spans="1:13" ht="28.8" x14ac:dyDescent="0.3">
      <c r="B49" s="206" t="s">
        <v>159</v>
      </c>
      <c r="C49" s="199">
        <v>139.53</v>
      </c>
      <c r="D49" s="199">
        <v>139.53</v>
      </c>
      <c r="E49" s="199">
        <v>139.53</v>
      </c>
      <c r="F49" s="199">
        <v>139.53</v>
      </c>
      <c r="G49" s="199">
        <v>139.53</v>
      </c>
      <c r="H49" s="199">
        <v>139.53</v>
      </c>
      <c r="I49" s="199">
        <v>139.53</v>
      </c>
      <c r="J49" s="199">
        <v>139.53</v>
      </c>
      <c r="K49" s="199">
        <v>139.53</v>
      </c>
      <c r="L49" s="200">
        <v>139.53</v>
      </c>
    </row>
    <row r="50" spans="1:13" x14ac:dyDescent="0.3">
      <c r="B50" s="206" t="s">
        <v>161</v>
      </c>
      <c r="C50" s="199">
        <v>4.5321600000000002</v>
      </c>
      <c r="D50" s="199">
        <v>4.5321600000000002</v>
      </c>
      <c r="E50" s="199">
        <v>4.5321600000000002</v>
      </c>
      <c r="F50" s="199">
        <v>4.5321600000000002</v>
      </c>
      <c r="G50" s="199">
        <v>4.5321600000000002</v>
      </c>
      <c r="H50" s="199">
        <v>4.5321600000000002</v>
      </c>
      <c r="I50" s="199">
        <v>4.5321600000000002</v>
      </c>
      <c r="J50" s="199">
        <v>4.5321600000000002</v>
      </c>
      <c r="K50" s="199">
        <v>4.5321600000000002</v>
      </c>
      <c r="L50" s="200">
        <v>4.5321600000000002</v>
      </c>
    </row>
    <row r="51" spans="1:13" ht="29.4" thickBot="1" x14ac:dyDescent="0.35">
      <c r="B51" s="207" t="s">
        <v>158</v>
      </c>
      <c r="C51" s="201">
        <v>14.585000000000001</v>
      </c>
      <c r="D51" s="201">
        <v>14.585000000000001</v>
      </c>
      <c r="E51" s="201">
        <v>14.585000000000001</v>
      </c>
      <c r="F51" s="201">
        <v>14.585000000000001</v>
      </c>
      <c r="G51" s="201">
        <v>14.585000000000001</v>
      </c>
      <c r="H51" s="201">
        <v>14.585000000000001</v>
      </c>
      <c r="I51" s="201">
        <v>14.585000000000001</v>
      </c>
      <c r="J51" s="201">
        <v>14.585000000000001</v>
      </c>
      <c r="K51" s="201">
        <v>14.585000000000001</v>
      </c>
      <c r="L51" s="202">
        <v>14.585000000000001</v>
      </c>
    </row>
    <row r="52" spans="1:13" x14ac:dyDescent="0.3">
      <c r="C52" s="304">
        <f>+SUM(C46:C51)</f>
        <v>787.0566604481769</v>
      </c>
      <c r="D52" s="304">
        <f t="shared" ref="D52:L52" si="9">+SUM(D46:D51)</f>
        <v>787.05666044817713</v>
      </c>
      <c r="E52" s="304">
        <f t="shared" si="9"/>
        <v>787.05666044817713</v>
      </c>
      <c r="F52" s="304">
        <f t="shared" si="9"/>
        <v>787.05666044817713</v>
      </c>
      <c r="G52" s="304">
        <f t="shared" si="9"/>
        <v>787.05666044817713</v>
      </c>
      <c r="H52" s="304">
        <f t="shared" si="9"/>
        <v>787.05666044817713</v>
      </c>
      <c r="I52" s="304">
        <f t="shared" si="9"/>
        <v>787.05666044817713</v>
      </c>
      <c r="J52" s="304">
        <f t="shared" si="9"/>
        <v>787.05666044817713</v>
      </c>
      <c r="K52" s="304">
        <f t="shared" si="9"/>
        <v>787.05666044817713</v>
      </c>
      <c r="L52" s="304">
        <f t="shared" si="9"/>
        <v>787.05666044817713</v>
      </c>
    </row>
    <row r="53" spans="1:13" ht="15" thickBot="1" x14ac:dyDescent="0.35"/>
    <row r="54" spans="1:13" x14ac:dyDescent="0.3">
      <c r="B54" s="145" t="s">
        <v>162</v>
      </c>
      <c r="C54" s="83"/>
      <c r="D54" s="83"/>
      <c r="E54" s="83"/>
      <c r="F54" s="83"/>
      <c r="G54" s="83"/>
      <c r="H54" s="83"/>
      <c r="I54" s="83"/>
      <c r="J54" s="83"/>
      <c r="K54" s="83"/>
      <c r="L54" s="84"/>
    </row>
    <row r="55" spans="1:13" ht="15" thickBot="1" x14ac:dyDescent="0.35">
      <c r="B55" s="146" t="s">
        <v>147</v>
      </c>
      <c r="C55" s="101"/>
      <c r="D55" s="101"/>
      <c r="E55" s="101"/>
      <c r="F55" s="101"/>
      <c r="G55" s="101"/>
      <c r="H55" s="101"/>
      <c r="I55" s="101"/>
      <c r="J55" s="101"/>
      <c r="K55" s="101"/>
      <c r="L55" s="147"/>
    </row>
    <row r="56" spans="1:13" x14ac:dyDescent="0.3">
      <c r="A56" s="505" t="s">
        <v>228</v>
      </c>
      <c r="B56" s="142" t="s">
        <v>225</v>
      </c>
      <c r="C56" s="76"/>
      <c r="D56" s="76"/>
      <c r="E56" s="76"/>
      <c r="F56" s="76"/>
      <c r="G56" s="76"/>
      <c r="H56" s="76"/>
      <c r="I56" s="76"/>
      <c r="J56" s="76"/>
      <c r="K56" s="76"/>
      <c r="L56" s="286"/>
    </row>
    <row r="57" spans="1:13" x14ac:dyDescent="0.3">
      <c r="A57" s="505"/>
      <c r="B57" s="153" t="s">
        <v>151</v>
      </c>
      <c r="C57" s="292">
        <v>0.21</v>
      </c>
      <c r="D57" s="148"/>
      <c r="E57" s="148"/>
      <c r="F57" s="148"/>
      <c r="G57" s="148"/>
      <c r="H57" s="148"/>
      <c r="I57" s="148"/>
      <c r="J57" s="148"/>
      <c r="K57" s="148"/>
      <c r="L57" s="138"/>
    </row>
    <row r="58" spans="1:13" x14ac:dyDescent="0.3">
      <c r="A58" s="505"/>
      <c r="B58" s="153" t="s">
        <v>160</v>
      </c>
      <c r="C58" s="292">
        <v>0.21</v>
      </c>
      <c r="D58" s="148"/>
      <c r="E58" s="148"/>
      <c r="F58" s="148"/>
      <c r="G58" s="148"/>
      <c r="H58" s="148"/>
      <c r="I58" s="148"/>
      <c r="J58" s="148"/>
      <c r="K58" s="148"/>
      <c r="L58" s="138"/>
    </row>
    <row r="59" spans="1:13" ht="28.8" x14ac:dyDescent="0.3">
      <c r="A59" s="505"/>
      <c r="B59" s="154" t="s">
        <v>158</v>
      </c>
      <c r="C59" s="292">
        <v>0.27996313699999997</v>
      </c>
      <c r="D59" s="148">
        <v>0.27982515299999999</v>
      </c>
      <c r="E59" s="148">
        <v>0.27968734699999998</v>
      </c>
      <c r="F59" s="148">
        <v>0.27954972</v>
      </c>
      <c r="G59" s="148">
        <v>0.27941227200000002</v>
      </c>
      <c r="H59" s="148">
        <v>0.27927500199999999</v>
      </c>
      <c r="I59" s="148">
        <v>0.27913791199999999</v>
      </c>
      <c r="J59" s="148">
        <v>0.279001</v>
      </c>
      <c r="K59" s="148">
        <v>0.27886426800000003</v>
      </c>
      <c r="L59" s="138">
        <v>0.27872771600000001</v>
      </c>
      <c r="M59" s="240"/>
    </row>
    <row r="60" spans="1:13" ht="28.8" x14ac:dyDescent="0.3">
      <c r="A60" s="505"/>
      <c r="B60" s="133" t="s">
        <v>159</v>
      </c>
      <c r="C60" s="292">
        <v>0.29470170600000001</v>
      </c>
      <c r="D60" s="148">
        <v>0.29458796300000001</v>
      </c>
      <c r="E60" s="148">
        <v>0.29447430600000002</v>
      </c>
      <c r="F60" s="148">
        <v>0.29436073600000001</v>
      </c>
      <c r="G60" s="148">
        <v>0.29424725200000001</v>
      </c>
      <c r="H60" s="148">
        <v>0.29413385600000003</v>
      </c>
      <c r="I60" s="148">
        <v>0.29402054599999999</v>
      </c>
      <c r="J60" s="148">
        <v>0.293907323</v>
      </c>
      <c r="K60" s="148">
        <v>0.29379418800000001</v>
      </c>
      <c r="L60" s="138">
        <v>0.29368114000000001</v>
      </c>
    </row>
    <row r="61" spans="1:13" x14ac:dyDescent="0.3">
      <c r="A61" s="505"/>
      <c r="B61" s="133" t="s">
        <v>161</v>
      </c>
      <c r="C61" s="293">
        <v>0.211220187</v>
      </c>
      <c r="D61" s="137"/>
      <c r="E61" s="137"/>
      <c r="F61" s="137"/>
      <c r="G61" s="137"/>
      <c r="H61" s="137"/>
      <c r="I61" s="137"/>
      <c r="J61" s="137"/>
      <c r="K61" s="137"/>
      <c r="L61" s="138"/>
    </row>
    <row r="62" spans="1:13" ht="29.4" thickBot="1" x14ac:dyDescent="0.35">
      <c r="A62" s="505"/>
      <c r="B62" s="139" t="s">
        <v>158</v>
      </c>
      <c r="C62" s="283">
        <v>0.32246632200000003</v>
      </c>
      <c r="D62" s="140">
        <v>0.322357897</v>
      </c>
      <c r="E62" s="140">
        <v>0.32224949400000003</v>
      </c>
      <c r="F62" s="140">
        <v>0.32214111499999998</v>
      </c>
      <c r="G62" s="140">
        <v>0.32203275999999997</v>
      </c>
      <c r="H62" s="140">
        <v>0.32192442799999998</v>
      </c>
      <c r="I62" s="140">
        <v>0.32181611900000001</v>
      </c>
      <c r="J62" s="140">
        <v>0.321707835</v>
      </c>
      <c r="K62" s="140">
        <v>0.32159957500000003</v>
      </c>
      <c r="L62" s="141">
        <v>0.32149133899999999</v>
      </c>
    </row>
    <row r="63" spans="1:13" x14ac:dyDescent="0.3">
      <c r="B63" s="142" t="s">
        <v>226</v>
      </c>
      <c r="C63" s="285"/>
      <c r="D63" s="76"/>
      <c r="E63" s="76"/>
      <c r="F63" s="76"/>
      <c r="G63" s="76"/>
      <c r="H63" s="76"/>
      <c r="I63" s="76"/>
      <c r="J63" s="76"/>
      <c r="K63" s="76"/>
      <c r="L63" s="286"/>
    </row>
    <row r="64" spans="1:13" x14ac:dyDescent="0.3">
      <c r="B64" s="153" t="s">
        <v>151</v>
      </c>
      <c r="C64" s="289">
        <v>54629.208942999998</v>
      </c>
      <c r="D64" s="148"/>
      <c r="E64" s="148"/>
      <c r="F64" s="148"/>
      <c r="G64" s="148"/>
      <c r="H64" s="148"/>
      <c r="I64" s="148"/>
      <c r="J64" s="148"/>
      <c r="K64" s="148"/>
      <c r="L64" s="138"/>
    </row>
    <row r="65" spans="2:14" x14ac:dyDescent="0.3">
      <c r="B65" s="153" t="s">
        <v>160</v>
      </c>
      <c r="C65" s="289">
        <v>39664.720974000003</v>
      </c>
      <c r="D65" s="148"/>
      <c r="E65" s="148"/>
      <c r="F65" s="148"/>
      <c r="G65" s="148"/>
      <c r="H65" s="148"/>
      <c r="I65" s="148"/>
      <c r="J65" s="148"/>
      <c r="K65" s="148"/>
      <c r="L65" s="138"/>
    </row>
    <row r="66" spans="2:14" ht="28.8" x14ac:dyDescent="0.3">
      <c r="B66" s="154" t="s">
        <v>158</v>
      </c>
      <c r="C66" s="289">
        <v>568.11517189999995</v>
      </c>
      <c r="D66" s="148">
        <v>566.52465889999996</v>
      </c>
      <c r="E66" s="148">
        <v>564.9393804</v>
      </c>
      <c r="F66" s="148">
        <v>563.35931640000001</v>
      </c>
      <c r="G66" s="148">
        <v>561.784447</v>
      </c>
      <c r="H66" s="148">
        <v>560.21475229999999</v>
      </c>
      <c r="I66" s="148">
        <v>558.65021260000003</v>
      </c>
      <c r="J66" s="148">
        <v>557.09080800000004</v>
      </c>
      <c r="K66" s="148">
        <v>555.53651909999996</v>
      </c>
      <c r="L66" s="155">
        <v>553.98732619999998</v>
      </c>
      <c r="M66" s="240"/>
    </row>
    <row r="67" spans="2:14" ht="28.8" x14ac:dyDescent="0.3">
      <c r="B67" s="133" t="s">
        <v>159</v>
      </c>
      <c r="C67" s="288">
        <v>21062.2836345</v>
      </c>
      <c r="D67" s="137">
        <f>+C67-(C67*C60/100)</f>
        <v>21000.21272530657</v>
      </c>
      <c r="E67" s="137">
        <f>+D67-(D67*D60/100)</f>
        <v>20938.348626413423</v>
      </c>
      <c r="F67" s="137">
        <f>+E67-(E67*E60/100)</f>
        <v>20876.69056960793</v>
      </c>
      <c r="G67" s="137">
        <f t="shared" ref="E67:K69" si="10">+F67-(F67*F60/100)</f>
        <v>20815.23778959479</v>
      </c>
      <c r="H67" s="137">
        <f t="shared" si="10"/>
        <v>20753.989524401641</v>
      </c>
      <c r="I67" s="137">
        <f t="shared" si="10"/>
        <v>20692.945014739682</v>
      </c>
      <c r="J67" s="137">
        <f t="shared" si="10"/>
        <v>20632.103504823863</v>
      </c>
      <c r="K67" s="137">
        <f t="shared" si="10"/>
        <v>20571.464241734247</v>
      </c>
      <c r="L67" s="138">
        <f>+K67-(K67*K60/100)</f>
        <v>20511.026475405535</v>
      </c>
    </row>
    <row r="68" spans="2:14" x14ac:dyDescent="0.3">
      <c r="B68" s="133" t="s">
        <v>161</v>
      </c>
      <c r="C68" s="288">
        <v>1514.9084355099999</v>
      </c>
      <c r="D68" s="137"/>
      <c r="E68" s="137"/>
      <c r="F68" s="137"/>
      <c r="G68" s="137"/>
      <c r="H68" s="137"/>
      <c r="I68" s="137"/>
      <c r="J68" s="137"/>
      <c r="K68" s="137"/>
      <c r="L68" s="138"/>
    </row>
    <row r="69" spans="2:14" ht="29.4" thickBot="1" x14ac:dyDescent="0.35">
      <c r="B69" s="139" t="s">
        <v>158</v>
      </c>
      <c r="C69" s="284">
        <v>2201.6863291999998</v>
      </c>
      <c r="D69" s="140">
        <f>+C69-(C69*C62/100)</f>
        <v>2194.5866322722518</v>
      </c>
      <c r="E69" s="140">
        <f t="shared" si="10"/>
        <v>2187.5122089566157</v>
      </c>
      <c r="F69" s="140">
        <f t="shared" si="10"/>
        <v>2180.4629619320649</v>
      </c>
      <c r="G69" s="140">
        <f t="shared" si="10"/>
        <v>2173.4387942343351</v>
      </c>
      <c r="H69" s="140">
        <f t="shared" si="10"/>
        <v>2166.4396092983516</v>
      </c>
      <c r="I69" s="140">
        <f t="shared" si="10"/>
        <v>2159.4653109781525</v>
      </c>
      <c r="J69" s="140">
        <f t="shared" si="10"/>
        <v>2152.5158035232112</v>
      </c>
      <c r="K69" s="140">
        <f t="shared" si="10"/>
        <v>2145.5909915336638</v>
      </c>
      <c r="L69" s="141">
        <f>+K69-(K69*K62/100)</f>
        <v>2138.6907800236531</v>
      </c>
    </row>
    <row r="70" spans="2:14" x14ac:dyDescent="0.3">
      <c r="B70" s="142" t="s">
        <v>224</v>
      </c>
      <c r="C70" s="76"/>
      <c r="D70" s="76"/>
      <c r="E70" s="76"/>
      <c r="F70" s="76"/>
      <c r="G70" s="76"/>
      <c r="H70" s="76"/>
      <c r="I70" s="76"/>
      <c r="J70" s="76"/>
      <c r="K70" s="76"/>
      <c r="L70" s="286"/>
    </row>
    <row r="71" spans="2:14" x14ac:dyDescent="0.3">
      <c r="B71" s="153" t="s">
        <v>151</v>
      </c>
      <c r="C71" s="148">
        <f>+($C64*$C57/100)/1000</f>
        <v>0.11472133878029998</v>
      </c>
      <c r="D71" s="148">
        <f>+(($C64/1000)-(SUM($C71:C71)))*($C57/100)</f>
        <v>0.11448042396886135</v>
      </c>
      <c r="E71" s="148">
        <f>+(($C64/1000)-(SUM($C71:D71)))*($C57/100)</f>
        <v>0.11424001507852674</v>
      </c>
      <c r="F71" s="148">
        <f>+(($C64/1000)-(SUM($C71:E71)))*($C57/100)</f>
        <v>0.11400011104686185</v>
      </c>
      <c r="G71" s="148">
        <f>+(($C64/1000)-(SUM($C71:F71)))*($C57/100)</f>
        <v>0.11376071081366343</v>
      </c>
      <c r="H71" s="148">
        <f>+(($C64/1000)-(SUM($C71:G71)))*($C57/100)</f>
        <v>0.11352181332095473</v>
      </c>
      <c r="I71" s="148">
        <f>+(($C64/1000)-(SUM($C71:H71)))*($C57/100)</f>
        <v>0.11328341751298072</v>
      </c>
      <c r="J71" s="148">
        <f>+(($C64/1000)-(SUM($C71:I71)))*($C57/100)</f>
        <v>0.11304552233620348</v>
      </c>
      <c r="K71" s="148">
        <f>+(($C64/1000)-(SUM($C71:J71)))*($C57/100)</f>
        <v>0.11280812673929744</v>
      </c>
      <c r="L71" s="155">
        <f>+(($C64/1000)-(SUM($C71:K71)))*($C57/100)</f>
        <v>0.11257122967314492</v>
      </c>
      <c r="M71" s="240"/>
      <c r="N71" s="265"/>
    </row>
    <row r="72" spans="2:14" x14ac:dyDescent="0.3">
      <c r="B72" s="153" t="s">
        <v>160</v>
      </c>
      <c r="C72" s="148">
        <f t="shared" ref="C72:C75" si="11">+($C65*$C58/100)/1000</f>
        <v>8.3295914045400016E-2</v>
      </c>
      <c r="D72" s="148">
        <f>+(($C65/1000)-(SUM($C72:C72)))*($C58/100)</f>
        <v>8.3120992625904666E-2</v>
      </c>
      <c r="E72" s="148">
        <f>+(($C65/1000)-(SUM($C72:D72)))*($C58/100)</f>
        <v>8.2946438541390277E-2</v>
      </c>
      <c r="F72" s="148">
        <f>+(($C65/1000)-(SUM($C72:E72)))*($C58/100)</f>
        <v>8.2772251020453352E-2</v>
      </c>
      <c r="G72" s="148">
        <f>+(($C65/1000)-(SUM($C72:F72)))*($C58/100)</f>
        <v>8.2598429293310391E-2</v>
      </c>
      <c r="H72" s="148">
        <f>+(($C65/1000)-(SUM($C72:G72)))*($C58/100)</f>
        <v>8.2424972591794446E-2</v>
      </c>
      <c r="I72" s="148">
        <f>+(($C65/1000)-(SUM($C72:H72)))*($C58/100)</f>
        <v>8.2251880149351683E-2</v>
      </c>
      <c r="J72" s="148">
        <f>+(($C65/1000)-(SUM($C72:I72)))*($C58/100)</f>
        <v>8.2079151201038036E-2</v>
      </c>
      <c r="K72" s="148">
        <f>+(($C65/1000)-(SUM($C72:J72)))*($C58/100)</f>
        <v>8.1906784983515848E-2</v>
      </c>
      <c r="L72" s="155">
        <f>+(($C65/1000)-(SUM($C72:K72)))*($C58/100)</f>
        <v>8.1734780735050472E-2</v>
      </c>
      <c r="M72" s="240"/>
      <c r="N72" s="264"/>
    </row>
    <row r="73" spans="2:14" ht="28.8" x14ac:dyDescent="0.3">
      <c r="B73" s="154" t="s">
        <v>158</v>
      </c>
      <c r="C73" s="148">
        <f>+($C66*$C59/100)/1000</f>
        <v>1.5905130570241822E-3</v>
      </c>
      <c r="D73" s="148">
        <f>+(D66*D59/100)/1000</f>
        <v>1.5852784935496528E-3</v>
      </c>
      <c r="E73" s="148">
        <f t="shared" ref="E73:L73" si="12">+(E66*E59/100)/1000</f>
        <v>1.580063965198998E-3</v>
      </c>
      <c r="F73" s="148">
        <f t="shared" si="12"/>
        <v>1.5748693915901139E-3</v>
      </c>
      <c r="G73" s="148">
        <f t="shared" si="12"/>
        <v>1.5696946871053359E-3</v>
      </c>
      <c r="H73" s="148">
        <f t="shared" si="12"/>
        <v>1.5645397606901198E-3</v>
      </c>
      <c r="I73" s="148">
        <f t="shared" si="12"/>
        <v>1.559404538835201E-3</v>
      </c>
      <c r="J73" s="148">
        <f t="shared" si="12"/>
        <v>1.5542889252280799E-3</v>
      </c>
      <c r="K73" s="148">
        <f t="shared" si="12"/>
        <v>1.5491928474608951E-3</v>
      </c>
      <c r="L73" s="155">
        <f t="shared" si="12"/>
        <v>1.5441162212467296E-3</v>
      </c>
      <c r="M73" s="241"/>
      <c r="N73" s="271"/>
    </row>
    <row r="74" spans="2:14" ht="28.8" x14ac:dyDescent="0.3">
      <c r="B74" s="133" t="s">
        <v>159</v>
      </c>
      <c r="C74" s="148">
        <f>+($C67*$C60/100)/1000</f>
        <v>6.2070909193430307E-2</v>
      </c>
      <c r="D74" s="148">
        <f>+(D67*D60/100)/1000</f>
        <v>6.1864098893147416E-2</v>
      </c>
      <c r="E74" s="148">
        <f t="shared" ref="E74:L74" si="13">+(E67*E60/100)/1000</f>
        <v>6.1658056805491461E-2</v>
      </c>
      <c r="F74" s="148">
        <f t="shared" si="13"/>
        <v>6.1452780013140494E-2</v>
      </c>
      <c r="G74" s="148">
        <f t="shared" si="13"/>
        <v>6.1248265193148223E-2</v>
      </c>
      <c r="H74" s="148">
        <f t="shared" si="13"/>
        <v>6.104450966195861E-2</v>
      </c>
      <c r="I74" s="148">
        <f t="shared" si="13"/>
        <v>6.0841509915817396E-2</v>
      </c>
      <c r="J74" s="148">
        <f t="shared" si="13"/>
        <v>6.0639263089616986E-2</v>
      </c>
      <c r="K74" s="148">
        <f t="shared" si="13"/>
        <v>6.0437766328713484E-2</v>
      </c>
      <c r="L74" s="155">
        <f t="shared" si="13"/>
        <v>6.0237016378672799E-2</v>
      </c>
      <c r="M74" s="243"/>
      <c r="N74" s="291"/>
    </row>
    <row r="75" spans="2:14" x14ac:dyDescent="0.3">
      <c r="B75" s="133" t="s">
        <v>161</v>
      </c>
      <c r="C75" s="148">
        <f t="shared" si="11"/>
        <v>3.1997924303629965E-3</v>
      </c>
      <c r="D75" s="148">
        <f>+(($C68/1000)-(SUM($C75:C75)))*($C61/100)</f>
        <v>3.193033822807972E-3</v>
      </c>
      <c r="E75" s="148">
        <f>+(($C68/1000)-(SUM($C75:D75)))*($C61/100)</f>
        <v>3.1862894907964639E-3</v>
      </c>
      <c r="F75" s="148">
        <f>+(($C68/1000)-(SUM($C75:E75)))*($C61/100)</f>
        <v>3.1795594041756419E-3</v>
      </c>
      <c r="G75" s="148">
        <f>+(($C68/1000)-(SUM($C75:F75)))*($C61/100)</f>
        <v>3.1728435328563665E-3</v>
      </c>
      <c r="H75" s="148">
        <f>+(($C68/1000)-(SUM($C75:G75)))*($C61/100)</f>
        <v>3.1661418468130497E-3</v>
      </c>
      <c r="I75" s="148">
        <f>+(($C68/1000)-(SUM($C75:H75)))*($C61/100)</f>
        <v>3.1594543160835256E-3</v>
      </c>
      <c r="J75" s="148">
        <f>+(($C68/1000)-(SUM($C75:I75)))*($C61/100)</f>
        <v>3.1527809107689147E-3</v>
      </c>
      <c r="K75" s="148">
        <f>+(($C68/1000)-(SUM($C75:J75)))*($C61/100)</f>
        <v>3.1461216010334882E-3</v>
      </c>
      <c r="L75" s="155">
        <f>+(($C68/1000)-(SUM($C75:K75)))*($C61/100)</f>
        <v>3.1394763571045378E-3</v>
      </c>
      <c r="M75" s="240"/>
    </row>
    <row r="76" spans="2:14" ht="29.4" thickBot="1" x14ac:dyDescent="0.35">
      <c r="B76" s="139" t="s">
        <v>158</v>
      </c>
      <c r="C76" s="225">
        <f>+($C69*C62/100)/1000</f>
        <v>7.0996969277480528E-3</v>
      </c>
      <c r="D76" s="225">
        <f>+(D69*D62/100)/1000</f>
        <v>7.0744233156359538E-3</v>
      </c>
      <c r="E76" s="225">
        <f t="shared" ref="E76:L76" si="14">+(E69*E62/100)/1000</f>
        <v>7.0492470245509175E-3</v>
      </c>
      <c r="F76" s="225">
        <f t="shared" si="14"/>
        <v>7.0241676977299793E-3</v>
      </c>
      <c r="G76" s="225">
        <f t="shared" si="14"/>
        <v>6.9991849359835497E-3</v>
      </c>
      <c r="H76" s="225">
        <f t="shared" si="14"/>
        <v>6.9742983201991522E-3</v>
      </c>
      <c r="I76" s="225">
        <f t="shared" si="14"/>
        <v>6.9495074549411721E-3</v>
      </c>
      <c r="J76" s="225">
        <f t="shared" si="14"/>
        <v>6.9248119895473758E-3</v>
      </c>
      <c r="K76" s="225">
        <f t="shared" si="14"/>
        <v>6.9002115100105493E-3</v>
      </c>
      <c r="L76" s="287">
        <f t="shared" si="14"/>
        <v>6.8757056257675872E-3</v>
      </c>
      <c r="M76" s="243"/>
      <c r="N76" s="290"/>
    </row>
    <row r="77" spans="2:14" s="70" customFormat="1" ht="28.8" x14ac:dyDescent="0.3">
      <c r="B77" s="232" t="s">
        <v>218</v>
      </c>
      <c r="C77" s="233">
        <f>C71/(54629/1000)</f>
        <v>2.1000080320031484E-3</v>
      </c>
      <c r="D77" s="233">
        <f>D71/((54629/1000)-SUM($C71:C71))</f>
        <v>2.1000080489059153E-3</v>
      </c>
      <c r="E77" s="233">
        <f>E71/((54629/1000)-SUM($C71:D71))</f>
        <v>2.1000080658442532E-3</v>
      </c>
      <c r="F77" s="233">
        <f>F71/((54629/1000)-SUM($C71:E71))</f>
        <v>2.1000080828182366E-3</v>
      </c>
      <c r="G77" s="233">
        <f>G71/((54629/1000)-SUM($C71:F71))</f>
        <v>2.1000080998279406E-3</v>
      </c>
      <c r="H77" s="233">
        <f>H71/((54629/1000)-SUM($C71:G71))</f>
        <v>2.1000081168734406E-3</v>
      </c>
      <c r="I77" s="233">
        <f>I71/((54629/1000)-SUM($C71:H71))</f>
        <v>2.1000081339548121E-3</v>
      </c>
      <c r="J77" s="233">
        <f>J71/((54629/1000)-SUM($C71:I71))</f>
        <v>2.1000081510721296E-3</v>
      </c>
      <c r="K77" s="233">
        <f>K71/((54629/1000)-SUM($C71:J71))</f>
        <v>2.1000081682254696E-3</v>
      </c>
      <c r="L77" s="234">
        <f>L71/((54629/1000)-SUM($C71:K71))</f>
        <v>2.1000081854149078E-3</v>
      </c>
    </row>
    <row r="78" spans="2:14" s="70" customFormat="1" x14ac:dyDescent="0.3">
      <c r="B78" s="154" t="s">
        <v>219</v>
      </c>
      <c r="C78" s="235">
        <f>C72/(39665/1000)</f>
        <v>2.0999852274145975E-3</v>
      </c>
      <c r="D78" s="235">
        <f>D72/((39665/1000)-SUM($C72:C72))</f>
        <v>2.099985196327103E-3</v>
      </c>
      <c r="E78" s="235">
        <f>E72/((39665/1000)-SUM($C72:D72))</f>
        <v>2.0999851651741885E-3</v>
      </c>
      <c r="F78" s="235">
        <f>F72/((39665/1000)-SUM($C72:E72))</f>
        <v>2.0999851339557158E-3</v>
      </c>
      <c r="G78" s="235">
        <f>G72/((39665/1000)-SUM($C72:F72))</f>
        <v>2.0999851026715479E-3</v>
      </c>
      <c r="H78" s="235">
        <f>H72/((39665/1000)-SUM($C72:G72))</f>
        <v>2.0999850713215454E-3</v>
      </c>
      <c r="I78" s="235">
        <f>I72/((39665/1000)-SUM($C72:H72))</f>
        <v>2.0999850399055706E-3</v>
      </c>
      <c r="J78" s="235">
        <f>J72/((39665/1000)-SUM($C72:I72))</f>
        <v>2.0999850084234837E-3</v>
      </c>
      <c r="K78" s="235">
        <f>K72/((39665/1000)-SUM($C72:J72))</f>
        <v>2.0999849768751468E-3</v>
      </c>
      <c r="L78" s="228">
        <f>L72/((39665/1000)-SUM($C72:K72))</f>
        <v>2.0999849452604203E-3</v>
      </c>
    </row>
    <row r="79" spans="2:14" s="70" customFormat="1" x14ac:dyDescent="0.3">
      <c r="B79" s="154" t="s">
        <v>220</v>
      </c>
      <c r="C79" s="235">
        <f>C73/(568/1000)</f>
        <v>2.8001990440566591E-3</v>
      </c>
      <c r="D79" s="235">
        <f>D73/((568/1000)-SUM($C73:C73))</f>
        <v>2.7988205178301568E-3</v>
      </c>
      <c r="E79" s="235">
        <f>E73/((568/1000)-SUM($C73:D73))</f>
        <v>2.7974437737657192E-3</v>
      </c>
      <c r="F79" s="235">
        <f>F73/((568/1000)-SUM($C73:E73))</f>
        <v>2.7960688220420834E-3</v>
      </c>
      <c r="G79" s="235">
        <f>G73/((568/1000)-SUM($C73:F73))</f>
        <v>2.7946956629351745E-3</v>
      </c>
      <c r="H79" s="235">
        <f>H73/((568/1000)-SUM($C73:G73))</f>
        <v>2.7933242862944806E-3</v>
      </c>
      <c r="I79" s="235">
        <f>I73/((568/1000)-SUM($C73:H73))</f>
        <v>2.7919547125187217E-3</v>
      </c>
      <c r="J79" s="235">
        <f>J73/((568/1000)-SUM($C73:I73))</f>
        <v>2.7905869206319468E-3</v>
      </c>
      <c r="K79" s="235">
        <f>K73/((568/1000)-SUM($C73:J73))</f>
        <v>2.789220931684256E-3</v>
      </c>
      <c r="L79" s="228">
        <f>L73/((568/1000)-SUM($C73:K73))</f>
        <v>2.787856744857205E-3</v>
      </c>
    </row>
    <row r="80" spans="2:14" s="70" customFormat="1" ht="28.8" x14ac:dyDescent="0.3">
      <c r="B80" s="133" t="s">
        <v>221</v>
      </c>
      <c r="C80" s="236">
        <f>C74/(21062/1000)</f>
        <v>2.9470567464357756E-3</v>
      </c>
      <c r="D80" s="236">
        <f>D74/((21062/1000)-SUM($C74:C74))</f>
        <v>2.9459194183770136E-3</v>
      </c>
      <c r="E80" s="236">
        <f>E74/((21062/1000)-SUM($C74:D74))</f>
        <v>2.944782950540304E-3</v>
      </c>
      <c r="F80" s="236">
        <f>F74/((21062/1000)-SUM($C74:E74))</f>
        <v>2.9436473529261932E-3</v>
      </c>
      <c r="G80" s="236">
        <f>G74/((21062/1000)-SUM($C74:F74))</f>
        <v>2.9425126155349581E-3</v>
      </c>
      <c r="H80" s="236">
        <f>H74/((21062/1000)-SUM($C74:G74))</f>
        <v>2.9413787583672806E-3</v>
      </c>
      <c r="I80" s="236">
        <f>I74/((21062/1000)-SUM($C74:H74))</f>
        <v>2.9402457614233026E-3</v>
      </c>
      <c r="J80" s="236">
        <f>J74/((21062/1000)-SUM($C74:I74))</f>
        <v>2.9391136347035733E-3</v>
      </c>
      <c r="K80" s="236">
        <f>K74/((21062/1000)-SUM($C74:J74))</f>
        <v>2.9379823882086467E-3</v>
      </c>
      <c r="L80" s="229">
        <f>L74/((21062/1000)-SUM($C74:K74))</f>
        <v>2.9368520119388017E-3</v>
      </c>
    </row>
    <row r="81" spans="1:16" s="70" customFormat="1" x14ac:dyDescent="0.3">
      <c r="B81" s="133" t="s">
        <v>222</v>
      </c>
      <c r="C81" s="236">
        <f>C75/(1515/1000)</f>
        <v>2.1120742114607237E-3</v>
      </c>
      <c r="D81" s="236">
        <f>D75/((1515/1000)-SUM($C75:C75))</f>
        <v>2.1120739412657436E-3</v>
      </c>
      <c r="E81" s="236">
        <f>E75/((1515/1000)-SUM($C75:D75))</f>
        <v>2.112073670498918E-3</v>
      </c>
      <c r="F81" s="236">
        <f>F75/((1515/1000)-SUM($C75:E75))</f>
        <v>2.1120733991590373E-3</v>
      </c>
      <c r="G81" s="236">
        <f>G75/((1515/1000)-SUM($C75:F75))</f>
        <v>2.112073127244889E-3</v>
      </c>
      <c r="H81" s="236">
        <f>H75/((1515/1000)-SUM($C75:G75))</f>
        <v>2.1120728547552575E-3</v>
      </c>
      <c r="I81" s="236">
        <f>I75/((1515/1000)-SUM($C75:H75))</f>
        <v>2.1120725816889253E-3</v>
      </c>
      <c r="J81" s="236">
        <f>J75/((1515/1000)-SUM($C75:I75))</f>
        <v>2.1120723080446718E-3</v>
      </c>
      <c r="K81" s="236">
        <f>K75/((1515/1000)-SUM($C75:J75))</f>
        <v>2.1120720338212739E-3</v>
      </c>
      <c r="L81" s="229">
        <f>L75/((1515/1000)-SUM($C75:K75))</f>
        <v>2.1120717590175065E-3</v>
      </c>
    </row>
    <row r="82" spans="1:16" s="70" customFormat="1" ht="34.200000000000003" customHeight="1" thickBot="1" x14ac:dyDescent="0.35">
      <c r="B82" s="139" t="s">
        <v>220</v>
      </c>
      <c r="C82" s="230">
        <f>C76/(2202/1000)</f>
        <v>3.2242038727284526E-3</v>
      </c>
      <c r="D82" s="230">
        <f>D76/((2202/1000)-SUM($C76:C76))</f>
        <v>3.223118291857595E-3</v>
      </c>
      <c r="E82" s="230">
        <f>E76/((2202/1000)-SUM($C76:D76))</f>
        <v>3.2220329276546945E-3</v>
      </c>
      <c r="F82" s="230">
        <f>F76/((2202/1000)-SUM($C76:E76))</f>
        <v>3.2209478001101561E-3</v>
      </c>
      <c r="G82" s="230">
        <f>G76/((2202/1000)-SUM($C76:F76))</f>
        <v>3.2198629092172167E-3</v>
      </c>
      <c r="H82" s="230">
        <f>H76/((2202/1000)-SUM($C76:G76))</f>
        <v>3.2187782449705489E-3</v>
      </c>
      <c r="I82" s="230">
        <f>I76/((2202/1000)-SUM($C76:H76))</f>
        <v>3.2176938073633916E-3</v>
      </c>
      <c r="J82" s="230">
        <f>J76/((2202/1000)-SUM($C76:I76))</f>
        <v>3.2166096163860547E-3</v>
      </c>
      <c r="K82" s="230">
        <f>K76/((2202/1000)-SUM($C76:J76))</f>
        <v>3.2155256620331834E-3</v>
      </c>
      <c r="L82" s="231">
        <f>L76/((2202/1000)-SUM($C76:K76))</f>
        <v>3.2144419442979659E-3</v>
      </c>
    </row>
    <row r="83" spans="1:16" x14ac:dyDescent="0.3">
      <c r="A83" t="s">
        <v>204</v>
      </c>
      <c r="B83" s="203" t="s">
        <v>145</v>
      </c>
      <c r="C83" s="204"/>
      <c r="D83" s="204"/>
      <c r="E83" s="204"/>
      <c r="F83" s="204"/>
      <c r="G83" s="204"/>
      <c r="H83" s="204"/>
      <c r="I83" s="204"/>
      <c r="J83" s="204"/>
      <c r="K83" s="204"/>
      <c r="L83" s="205"/>
    </row>
    <row r="84" spans="1:16" x14ac:dyDescent="0.3">
      <c r="B84" s="237" t="s">
        <v>151</v>
      </c>
      <c r="C84" s="199">
        <v>591.45240000000001</v>
      </c>
      <c r="D84" s="199">
        <v>591.45240000000001</v>
      </c>
      <c r="E84" s="199">
        <v>591.45240000000001</v>
      </c>
      <c r="F84" s="199">
        <v>591.45240000000001</v>
      </c>
      <c r="G84" s="199">
        <v>591.45240000000001</v>
      </c>
      <c r="H84" s="199">
        <v>591.45240000000001</v>
      </c>
      <c r="I84" s="199">
        <v>591.45240000000001</v>
      </c>
      <c r="J84" s="199">
        <v>591.45240000000001</v>
      </c>
      <c r="K84" s="199">
        <v>591.45240000000001</v>
      </c>
      <c r="L84" s="200">
        <v>591.45240000000001</v>
      </c>
    </row>
    <row r="85" spans="1:16" x14ac:dyDescent="0.3">
      <c r="B85" s="237" t="s">
        <v>160</v>
      </c>
      <c r="C85" s="199">
        <v>280.24040000000002</v>
      </c>
      <c r="D85" s="199">
        <v>280.24040000000002</v>
      </c>
      <c r="E85" s="199">
        <v>280.24040000000002</v>
      </c>
      <c r="F85" s="199">
        <v>280.24040000000002</v>
      </c>
      <c r="G85" s="199">
        <v>280.24040000000002</v>
      </c>
      <c r="H85" s="199">
        <v>280.24040000000002</v>
      </c>
      <c r="I85" s="199">
        <v>280.24040000000002</v>
      </c>
      <c r="J85" s="199">
        <v>280.24040000000002</v>
      </c>
      <c r="K85" s="199">
        <v>280.24040000000002</v>
      </c>
      <c r="L85" s="200">
        <v>280.24040000000002</v>
      </c>
    </row>
    <row r="86" spans="1:16" ht="28.8" x14ac:dyDescent="0.3">
      <c r="B86" s="239" t="s">
        <v>158</v>
      </c>
      <c r="C86" s="199">
        <v>453.02</v>
      </c>
      <c r="D86" s="199">
        <v>453.02</v>
      </c>
      <c r="E86" s="199">
        <v>453.02</v>
      </c>
      <c r="F86" s="199">
        <v>453.02</v>
      </c>
      <c r="G86" s="199">
        <v>453.02</v>
      </c>
      <c r="H86" s="199">
        <v>453.02</v>
      </c>
      <c r="I86" s="199">
        <v>453.02</v>
      </c>
      <c r="J86" s="199">
        <v>453.02</v>
      </c>
      <c r="K86" s="199">
        <v>453.02</v>
      </c>
      <c r="L86" s="200">
        <v>453.02</v>
      </c>
    </row>
    <row r="87" spans="1:16" ht="30.6" customHeight="1" x14ac:dyDescent="0.3">
      <c r="B87" s="206" t="s">
        <v>159</v>
      </c>
      <c r="C87" s="199">
        <v>308.27999999999997</v>
      </c>
      <c r="D87" s="199">
        <v>308.27999999999997</v>
      </c>
      <c r="E87" s="199">
        <v>308.27999999999997</v>
      </c>
      <c r="F87" s="199">
        <v>308.27999999999997</v>
      </c>
      <c r="G87" s="199">
        <v>308.27999999999997</v>
      </c>
      <c r="H87" s="199">
        <v>308.27999999999997</v>
      </c>
      <c r="I87" s="199">
        <v>308.27999999999997</v>
      </c>
      <c r="J87" s="199">
        <v>308.27999999999997</v>
      </c>
      <c r="K87" s="199">
        <v>308.27999999999997</v>
      </c>
      <c r="L87" s="200">
        <v>308.27999999999997</v>
      </c>
    </row>
    <row r="88" spans="1:16" ht="22.8" customHeight="1" x14ac:dyDescent="0.3">
      <c r="B88" s="206" t="s">
        <v>161</v>
      </c>
      <c r="C88" s="199">
        <v>455.06413333333302</v>
      </c>
      <c r="D88" s="199">
        <v>455.06413333333302</v>
      </c>
      <c r="E88" s="199">
        <v>455.06413333333302</v>
      </c>
      <c r="F88" s="199">
        <v>455.06413333333302</v>
      </c>
      <c r="G88" s="199">
        <v>455.06413333333302</v>
      </c>
      <c r="H88" s="199">
        <v>455.06413333333302</v>
      </c>
      <c r="I88" s="199">
        <v>455.06413333333302</v>
      </c>
      <c r="J88" s="199">
        <v>455.06413333333302</v>
      </c>
      <c r="K88" s="199">
        <v>455.06413333333302</v>
      </c>
      <c r="L88" s="200">
        <v>455.06413333333302</v>
      </c>
    </row>
    <row r="89" spans="1:16" ht="29.4" thickBot="1" x14ac:dyDescent="0.35">
      <c r="B89" s="207" t="s">
        <v>158</v>
      </c>
      <c r="C89" s="201">
        <v>453.02</v>
      </c>
      <c r="D89" s="201">
        <v>453.02</v>
      </c>
      <c r="E89" s="201">
        <v>453.02</v>
      </c>
      <c r="F89" s="201">
        <v>453.02</v>
      </c>
      <c r="G89" s="201">
        <v>453.02</v>
      </c>
      <c r="H89" s="201">
        <v>453.02</v>
      </c>
      <c r="I89" s="201">
        <v>453.02</v>
      </c>
      <c r="J89" s="201">
        <v>453.02</v>
      </c>
      <c r="K89" s="201">
        <v>453.02</v>
      </c>
      <c r="L89" s="202">
        <v>453.02</v>
      </c>
    </row>
    <row r="90" spans="1:16" x14ac:dyDescent="0.3">
      <c r="B90" s="136" t="s">
        <v>146</v>
      </c>
      <c r="C90" s="137"/>
      <c r="D90" s="137"/>
      <c r="E90" s="137"/>
      <c r="F90" s="137"/>
      <c r="G90" s="137"/>
      <c r="H90" s="137"/>
      <c r="I90" s="137"/>
      <c r="J90" s="137"/>
      <c r="K90" s="137"/>
      <c r="L90" s="138"/>
    </row>
    <row r="91" spans="1:16" x14ac:dyDescent="0.3">
      <c r="B91" s="153" t="s">
        <v>151</v>
      </c>
      <c r="C91" s="137">
        <f>+C71*C84</f>
        <v>67.852211152821496</v>
      </c>
      <c r="D91" s="137">
        <f t="shared" ref="D91:L91" si="15">+D71*D84</f>
        <v>67.709721509400566</v>
      </c>
      <c r="E91" s="137">
        <f t="shared" si="15"/>
        <v>67.56753109423083</v>
      </c>
      <c r="F91" s="137">
        <f t="shared" si="15"/>
        <v>67.425639278932948</v>
      </c>
      <c r="G91" s="137">
        <f t="shared" si="15"/>
        <v>67.284045436447187</v>
      </c>
      <c r="H91" s="137">
        <f t="shared" si="15"/>
        <v>67.142748941030646</v>
      </c>
      <c r="I91" s="137">
        <f t="shared" si="15"/>
        <v>67.001749168254477</v>
      </c>
      <c r="J91" s="137">
        <f t="shared" si="15"/>
        <v>66.86104549500115</v>
      </c>
      <c r="K91" s="137">
        <f t="shared" si="15"/>
        <v>66.720637299461643</v>
      </c>
      <c r="L91" s="138">
        <f t="shared" si="15"/>
        <v>66.580523961132783</v>
      </c>
      <c r="M91" s="267"/>
      <c r="O91" s="253"/>
    </row>
    <row r="92" spans="1:16" x14ac:dyDescent="0.3">
      <c r="B92" s="153" t="s">
        <v>160</v>
      </c>
      <c r="C92" s="137">
        <f t="shared" ref="C92:L92" si="16">+C72*C85</f>
        <v>23.342880270448521</v>
      </c>
      <c r="D92" s="137">
        <f t="shared" si="16"/>
        <v>23.293860221880575</v>
      </c>
      <c r="E92" s="137">
        <f t="shared" si="16"/>
        <v>23.244943115414628</v>
      </c>
      <c r="F92" s="137">
        <f t="shared" si="16"/>
        <v>23.196128734872257</v>
      </c>
      <c r="G92" s="137">
        <f t="shared" si="16"/>
        <v>23.147416864529024</v>
      </c>
      <c r="H92" s="137">
        <f t="shared" si="16"/>
        <v>23.098807289113513</v>
      </c>
      <c r="I92" s="137">
        <f t="shared" si="16"/>
        <v>23.050299793806378</v>
      </c>
      <c r="J92" s="137">
        <f t="shared" si="16"/>
        <v>23.001894164239381</v>
      </c>
      <c r="K92" s="137">
        <f t="shared" si="16"/>
        <v>22.953590186494477</v>
      </c>
      <c r="L92" s="138">
        <f t="shared" si="16"/>
        <v>22.905387647102842</v>
      </c>
      <c r="M92" s="267"/>
      <c r="O92" s="253"/>
    </row>
    <row r="93" spans="1:16" ht="28.8" x14ac:dyDescent="0.3">
      <c r="B93" s="154" t="s">
        <v>158</v>
      </c>
      <c r="C93" s="137">
        <f t="shared" ref="C93:L93" si="17">+C73*C86</f>
        <v>0.72053422509309506</v>
      </c>
      <c r="D93" s="137">
        <f t="shared" si="17"/>
        <v>0.71816286314786371</v>
      </c>
      <c r="E93" s="137">
        <f t="shared" si="17"/>
        <v>0.71580057751445003</v>
      </c>
      <c r="F93" s="137">
        <f t="shared" si="17"/>
        <v>0.71344733177815334</v>
      </c>
      <c r="G93" s="137">
        <f t="shared" si="17"/>
        <v>0.71110308715245929</v>
      </c>
      <c r="H93" s="137">
        <f t="shared" si="17"/>
        <v>0.7087678023878381</v>
      </c>
      <c r="I93" s="137">
        <f t="shared" si="17"/>
        <v>0.70644144418312271</v>
      </c>
      <c r="J93" s="137">
        <f t="shared" si="17"/>
        <v>0.70412396890682472</v>
      </c>
      <c r="K93" s="137">
        <f t="shared" si="17"/>
        <v>0.70181534375673471</v>
      </c>
      <c r="L93" s="138">
        <f t="shared" si="17"/>
        <v>0.69951553054919346</v>
      </c>
      <c r="M93" s="268"/>
      <c r="O93" s="269"/>
    </row>
    <row r="94" spans="1:16" ht="28.8" x14ac:dyDescent="0.3">
      <c r="B94" s="133" t="s">
        <v>159</v>
      </c>
      <c r="C94" s="137">
        <f t="shared" ref="C94:L94" si="18">+C74*C87</f>
        <v>19.135219886150693</v>
      </c>
      <c r="D94" s="137">
        <f t="shared" si="18"/>
        <v>19.071464406779484</v>
      </c>
      <c r="E94" s="137">
        <f t="shared" si="18"/>
        <v>19.007945751996907</v>
      </c>
      <c r="F94" s="137">
        <f t="shared" si="18"/>
        <v>18.94466302245095</v>
      </c>
      <c r="G94" s="137">
        <f t="shared" si="18"/>
        <v>18.881615193743734</v>
      </c>
      <c r="H94" s="137">
        <f t="shared" si="18"/>
        <v>18.818801438588597</v>
      </c>
      <c r="I94" s="137">
        <f t="shared" si="18"/>
        <v>18.756220676848184</v>
      </c>
      <c r="J94" s="137">
        <f t="shared" si="18"/>
        <v>18.693872025267122</v>
      </c>
      <c r="K94" s="137">
        <f t="shared" si="18"/>
        <v>18.631754603815793</v>
      </c>
      <c r="L94" s="138">
        <f t="shared" si="18"/>
        <v>18.569867409217249</v>
      </c>
      <c r="M94" s="268"/>
      <c r="O94" s="269"/>
    </row>
    <row r="95" spans="1:16" x14ac:dyDescent="0.3">
      <c r="B95" s="133" t="s">
        <v>161</v>
      </c>
      <c r="C95" s="137">
        <f t="shared" ref="C95:L95" si="19">+C75*C88</f>
        <v>1.4561107691696964</v>
      </c>
      <c r="D95" s="137">
        <f t="shared" si="19"/>
        <v>1.4530351692801291</v>
      </c>
      <c r="E95" s="137">
        <f t="shared" si="19"/>
        <v>1.4499660656783999</v>
      </c>
      <c r="F95" s="137">
        <f t="shared" si="19"/>
        <v>1.4469034446430371</v>
      </c>
      <c r="G95" s="137">
        <f t="shared" si="19"/>
        <v>1.4438472924815529</v>
      </c>
      <c r="H95" s="137">
        <f t="shared" si="19"/>
        <v>1.4407975955303789</v>
      </c>
      <c r="I95" s="137">
        <f t="shared" si="19"/>
        <v>1.4377543401548081</v>
      </c>
      <c r="J95" s="137">
        <f t="shared" si="19"/>
        <v>1.4347175127489324</v>
      </c>
      <c r="K95" s="137">
        <f t="shared" si="19"/>
        <v>1.4316870997355824</v>
      </c>
      <c r="L95" s="138">
        <f t="shared" si="19"/>
        <v>1.428663087566266</v>
      </c>
      <c r="M95" s="267"/>
      <c r="O95" s="253"/>
    </row>
    <row r="96" spans="1:16" ht="29.4" thickBot="1" x14ac:dyDescent="0.35">
      <c r="B96" s="139" t="s">
        <v>158</v>
      </c>
      <c r="C96" s="140">
        <f t="shared" ref="C96:L96" si="20">+C76*C89</f>
        <v>3.2163047022084226</v>
      </c>
      <c r="D96" s="140">
        <f t="shared" si="20"/>
        <v>3.2048552504493997</v>
      </c>
      <c r="E96" s="140">
        <f t="shared" si="20"/>
        <v>3.1934498870620565</v>
      </c>
      <c r="F96" s="140">
        <f t="shared" si="20"/>
        <v>3.1820884504256353</v>
      </c>
      <c r="G96" s="140">
        <f t="shared" si="20"/>
        <v>3.1707707596992676</v>
      </c>
      <c r="H96" s="140">
        <f t="shared" si="20"/>
        <v>3.1594966250166197</v>
      </c>
      <c r="I96" s="140">
        <f t="shared" si="20"/>
        <v>3.1482658672374497</v>
      </c>
      <c r="J96" s="140">
        <f t="shared" si="20"/>
        <v>3.137078327504752</v>
      </c>
      <c r="K96" s="140">
        <f t="shared" si="20"/>
        <v>3.1259338182649787</v>
      </c>
      <c r="L96" s="141">
        <f t="shared" si="20"/>
        <v>3.1148321625852322</v>
      </c>
      <c r="M96" s="268"/>
      <c r="O96" s="269"/>
      <c r="P96" s="270"/>
    </row>
    <row r="97" spans="1:14" x14ac:dyDescent="0.3">
      <c r="C97" s="304">
        <f>+SUM(C91:C96)</f>
        <v>115.72326100589191</v>
      </c>
      <c r="D97" s="304">
        <f t="shared" ref="D97:L97" si="21">+SUM(D91:D96)</f>
        <v>115.45109942093802</v>
      </c>
      <c r="E97" s="304">
        <f t="shared" si="21"/>
        <v>115.17963649189726</v>
      </c>
      <c r="F97" s="304">
        <f t="shared" si="21"/>
        <v>114.908870263103</v>
      </c>
      <c r="G97" s="304">
        <f t="shared" si="21"/>
        <v>114.63879863405322</v>
      </c>
      <c r="H97" s="304">
        <f t="shared" si="21"/>
        <v>114.36941969166759</v>
      </c>
      <c r="I97" s="304">
        <f t="shared" si="21"/>
        <v>114.10073129048443</v>
      </c>
      <c r="J97" s="304">
        <f t="shared" si="21"/>
        <v>113.83273149366818</v>
      </c>
      <c r="K97" s="304">
        <f t="shared" si="21"/>
        <v>113.56541835152922</v>
      </c>
      <c r="L97" s="304">
        <f t="shared" si="21"/>
        <v>113.29878979815356</v>
      </c>
    </row>
    <row r="98" spans="1:14" ht="15" thickBot="1" x14ac:dyDescent="0.35"/>
    <row r="99" spans="1:14" x14ac:dyDescent="0.3">
      <c r="B99" s="145" t="s">
        <v>163</v>
      </c>
      <c r="C99" s="83"/>
      <c r="D99" s="83"/>
      <c r="E99" s="83"/>
      <c r="F99" s="83"/>
      <c r="G99" s="83"/>
      <c r="H99" s="83"/>
      <c r="I99" s="83"/>
      <c r="J99" s="83"/>
      <c r="K99" s="83"/>
      <c r="L99" s="84"/>
      <c r="M99" s="263"/>
      <c r="N99" s="263"/>
    </row>
    <row r="100" spans="1:14" ht="15" thickBot="1" x14ac:dyDescent="0.35">
      <c r="B100" s="242" t="s">
        <v>147</v>
      </c>
      <c r="C100" s="101"/>
      <c r="D100" s="101"/>
      <c r="E100" s="101"/>
      <c r="F100" s="101"/>
      <c r="G100" s="101"/>
      <c r="H100" s="101"/>
      <c r="I100" s="101"/>
      <c r="J100" s="101"/>
      <c r="K100" s="101"/>
      <c r="L100" s="147"/>
    </row>
    <row r="101" spans="1:14" x14ac:dyDescent="0.3">
      <c r="A101" t="s">
        <v>204</v>
      </c>
      <c r="B101" s="203" t="s">
        <v>142</v>
      </c>
      <c r="C101" s="204"/>
      <c r="D101" s="204"/>
      <c r="E101" s="204"/>
      <c r="F101" s="204"/>
      <c r="G101" s="204"/>
      <c r="H101" s="204"/>
      <c r="I101" s="204"/>
      <c r="J101" s="204"/>
      <c r="K101" s="204"/>
      <c r="L101" s="257"/>
    </row>
    <row r="102" spans="1:14" x14ac:dyDescent="0.3">
      <c r="B102" s="237" t="s">
        <v>2</v>
      </c>
      <c r="C102" s="199">
        <v>110.95741391407699</v>
      </c>
      <c r="D102" s="199">
        <v>110.95741391407699</v>
      </c>
      <c r="E102" s="199">
        <v>110.95741391407699</v>
      </c>
      <c r="F102" s="199">
        <v>110.95741391407699</v>
      </c>
      <c r="G102" s="199">
        <v>110.95741391407699</v>
      </c>
      <c r="H102" s="199">
        <v>110.95741391407699</v>
      </c>
      <c r="I102" s="199">
        <v>110.95741391407699</v>
      </c>
      <c r="J102" s="199">
        <v>110.95741391407699</v>
      </c>
      <c r="K102" s="199">
        <v>110.95741391407699</v>
      </c>
      <c r="L102" s="200">
        <v>110.95741391407699</v>
      </c>
    </row>
    <row r="103" spans="1:14" x14ac:dyDescent="0.3">
      <c r="B103" s="237" t="s">
        <v>4</v>
      </c>
      <c r="C103" s="199">
        <v>1688.7862513844</v>
      </c>
      <c r="D103" s="199">
        <v>1688.7862513844</v>
      </c>
      <c r="E103" s="199">
        <v>1688.7862513844</v>
      </c>
      <c r="F103" s="199">
        <v>1688.7862513844</v>
      </c>
      <c r="G103" s="199">
        <v>1688.7862513844</v>
      </c>
      <c r="H103" s="199">
        <v>1688.7862513844</v>
      </c>
      <c r="I103" s="199">
        <v>1688.7862513844</v>
      </c>
      <c r="J103" s="199">
        <v>1688.7862513844</v>
      </c>
      <c r="K103" s="199">
        <v>1688.7862513844</v>
      </c>
      <c r="L103" s="200">
        <v>1688.7862513844</v>
      </c>
    </row>
    <row r="104" spans="1:14" x14ac:dyDescent="0.3">
      <c r="B104" s="237" t="s">
        <v>5</v>
      </c>
      <c r="C104" s="199">
        <v>2718.3111448104701</v>
      </c>
      <c r="D104" s="199">
        <v>2718.3111448104701</v>
      </c>
      <c r="E104" s="199">
        <v>2718.3111448104701</v>
      </c>
      <c r="F104" s="199">
        <v>2718.3111448104701</v>
      </c>
      <c r="G104" s="199">
        <v>2718.3111448104701</v>
      </c>
      <c r="H104" s="199">
        <v>2718.3111448104701</v>
      </c>
      <c r="I104" s="199">
        <v>2718.3111448104701</v>
      </c>
      <c r="J104" s="199">
        <v>2718.3111448104701</v>
      </c>
      <c r="K104" s="199">
        <v>2718.3111448104701</v>
      </c>
      <c r="L104" s="200">
        <v>2718.3111448104701</v>
      </c>
    </row>
    <row r="105" spans="1:14" x14ac:dyDescent="0.3">
      <c r="B105" s="237" t="s">
        <v>6</v>
      </c>
      <c r="C105" s="199">
        <v>3682.4530978222301</v>
      </c>
      <c r="D105" s="199">
        <v>3682.4530978222301</v>
      </c>
      <c r="E105" s="199">
        <v>3682.4530978222301</v>
      </c>
      <c r="F105" s="199">
        <v>3682.4530978222301</v>
      </c>
      <c r="G105" s="199">
        <v>3682.4530978222301</v>
      </c>
      <c r="H105" s="199">
        <v>3682.4530978222301</v>
      </c>
      <c r="I105" s="199">
        <v>3682.4530978222301</v>
      </c>
      <c r="J105" s="199">
        <v>3682.4530978222301</v>
      </c>
      <c r="K105" s="199">
        <v>3682.4530978222301</v>
      </c>
      <c r="L105" s="200">
        <v>3682.4530978222301</v>
      </c>
    </row>
    <row r="106" spans="1:14" x14ac:dyDescent="0.3">
      <c r="B106" s="239" t="s">
        <v>7</v>
      </c>
      <c r="C106" s="199">
        <v>366.17914538683902</v>
      </c>
      <c r="D106" s="199">
        <v>366.17914538683902</v>
      </c>
      <c r="E106" s="199">
        <v>366.17914538683902</v>
      </c>
      <c r="F106" s="199">
        <v>366.17914538683902</v>
      </c>
      <c r="G106" s="199">
        <v>366.17914538683902</v>
      </c>
      <c r="H106" s="199">
        <v>366.17914538683902</v>
      </c>
      <c r="I106" s="199">
        <v>366.17914538683902</v>
      </c>
      <c r="J106" s="199">
        <v>366.17914538683902</v>
      </c>
      <c r="K106" s="199">
        <v>366.17914538683902</v>
      </c>
      <c r="L106" s="200">
        <v>366.17914538683902</v>
      </c>
    </row>
    <row r="107" spans="1:14" x14ac:dyDescent="0.3">
      <c r="B107" s="206" t="s">
        <v>8</v>
      </c>
      <c r="C107" s="199">
        <v>36740.991026449497</v>
      </c>
      <c r="D107" s="199">
        <v>36740.991026449497</v>
      </c>
      <c r="E107" s="199">
        <v>36740.991026449497</v>
      </c>
      <c r="F107" s="199">
        <v>36740.991026449497</v>
      </c>
      <c r="G107" s="199">
        <v>36740.991026449497</v>
      </c>
      <c r="H107" s="199">
        <v>36740.991026449497</v>
      </c>
      <c r="I107" s="199">
        <v>36740.991026449497</v>
      </c>
      <c r="J107" s="199">
        <v>36740.991026449497</v>
      </c>
      <c r="K107" s="199">
        <v>36740.991026449497</v>
      </c>
      <c r="L107" s="200">
        <v>36740.991026449497</v>
      </c>
    </row>
    <row r="108" spans="1:14" x14ac:dyDescent="0.3">
      <c r="B108" s="206" t="s">
        <v>9</v>
      </c>
      <c r="C108" s="199">
        <v>716.14732704313496</v>
      </c>
      <c r="D108" s="199">
        <v>716.14732704313496</v>
      </c>
      <c r="E108" s="199">
        <v>716.14732704313496</v>
      </c>
      <c r="F108" s="199">
        <v>716.14732704313496</v>
      </c>
      <c r="G108" s="199">
        <v>716.14732704313496</v>
      </c>
      <c r="H108" s="199">
        <v>716.14732704313496</v>
      </c>
      <c r="I108" s="199">
        <v>716.14732704313496</v>
      </c>
      <c r="J108" s="199">
        <v>716.14732704313496</v>
      </c>
      <c r="K108" s="199">
        <v>716.14732704313496</v>
      </c>
      <c r="L108" s="200">
        <v>716.14732704313496</v>
      </c>
    </row>
    <row r="109" spans="1:14" ht="15" thickBot="1" x14ac:dyDescent="0.35">
      <c r="B109" s="207" t="s">
        <v>10</v>
      </c>
      <c r="C109" s="201">
        <v>1363.50470536137</v>
      </c>
      <c r="D109" s="201">
        <v>1363.50470536137</v>
      </c>
      <c r="E109" s="201">
        <v>1363.50470536137</v>
      </c>
      <c r="F109" s="201">
        <v>1363.50470536137</v>
      </c>
      <c r="G109" s="201">
        <v>1363.50470536137</v>
      </c>
      <c r="H109" s="201">
        <v>1363.50470536137</v>
      </c>
      <c r="I109" s="201">
        <v>1363.50470536137</v>
      </c>
      <c r="J109" s="201">
        <v>1363.50470536137</v>
      </c>
      <c r="K109" s="201">
        <v>1363.50470536137</v>
      </c>
      <c r="L109" s="202">
        <v>1363.50470536137</v>
      </c>
    </row>
    <row r="110" spans="1:14" ht="21" customHeight="1" x14ac:dyDescent="0.3">
      <c r="A110" s="505" t="s">
        <v>229</v>
      </c>
      <c r="B110" s="132" t="s">
        <v>224</v>
      </c>
      <c r="C110" s="52"/>
      <c r="D110" s="52"/>
      <c r="E110" s="52"/>
      <c r="F110" s="52"/>
      <c r="G110" s="52"/>
      <c r="H110" s="52"/>
      <c r="I110" s="52"/>
      <c r="J110" s="52"/>
      <c r="K110" s="52"/>
      <c r="L110" s="81"/>
    </row>
    <row r="111" spans="1:14" x14ac:dyDescent="0.3">
      <c r="A111" s="505"/>
      <c r="B111" s="153" t="s">
        <v>2</v>
      </c>
      <c r="C111" s="246">
        <f>+($C102/1000)*(1.08/100)</f>
        <v>1.1983400702720317E-3</v>
      </c>
      <c r="D111" s="246">
        <f t="shared" ref="D111:L111" si="22">+($C102/1000)*(1.08/100)</f>
        <v>1.1983400702720317E-3</v>
      </c>
      <c r="E111" s="246">
        <f t="shared" si="22"/>
        <v>1.1983400702720317E-3</v>
      </c>
      <c r="F111" s="246">
        <f t="shared" si="22"/>
        <v>1.1983400702720317E-3</v>
      </c>
      <c r="G111" s="246">
        <f t="shared" si="22"/>
        <v>1.1983400702720317E-3</v>
      </c>
      <c r="H111" s="246">
        <f t="shared" si="22"/>
        <v>1.1983400702720317E-3</v>
      </c>
      <c r="I111" s="246">
        <f t="shared" si="22"/>
        <v>1.1983400702720317E-3</v>
      </c>
      <c r="J111" s="246">
        <f t="shared" si="22"/>
        <v>1.1983400702720317E-3</v>
      </c>
      <c r="K111" s="246">
        <f t="shared" si="22"/>
        <v>1.1983400702720317E-3</v>
      </c>
      <c r="L111" s="247">
        <f t="shared" si="22"/>
        <v>1.1983400702720317E-3</v>
      </c>
    </row>
    <row r="112" spans="1:14" x14ac:dyDescent="0.3">
      <c r="A112" s="505"/>
      <c r="B112" s="153" t="s">
        <v>4</v>
      </c>
      <c r="C112" s="246">
        <f t="shared" ref="C112:L118" si="23">+($C103/1000)*(1.08/100)</f>
        <v>1.8238891514951523E-2</v>
      </c>
      <c r="D112" s="246">
        <f t="shared" si="23"/>
        <v>1.8238891514951523E-2</v>
      </c>
      <c r="E112" s="246">
        <f t="shared" si="23"/>
        <v>1.8238891514951523E-2</v>
      </c>
      <c r="F112" s="246">
        <f t="shared" si="23"/>
        <v>1.8238891514951523E-2</v>
      </c>
      <c r="G112" s="246">
        <f t="shared" si="23"/>
        <v>1.8238891514951523E-2</v>
      </c>
      <c r="H112" s="246">
        <f t="shared" si="23"/>
        <v>1.8238891514951523E-2</v>
      </c>
      <c r="I112" s="246">
        <f t="shared" si="23"/>
        <v>1.8238891514951523E-2</v>
      </c>
      <c r="J112" s="246">
        <f t="shared" si="23"/>
        <v>1.8238891514951523E-2</v>
      </c>
      <c r="K112" s="246">
        <f t="shared" si="23"/>
        <v>1.8238891514951523E-2</v>
      </c>
      <c r="L112" s="247">
        <f t="shared" si="23"/>
        <v>1.8238891514951523E-2</v>
      </c>
    </row>
    <row r="113" spans="1:12" x14ac:dyDescent="0.3">
      <c r="A113" s="505"/>
      <c r="B113" s="153" t="s">
        <v>5</v>
      </c>
      <c r="C113" s="246">
        <f t="shared" si="23"/>
        <v>2.935776036395308E-2</v>
      </c>
      <c r="D113" s="246">
        <f t="shared" si="23"/>
        <v>2.935776036395308E-2</v>
      </c>
      <c r="E113" s="246">
        <f t="shared" si="23"/>
        <v>2.935776036395308E-2</v>
      </c>
      <c r="F113" s="246">
        <f t="shared" si="23"/>
        <v>2.935776036395308E-2</v>
      </c>
      <c r="G113" s="246">
        <f t="shared" si="23"/>
        <v>2.935776036395308E-2</v>
      </c>
      <c r="H113" s="246">
        <f t="shared" si="23"/>
        <v>2.935776036395308E-2</v>
      </c>
      <c r="I113" s="246">
        <f t="shared" si="23"/>
        <v>2.935776036395308E-2</v>
      </c>
      <c r="J113" s="246">
        <f t="shared" si="23"/>
        <v>2.935776036395308E-2</v>
      </c>
      <c r="K113" s="246">
        <f t="shared" si="23"/>
        <v>2.935776036395308E-2</v>
      </c>
      <c r="L113" s="247">
        <f t="shared" si="23"/>
        <v>2.935776036395308E-2</v>
      </c>
    </row>
    <row r="114" spans="1:12" x14ac:dyDescent="0.3">
      <c r="A114" s="505"/>
      <c r="B114" s="153" t="s">
        <v>6</v>
      </c>
      <c r="C114" s="246">
        <f t="shared" si="23"/>
        <v>3.9770493456480087E-2</v>
      </c>
      <c r="D114" s="246">
        <f t="shared" si="23"/>
        <v>3.9770493456480087E-2</v>
      </c>
      <c r="E114" s="246">
        <f t="shared" si="23"/>
        <v>3.9770493456480087E-2</v>
      </c>
      <c r="F114" s="246">
        <f t="shared" si="23"/>
        <v>3.9770493456480087E-2</v>
      </c>
      <c r="G114" s="246">
        <f t="shared" si="23"/>
        <v>3.9770493456480087E-2</v>
      </c>
      <c r="H114" s="246">
        <f t="shared" si="23"/>
        <v>3.9770493456480087E-2</v>
      </c>
      <c r="I114" s="246">
        <f t="shared" si="23"/>
        <v>3.9770493456480087E-2</v>
      </c>
      <c r="J114" s="246">
        <f t="shared" si="23"/>
        <v>3.9770493456480087E-2</v>
      </c>
      <c r="K114" s="246">
        <f t="shared" si="23"/>
        <v>3.9770493456480087E-2</v>
      </c>
      <c r="L114" s="247">
        <f t="shared" si="23"/>
        <v>3.9770493456480087E-2</v>
      </c>
    </row>
    <row r="115" spans="1:12" x14ac:dyDescent="0.3">
      <c r="A115" s="505"/>
      <c r="B115" s="154" t="s">
        <v>7</v>
      </c>
      <c r="C115" s="246">
        <f t="shared" si="23"/>
        <v>3.9547347701778621E-3</v>
      </c>
      <c r="D115" s="246">
        <f t="shared" si="23"/>
        <v>3.9547347701778621E-3</v>
      </c>
      <c r="E115" s="246">
        <f t="shared" si="23"/>
        <v>3.9547347701778621E-3</v>
      </c>
      <c r="F115" s="246">
        <f t="shared" si="23"/>
        <v>3.9547347701778621E-3</v>
      </c>
      <c r="G115" s="246">
        <f t="shared" si="23"/>
        <v>3.9547347701778621E-3</v>
      </c>
      <c r="H115" s="246">
        <f t="shared" si="23"/>
        <v>3.9547347701778621E-3</v>
      </c>
      <c r="I115" s="246">
        <f t="shared" si="23"/>
        <v>3.9547347701778621E-3</v>
      </c>
      <c r="J115" s="246">
        <f t="shared" si="23"/>
        <v>3.9547347701778621E-3</v>
      </c>
      <c r="K115" s="246">
        <f t="shared" si="23"/>
        <v>3.9547347701778621E-3</v>
      </c>
      <c r="L115" s="247">
        <f t="shared" si="23"/>
        <v>3.9547347701778621E-3</v>
      </c>
    </row>
    <row r="116" spans="1:12" x14ac:dyDescent="0.3">
      <c r="A116" s="505"/>
      <c r="B116" s="133" t="s">
        <v>8</v>
      </c>
      <c r="C116" s="246">
        <f t="shared" si="23"/>
        <v>0.39680270308565463</v>
      </c>
      <c r="D116" s="246">
        <f t="shared" si="23"/>
        <v>0.39680270308565463</v>
      </c>
      <c r="E116" s="246">
        <f t="shared" si="23"/>
        <v>0.39680270308565463</v>
      </c>
      <c r="F116" s="246">
        <f t="shared" si="23"/>
        <v>0.39680270308565463</v>
      </c>
      <c r="G116" s="246">
        <f t="shared" si="23"/>
        <v>0.39680270308565463</v>
      </c>
      <c r="H116" s="246">
        <f t="shared" si="23"/>
        <v>0.39680270308565463</v>
      </c>
      <c r="I116" s="246">
        <f t="shared" si="23"/>
        <v>0.39680270308565463</v>
      </c>
      <c r="J116" s="246">
        <f t="shared" si="23"/>
        <v>0.39680270308565463</v>
      </c>
      <c r="K116" s="246">
        <f t="shared" si="23"/>
        <v>0.39680270308565463</v>
      </c>
      <c r="L116" s="247">
        <f t="shared" si="23"/>
        <v>0.39680270308565463</v>
      </c>
    </row>
    <row r="117" spans="1:12" x14ac:dyDescent="0.3">
      <c r="A117" s="505"/>
      <c r="B117" s="133" t="s">
        <v>9</v>
      </c>
      <c r="C117" s="246">
        <f t="shared" si="23"/>
        <v>7.7343911320658584E-3</v>
      </c>
      <c r="D117" s="246">
        <f t="shared" si="23"/>
        <v>7.7343911320658584E-3</v>
      </c>
      <c r="E117" s="246">
        <f t="shared" si="23"/>
        <v>7.7343911320658584E-3</v>
      </c>
      <c r="F117" s="246">
        <f t="shared" si="23"/>
        <v>7.7343911320658584E-3</v>
      </c>
      <c r="G117" s="246">
        <f t="shared" si="23"/>
        <v>7.7343911320658584E-3</v>
      </c>
      <c r="H117" s="246">
        <f t="shared" si="23"/>
        <v>7.7343911320658584E-3</v>
      </c>
      <c r="I117" s="246">
        <f t="shared" si="23"/>
        <v>7.7343911320658584E-3</v>
      </c>
      <c r="J117" s="246">
        <f t="shared" si="23"/>
        <v>7.7343911320658584E-3</v>
      </c>
      <c r="K117" s="246">
        <f t="shared" si="23"/>
        <v>7.7343911320658584E-3</v>
      </c>
      <c r="L117" s="247">
        <f t="shared" si="23"/>
        <v>7.7343911320658584E-3</v>
      </c>
    </row>
    <row r="118" spans="1:12" ht="15" thickBot="1" x14ac:dyDescent="0.35">
      <c r="A118" s="505"/>
      <c r="B118" s="139" t="s">
        <v>10</v>
      </c>
      <c r="C118" s="255">
        <f t="shared" si="23"/>
        <v>1.4725850817902796E-2</v>
      </c>
      <c r="D118" s="255">
        <f t="shared" si="23"/>
        <v>1.4725850817902796E-2</v>
      </c>
      <c r="E118" s="255">
        <f t="shared" si="23"/>
        <v>1.4725850817902796E-2</v>
      </c>
      <c r="F118" s="255">
        <f t="shared" si="23"/>
        <v>1.4725850817902796E-2</v>
      </c>
      <c r="G118" s="255">
        <f t="shared" si="23"/>
        <v>1.4725850817902796E-2</v>
      </c>
      <c r="H118" s="255">
        <f t="shared" si="23"/>
        <v>1.4725850817902796E-2</v>
      </c>
      <c r="I118" s="255">
        <f t="shared" si="23"/>
        <v>1.4725850817902796E-2</v>
      </c>
      <c r="J118" s="255">
        <f t="shared" si="23"/>
        <v>1.4725850817902796E-2</v>
      </c>
      <c r="K118" s="255">
        <f t="shared" si="23"/>
        <v>1.4725850817902796E-2</v>
      </c>
      <c r="L118" s="256">
        <f t="shared" si="23"/>
        <v>1.4725850817902796E-2</v>
      </c>
    </row>
    <row r="119" spans="1:12" x14ac:dyDescent="0.3">
      <c r="B119" s="142" t="s">
        <v>223</v>
      </c>
      <c r="C119" s="76"/>
      <c r="D119" s="76"/>
      <c r="E119" s="76"/>
      <c r="F119" s="76"/>
      <c r="G119" s="76"/>
      <c r="H119" s="76"/>
      <c r="I119" s="76"/>
      <c r="J119" s="76"/>
      <c r="K119" s="76"/>
      <c r="L119" s="77"/>
    </row>
    <row r="120" spans="1:12" x14ac:dyDescent="0.3">
      <c r="B120" s="153" t="s">
        <v>2</v>
      </c>
      <c r="C120" s="249">
        <f>+C111/(C102/1000)</f>
        <v>1.0800000000000001E-2</v>
      </c>
      <c r="D120" s="249">
        <f t="shared" ref="D120:L120" si="24">+D111/(D102/1000)</f>
        <v>1.0800000000000001E-2</v>
      </c>
      <c r="E120" s="249">
        <f t="shared" si="24"/>
        <v>1.0800000000000001E-2</v>
      </c>
      <c r="F120" s="249">
        <f t="shared" si="24"/>
        <v>1.0800000000000001E-2</v>
      </c>
      <c r="G120" s="249">
        <f t="shared" si="24"/>
        <v>1.0800000000000001E-2</v>
      </c>
      <c r="H120" s="249">
        <f t="shared" si="24"/>
        <v>1.0800000000000001E-2</v>
      </c>
      <c r="I120" s="249">
        <f t="shared" si="24"/>
        <v>1.0800000000000001E-2</v>
      </c>
      <c r="J120" s="249">
        <f t="shared" si="24"/>
        <v>1.0800000000000001E-2</v>
      </c>
      <c r="K120" s="249">
        <f t="shared" si="24"/>
        <v>1.0800000000000001E-2</v>
      </c>
      <c r="L120" s="250">
        <f t="shared" si="24"/>
        <v>1.0800000000000001E-2</v>
      </c>
    </row>
    <row r="121" spans="1:12" x14ac:dyDescent="0.3">
      <c r="B121" s="153" t="s">
        <v>4</v>
      </c>
      <c r="C121" s="249">
        <f t="shared" ref="C121:L127" si="25">+C112/(C103/1000)</f>
        <v>1.0800000000000001E-2</v>
      </c>
      <c r="D121" s="249">
        <f t="shared" si="25"/>
        <v>1.0800000000000001E-2</v>
      </c>
      <c r="E121" s="249">
        <f t="shared" si="25"/>
        <v>1.0800000000000001E-2</v>
      </c>
      <c r="F121" s="249">
        <f t="shared" si="25"/>
        <v>1.0800000000000001E-2</v>
      </c>
      <c r="G121" s="249">
        <f t="shared" si="25"/>
        <v>1.0800000000000001E-2</v>
      </c>
      <c r="H121" s="249">
        <f t="shared" si="25"/>
        <v>1.0800000000000001E-2</v>
      </c>
      <c r="I121" s="249">
        <f t="shared" si="25"/>
        <v>1.0800000000000001E-2</v>
      </c>
      <c r="J121" s="249">
        <f t="shared" si="25"/>
        <v>1.0800000000000001E-2</v>
      </c>
      <c r="K121" s="249">
        <f t="shared" si="25"/>
        <v>1.0800000000000001E-2</v>
      </c>
      <c r="L121" s="250">
        <f t="shared" si="25"/>
        <v>1.0800000000000001E-2</v>
      </c>
    </row>
    <row r="122" spans="1:12" x14ac:dyDescent="0.3">
      <c r="B122" s="153" t="s">
        <v>5</v>
      </c>
      <c r="C122" s="249">
        <f t="shared" si="25"/>
        <v>1.0800000000000001E-2</v>
      </c>
      <c r="D122" s="249">
        <f t="shared" si="25"/>
        <v>1.0800000000000001E-2</v>
      </c>
      <c r="E122" s="249">
        <f t="shared" si="25"/>
        <v>1.0800000000000001E-2</v>
      </c>
      <c r="F122" s="249">
        <f t="shared" si="25"/>
        <v>1.0800000000000001E-2</v>
      </c>
      <c r="G122" s="249">
        <f t="shared" si="25"/>
        <v>1.0800000000000001E-2</v>
      </c>
      <c r="H122" s="249">
        <f t="shared" si="25"/>
        <v>1.0800000000000001E-2</v>
      </c>
      <c r="I122" s="249">
        <f t="shared" si="25"/>
        <v>1.0800000000000001E-2</v>
      </c>
      <c r="J122" s="249">
        <f t="shared" si="25"/>
        <v>1.0800000000000001E-2</v>
      </c>
      <c r="K122" s="249">
        <f t="shared" si="25"/>
        <v>1.0800000000000001E-2</v>
      </c>
      <c r="L122" s="250">
        <f t="shared" si="25"/>
        <v>1.0800000000000001E-2</v>
      </c>
    </row>
    <row r="123" spans="1:12" x14ac:dyDescent="0.3">
      <c r="B123" s="153" t="s">
        <v>6</v>
      </c>
      <c r="C123" s="249">
        <f t="shared" si="25"/>
        <v>1.0800000000000001E-2</v>
      </c>
      <c r="D123" s="249">
        <f t="shared" si="25"/>
        <v>1.0800000000000001E-2</v>
      </c>
      <c r="E123" s="249">
        <f t="shared" si="25"/>
        <v>1.0800000000000001E-2</v>
      </c>
      <c r="F123" s="249">
        <f t="shared" si="25"/>
        <v>1.0800000000000001E-2</v>
      </c>
      <c r="G123" s="249">
        <f t="shared" si="25"/>
        <v>1.0800000000000001E-2</v>
      </c>
      <c r="H123" s="249">
        <f t="shared" si="25"/>
        <v>1.0800000000000001E-2</v>
      </c>
      <c r="I123" s="249">
        <f t="shared" si="25"/>
        <v>1.0800000000000001E-2</v>
      </c>
      <c r="J123" s="249">
        <f t="shared" si="25"/>
        <v>1.0800000000000001E-2</v>
      </c>
      <c r="K123" s="249">
        <f t="shared" si="25"/>
        <v>1.0800000000000001E-2</v>
      </c>
      <c r="L123" s="250">
        <f t="shared" si="25"/>
        <v>1.0800000000000001E-2</v>
      </c>
    </row>
    <row r="124" spans="1:12" x14ac:dyDescent="0.3">
      <c r="B124" s="154" t="s">
        <v>7</v>
      </c>
      <c r="C124" s="249">
        <f t="shared" si="25"/>
        <v>1.0800000000000001E-2</v>
      </c>
      <c r="D124" s="249">
        <f t="shared" si="25"/>
        <v>1.0800000000000001E-2</v>
      </c>
      <c r="E124" s="249">
        <f t="shared" si="25"/>
        <v>1.0800000000000001E-2</v>
      </c>
      <c r="F124" s="249">
        <f t="shared" si="25"/>
        <v>1.0800000000000001E-2</v>
      </c>
      <c r="G124" s="249">
        <f t="shared" si="25"/>
        <v>1.0800000000000001E-2</v>
      </c>
      <c r="H124" s="249">
        <f t="shared" si="25"/>
        <v>1.0800000000000001E-2</v>
      </c>
      <c r="I124" s="249">
        <f t="shared" si="25"/>
        <v>1.0800000000000001E-2</v>
      </c>
      <c r="J124" s="249">
        <f t="shared" si="25"/>
        <v>1.0800000000000001E-2</v>
      </c>
      <c r="K124" s="249">
        <f t="shared" si="25"/>
        <v>1.0800000000000001E-2</v>
      </c>
      <c r="L124" s="250">
        <f t="shared" si="25"/>
        <v>1.0800000000000001E-2</v>
      </c>
    </row>
    <row r="125" spans="1:12" x14ac:dyDescent="0.3">
      <c r="B125" s="133" t="s">
        <v>8</v>
      </c>
      <c r="C125" s="249">
        <f t="shared" si="25"/>
        <v>1.0800000000000001E-2</v>
      </c>
      <c r="D125" s="249">
        <f t="shared" si="25"/>
        <v>1.0800000000000001E-2</v>
      </c>
      <c r="E125" s="249">
        <f t="shared" si="25"/>
        <v>1.0800000000000001E-2</v>
      </c>
      <c r="F125" s="249">
        <f t="shared" si="25"/>
        <v>1.0800000000000001E-2</v>
      </c>
      <c r="G125" s="249">
        <f t="shared" si="25"/>
        <v>1.0800000000000001E-2</v>
      </c>
      <c r="H125" s="249">
        <f t="shared" si="25"/>
        <v>1.0800000000000001E-2</v>
      </c>
      <c r="I125" s="249">
        <f t="shared" si="25"/>
        <v>1.0800000000000001E-2</v>
      </c>
      <c r="J125" s="249">
        <f t="shared" si="25"/>
        <v>1.0800000000000001E-2</v>
      </c>
      <c r="K125" s="249">
        <f t="shared" si="25"/>
        <v>1.0800000000000001E-2</v>
      </c>
      <c r="L125" s="250">
        <f t="shared" si="25"/>
        <v>1.0800000000000001E-2</v>
      </c>
    </row>
    <row r="126" spans="1:12" x14ac:dyDescent="0.3">
      <c r="B126" s="133" t="s">
        <v>9</v>
      </c>
      <c r="C126" s="249">
        <f t="shared" si="25"/>
        <v>1.0800000000000001E-2</v>
      </c>
      <c r="D126" s="249">
        <f t="shared" si="25"/>
        <v>1.0800000000000001E-2</v>
      </c>
      <c r="E126" s="249">
        <f t="shared" si="25"/>
        <v>1.0800000000000001E-2</v>
      </c>
      <c r="F126" s="249">
        <f t="shared" si="25"/>
        <v>1.0800000000000001E-2</v>
      </c>
      <c r="G126" s="249">
        <f t="shared" si="25"/>
        <v>1.0800000000000001E-2</v>
      </c>
      <c r="H126" s="249">
        <f t="shared" si="25"/>
        <v>1.0800000000000001E-2</v>
      </c>
      <c r="I126" s="249">
        <f t="shared" si="25"/>
        <v>1.0800000000000001E-2</v>
      </c>
      <c r="J126" s="249">
        <f t="shared" si="25"/>
        <v>1.0800000000000001E-2</v>
      </c>
      <c r="K126" s="249">
        <f t="shared" si="25"/>
        <v>1.0800000000000001E-2</v>
      </c>
      <c r="L126" s="250">
        <f t="shared" si="25"/>
        <v>1.0800000000000001E-2</v>
      </c>
    </row>
    <row r="127" spans="1:12" ht="15" thickBot="1" x14ac:dyDescent="0.35">
      <c r="B127" s="139" t="s">
        <v>10</v>
      </c>
      <c r="C127" s="251">
        <f t="shared" si="25"/>
        <v>1.0800000000000001E-2</v>
      </c>
      <c r="D127" s="251">
        <f t="shared" si="25"/>
        <v>1.0800000000000001E-2</v>
      </c>
      <c r="E127" s="251">
        <f t="shared" si="25"/>
        <v>1.0800000000000001E-2</v>
      </c>
      <c r="F127" s="251">
        <f t="shared" si="25"/>
        <v>1.0800000000000001E-2</v>
      </c>
      <c r="G127" s="251">
        <f t="shared" si="25"/>
        <v>1.0800000000000001E-2</v>
      </c>
      <c r="H127" s="251">
        <f t="shared" si="25"/>
        <v>1.0800000000000001E-2</v>
      </c>
      <c r="I127" s="251">
        <f t="shared" si="25"/>
        <v>1.0800000000000001E-2</v>
      </c>
      <c r="J127" s="251">
        <f t="shared" si="25"/>
        <v>1.0800000000000001E-2</v>
      </c>
      <c r="K127" s="251">
        <f t="shared" si="25"/>
        <v>1.0800000000000001E-2</v>
      </c>
      <c r="L127" s="252">
        <f t="shared" si="25"/>
        <v>1.0800000000000001E-2</v>
      </c>
    </row>
    <row r="128" spans="1:12" x14ac:dyDescent="0.3">
      <c r="B128" s="214" t="s">
        <v>145</v>
      </c>
      <c r="C128" s="248"/>
      <c r="D128" s="248"/>
      <c r="E128" s="248"/>
      <c r="F128" s="248"/>
      <c r="G128" s="248"/>
      <c r="H128" s="248"/>
      <c r="I128" s="248"/>
      <c r="J128" s="248"/>
      <c r="K128" s="248"/>
      <c r="L128" s="245"/>
    </row>
    <row r="129" spans="2:13" x14ac:dyDescent="0.3">
      <c r="B129" s="237" t="s">
        <v>2</v>
      </c>
      <c r="C129" s="199">
        <v>177.0692</v>
      </c>
      <c r="D129" s="199">
        <v>177.0692</v>
      </c>
      <c r="E129" s="199">
        <v>177.0692</v>
      </c>
      <c r="F129" s="199">
        <v>177.0692</v>
      </c>
      <c r="G129" s="199">
        <v>177.0692</v>
      </c>
      <c r="H129" s="199">
        <v>177.0692</v>
      </c>
      <c r="I129" s="199">
        <v>177.0692</v>
      </c>
      <c r="J129" s="199">
        <v>177.0692</v>
      </c>
      <c r="K129" s="199">
        <v>177.0692</v>
      </c>
      <c r="L129" s="238">
        <v>177.0692</v>
      </c>
    </row>
    <row r="130" spans="2:13" x14ac:dyDescent="0.3">
      <c r="B130" s="237" t="s">
        <v>4</v>
      </c>
      <c r="C130" s="199">
        <v>137.1245333</v>
      </c>
      <c r="D130" s="199">
        <v>137.12453333333301</v>
      </c>
      <c r="E130" s="199">
        <v>137.12453333333301</v>
      </c>
      <c r="F130" s="199">
        <v>137.12453333333301</v>
      </c>
      <c r="G130" s="199">
        <v>137.12453333333301</v>
      </c>
      <c r="H130" s="199">
        <v>137.12453333333301</v>
      </c>
      <c r="I130" s="199">
        <v>137.12453333333301</v>
      </c>
      <c r="J130" s="199">
        <v>137.12453333333301</v>
      </c>
      <c r="K130" s="199">
        <v>137.12453333333301</v>
      </c>
      <c r="L130" s="238">
        <v>137.12453333333301</v>
      </c>
    </row>
    <row r="131" spans="2:13" x14ac:dyDescent="0.3">
      <c r="B131" s="237" t="s">
        <v>5</v>
      </c>
      <c r="C131" s="199">
        <v>455.06413329999998</v>
      </c>
      <c r="D131" s="199">
        <v>455.06413333333302</v>
      </c>
      <c r="E131" s="199">
        <v>455.06413333333302</v>
      </c>
      <c r="F131" s="199">
        <v>455.06413333333302</v>
      </c>
      <c r="G131" s="199">
        <v>455.06413333333302</v>
      </c>
      <c r="H131" s="199">
        <v>455.06413333333302</v>
      </c>
      <c r="I131" s="199">
        <v>455.06413333333302</v>
      </c>
      <c r="J131" s="199">
        <v>455.06413333333302</v>
      </c>
      <c r="K131" s="199">
        <v>455.06413333333302</v>
      </c>
      <c r="L131" s="238">
        <v>455.06413333333302</v>
      </c>
    </row>
    <row r="132" spans="2:13" x14ac:dyDescent="0.3">
      <c r="B132" s="237" t="s">
        <v>6</v>
      </c>
      <c r="C132" s="199">
        <v>453.01666669999997</v>
      </c>
      <c r="D132" s="199">
        <v>453.01666666666699</v>
      </c>
      <c r="E132" s="199">
        <v>453.01666666666699</v>
      </c>
      <c r="F132" s="199">
        <v>453.01666666666699</v>
      </c>
      <c r="G132" s="199">
        <v>453.01666666666699</v>
      </c>
      <c r="H132" s="199">
        <v>453.01666666666699</v>
      </c>
      <c r="I132" s="199">
        <v>453.01666666666699</v>
      </c>
      <c r="J132" s="199">
        <v>453.01666666666699</v>
      </c>
      <c r="K132" s="199">
        <v>453.01666666666699</v>
      </c>
      <c r="L132" s="238">
        <v>453.01666666666699</v>
      </c>
    </row>
    <row r="133" spans="2:13" x14ac:dyDescent="0.3">
      <c r="B133" s="239" t="s">
        <v>7</v>
      </c>
      <c r="C133" s="199">
        <v>392.1338667</v>
      </c>
      <c r="D133" s="199">
        <v>392.13386666666702</v>
      </c>
      <c r="E133" s="199">
        <v>392.13386666666702</v>
      </c>
      <c r="F133" s="199">
        <v>392.13386666666702</v>
      </c>
      <c r="G133" s="199">
        <v>392.13386666666702</v>
      </c>
      <c r="H133" s="199">
        <v>392.13386666666702</v>
      </c>
      <c r="I133" s="199">
        <v>392.13386666666702</v>
      </c>
      <c r="J133" s="199">
        <v>392.13386666666702</v>
      </c>
      <c r="K133" s="199">
        <v>392.13386666666702</v>
      </c>
      <c r="L133" s="238">
        <v>392.13386666666702</v>
      </c>
    </row>
    <row r="134" spans="2:13" ht="30.6" customHeight="1" x14ac:dyDescent="0.3">
      <c r="B134" s="206" t="s">
        <v>8</v>
      </c>
      <c r="C134" s="199">
        <v>591.45240000000001</v>
      </c>
      <c r="D134" s="199">
        <v>591.45240000000001</v>
      </c>
      <c r="E134" s="199">
        <v>591.45240000000001</v>
      </c>
      <c r="F134" s="199">
        <v>591.45240000000001</v>
      </c>
      <c r="G134" s="199">
        <v>591.45240000000001</v>
      </c>
      <c r="H134" s="199">
        <v>591.45240000000001</v>
      </c>
      <c r="I134" s="199">
        <v>591.45240000000001</v>
      </c>
      <c r="J134" s="199">
        <v>591.45240000000001</v>
      </c>
      <c r="K134" s="199">
        <v>591.45240000000001</v>
      </c>
      <c r="L134" s="200">
        <v>591.45240000000001</v>
      </c>
    </row>
    <row r="135" spans="2:13" ht="22.8" customHeight="1" x14ac:dyDescent="0.3">
      <c r="B135" s="206" t="s">
        <v>9</v>
      </c>
      <c r="C135" s="199">
        <v>308.28160000000003</v>
      </c>
      <c r="D135" s="199">
        <v>308.28160000000003</v>
      </c>
      <c r="E135" s="199">
        <v>308.28160000000003</v>
      </c>
      <c r="F135" s="199">
        <v>308.28160000000003</v>
      </c>
      <c r="G135" s="199">
        <v>308.28160000000003</v>
      </c>
      <c r="H135" s="199">
        <v>308.28160000000003</v>
      </c>
      <c r="I135" s="199">
        <v>308.28160000000003</v>
      </c>
      <c r="J135" s="199">
        <v>308.28160000000003</v>
      </c>
      <c r="K135" s="199">
        <v>308.28160000000003</v>
      </c>
      <c r="L135" s="200">
        <v>308.28160000000003</v>
      </c>
    </row>
    <row r="136" spans="2:13" ht="15" thickBot="1" x14ac:dyDescent="0.35">
      <c r="B136" s="207" t="s">
        <v>10</v>
      </c>
      <c r="C136" s="201">
        <v>317.64333329999999</v>
      </c>
      <c r="D136" s="201">
        <v>317.64333333333298</v>
      </c>
      <c r="E136" s="201">
        <v>317.64333333333298</v>
      </c>
      <c r="F136" s="201">
        <v>317.64333333333298</v>
      </c>
      <c r="G136" s="201">
        <v>317.64333333333298</v>
      </c>
      <c r="H136" s="201">
        <v>317.64333333333298</v>
      </c>
      <c r="I136" s="201">
        <v>317.64333333333298</v>
      </c>
      <c r="J136" s="201">
        <v>317.64333333333298</v>
      </c>
      <c r="K136" s="201">
        <v>317.64333333333298</v>
      </c>
      <c r="L136" s="202">
        <v>317.64333333333298</v>
      </c>
    </row>
    <row r="137" spans="2:13" x14ac:dyDescent="0.3">
      <c r="B137" s="136" t="s">
        <v>146</v>
      </c>
      <c r="C137" s="137"/>
      <c r="D137" s="137"/>
      <c r="E137" s="137"/>
      <c r="F137" s="137"/>
      <c r="G137" s="137"/>
      <c r="H137" s="137"/>
      <c r="I137" s="137"/>
      <c r="J137" s="137"/>
      <c r="K137" s="137"/>
      <c r="L137" s="138"/>
    </row>
    <row r="138" spans="2:13" x14ac:dyDescent="0.3">
      <c r="B138" s="153" t="s">
        <v>2</v>
      </c>
      <c r="C138" s="137">
        <f>+C111*C129</f>
        <v>0.21218911757101241</v>
      </c>
      <c r="D138" s="137">
        <f t="shared" ref="D138:K138" si="26">+D111*D129</f>
        <v>0.21218911757101241</v>
      </c>
      <c r="E138" s="137">
        <f t="shared" si="26"/>
        <v>0.21218911757101241</v>
      </c>
      <c r="F138" s="137">
        <f t="shared" si="26"/>
        <v>0.21218911757101241</v>
      </c>
      <c r="G138" s="137">
        <f t="shared" si="26"/>
        <v>0.21218911757101241</v>
      </c>
      <c r="H138" s="137">
        <f t="shared" si="26"/>
        <v>0.21218911757101241</v>
      </c>
      <c r="I138" s="137">
        <f t="shared" si="26"/>
        <v>0.21218911757101241</v>
      </c>
      <c r="J138" s="137">
        <f t="shared" si="26"/>
        <v>0.21218911757101241</v>
      </c>
      <c r="K138" s="137">
        <f t="shared" si="26"/>
        <v>0.21218911757101241</v>
      </c>
      <c r="L138" s="138">
        <f>+L111*L129</f>
        <v>0.21218911757101241</v>
      </c>
      <c r="M138" s="240"/>
    </row>
    <row r="139" spans="2:13" x14ac:dyDescent="0.3">
      <c r="B139" s="153" t="s">
        <v>4</v>
      </c>
      <c r="C139" s="137">
        <f t="shared" ref="C139:L139" si="27">+C112*C130</f>
        <v>2.5009994868970575</v>
      </c>
      <c r="D139" s="137">
        <f t="shared" si="27"/>
        <v>2.5009994875050148</v>
      </c>
      <c r="E139" s="137">
        <f t="shared" si="27"/>
        <v>2.5009994875050148</v>
      </c>
      <c r="F139" s="137">
        <f t="shared" si="27"/>
        <v>2.5009994875050148</v>
      </c>
      <c r="G139" s="137">
        <f t="shared" si="27"/>
        <v>2.5009994875050148</v>
      </c>
      <c r="H139" s="137">
        <f t="shared" si="27"/>
        <v>2.5009994875050148</v>
      </c>
      <c r="I139" s="137">
        <f t="shared" si="27"/>
        <v>2.5009994875050148</v>
      </c>
      <c r="J139" s="137">
        <f t="shared" si="27"/>
        <v>2.5009994875050148</v>
      </c>
      <c r="K139" s="137">
        <f t="shared" si="27"/>
        <v>2.5009994875050148</v>
      </c>
      <c r="L139" s="138">
        <f t="shared" si="27"/>
        <v>2.5009994875050148</v>
      </c>
      <c r="M139" s="240"/>
    </row>
    <row r="140" spans="2:13" x14ac:dyDescent="0.3">
      <c r="B140" s="153" t="s">
        <v>5</v>
      </c>
      <c r="C140" s="137">
        <f t="shared" ref="C140:L140" si="28">+C113*C131</f>
        <v>13.3596637756514</v>
      </c>
      <c r="D140" s="137">
        <f t="shared" si="28"/>
        <v>13.359663776629983</v>
      </c>
      <c r="E140" s="137">
        <f t="shared" si="28"/>
        <v>13.359663776629983</v>
      </c>
      <c r="F140" s="137">
        <f t="shared" si="28"/>
        <v>13.359663776629983</v>
      </c>
      <c r="G140" s="137">
        <f t="shared" si="28"/>
        <v>13.359663776629983</v>
      </c>
      <c r="H140" s="137">
        <f t="shared" si="28"/>
        <v>13.359663776629983</v>
      </c>
      <c r="I140" s="137">
        <f t="shared" si="28"/>
        <v>13.359663776629983</v>
      </c>
      <c r="J140" s="137">
        <f t="shared" si="28"/>
        <v>13.359663776629983</v>
      </c>
      <c r="K140" s="137">
        <f t="shared" si="28"/>
        <v>13.359663776629983</v>
      </c>
      <c r="L140" s="138">
        <f t="shared" si="28"/>
        <v>13.359663776629983</v>
      </c>
      <c r="M140" s="240"/>
    </row>
    <row r="141" spans="2:13" x14ac:dyDescent="0.3">
      <c r="B141" s="153" t="s">
        <v>6</v>
      </c>
      <c r="C141" s="137">
        <f t="shared" ref="C141:L141" si="29">+C114*C132</f>
        <v>18.016696378668769</v>
      </c>
      <c r="D141" s="137">
        <f t="shared" si="29"/>
        <v>18.016696377343099</v>
      </c>
      <c r="E141" s="137">
        <f t="shared" si="29"/>
        <v>18.016696377343099</v>
      </c>
      <c r="F141" s="137">
        <f t="shared" si="29"/>
        <v>18.016696377343099</v>
      </c>
      <c r="G141" s="137">
        <f t="shared" si="29"/>
        <v>18.016696377343099</v>
      </c>
      <c r="H141" s="137">
        <f t="shared" si="29"/>
        <v>18.016696377343099</v>
      </c>
      <c r="I141" s="137">
        <f t="shared" si="29"/>
        <v>18.016696377343099</v>
      </c>
      <c r="J141" s="137">
        <f t="shared" si="29"/>
        <v>18.016696377343099</v>
      </c>
      <c r="K141" s="137">
        <f t="shared" si="29"/>
        <v>18.016696377343099</v>
      </c>
      <c r="L141" s="138">
        <f t="shared" si="29"/>
        <v>18.016696377343099</v>
      </c>
      <c r="M141" s="240"/>
    </row>
    <row r="142" spans="2:13" x14ac:dyDescent="0.3">
      <c r="B142" s="154" t="s">
        <v>7</v>
      </c>
      <c r="C142" s="137">
        <f t="shared" ref="C142:L142" si="30">+C115*C133</f>
        <v>1.5507854372027809</v>
      </c>
      <c r="D142" s="137">
        <f t="shared" si="30"/>
        <v>1.5507854370709577</v>
      </c>
      <c r="E142" s="137">
        <f t="shared" si="30"/>
        <v>1.5507854370709577</v>
      </c>
      <c r="F142" s="137">
        <f t="shared" si="30"/>
        <v>1.5507854370709577</v>
      </c>
      <c r="G142" s="137">
        <f t="shared" si="30"/>
        <v>1.5507854370709577</v>
      </c>
      <c r="H142" s="137">
        <f t="shared" si="30"/>
        <v>1.5507854370709577</v>
      </c>
      <c r="I142" s="137">
        <f t="shared" si="30"/>
        <v>1.5507854370709577</v>
      </c>
      <c r="J142" s="137">
        <f t="shared" si="30"/>
        <v>1.5507854370709577</v>
      </c>
      <c r="K142" s="137">
        <f t="shared" si="30"/>
        <v>1.5507854370709577</v>
      </c>
      <c r="L142" s="138">
        <f t="shared" si="30"/>
        <v>1.5507854370709577</v>
      </c>
      <c r="M142" s="240"/>
    </row>
    <row r="143" spans="2:13" x14ac:dyDescent="0.3">
      <c r="B143" s="133" t="s">
        <v>8</v>
      </c>
      <c r="C143" s="137">
        <f t="shared" ref="C143:L143" si="31">+C116*C134</f>
        <v>234.68991106649784</v>
      </c>
      <c r="D143" s="137">
        <f t="shared" si="31"/>
        <v>234.68991106649784</v>
      </c>
      <c r="E143" s="137">
        <f t="shared" si="31"/>
        <v>234.68991106649784</v>
      </c>
      <c r="F143" s="137">
        <f t="shared" si="31"/>
        <v>234.68991106649784</v>
      </c>
      <c r="G143" s="137">
        <f t="shared" si="31"/>
        <v>234.68991106649784</v>
      </c>
      <c r="H143" s="137">
        <f t="shared" si="31"/>
        <v>234.68991106649784</v>
      </c>
      <c r="I143" s="137">
        <f t="shared" si="31"/>
        <v>234.68991106649784</v>
      </c>
      <c r="J143" s="137">
        <f t="shared" si="31"/>
        <v>234.68991106649784</v>
      </c>
      <c r="K143" s="137">
        <f t="shared" si="31"/>
        <v>234.68991106649784</v>
      </c>
      <c r="L143" s="138">
        <f t="shared" si="31"/>
        <v>234.68991106649784</v>
      </c>
      <c r="M143" s="240"/>
    </row>
    <row r="144" spans="2:13" x14ac:dyDescent="0.3">
      <c r="B144" s="133" t="s">
        <v>9</v>
      </c>
      <c r="C144" s="137">
        <f t="shared" ref="C144:L144" si="32">+C117*C135</f>
        <v>2.3843704732190742</v>
      </c>
      <c r="D144" s="137">
        <f t="shared" si="32"/>
        <v>2.3843704732190742</v>
      </c>
      <c r="E144" s="137">
        <f t="shared" si="32"/>
        <v>2.3843704732190742</v>
      </c>
      <c r="F144" s="137">
        <f t="shared" si="32"/>
        <v>2.3843704732190742</v>
      </c>
      <c r="G144" s="137">
        <f t="shared" si="32"/>
        <v>2.3843704732190742</v>
      </c>
      <c r="H144" s="137">
        <f t="shared" si="32"/>
        <v>2.3843704732190742</v>
      </c>
      <c r="I144" s="137">
        <f t="shared" si="32"/>
        <v>2.3843704732190742</v>
      </c>
      <c r="J144" s="137">
        <f t="shared" si="32"/>
        <v>2.3843704732190742</v>
      </c>
      <c r="K144" s="137">
        <f t="shared" si="32"/>
        <v>2.3843704732190742</v>
      </c>
      <c r="L144" s="138">
        <f t="shared" si="32"/>
        <v>2.3843704732190742</v>
      </c>
      <c r="M144" s="240"/>
    </row>
    <row r="145" spans="2:13" ht="15" thickBot="1" x14ac:dyDescent="0.35">
      <c r="B145" s="139" t="s">
        <v>10</v>
      </c>
      <c r="C145" s="140">
        <f t="shared" ref="C145:L145" si="33">+C118*C136</f>
        <v>4.6775683394771752</v>
      </c>
      <c r="D145" s="140">
        <f t="shared" si="33"/>
        <v>4.6775683399680323</v>
      </c>
      <c r="E145" s="140">
        <f t="shared" si="33"/>
        <v>4.6775683399680323</v>
      </c>
      <c r="F145" s="140">
        <f t="shared" si="33"/>
        <v>4.6775683399680323</v>
      </c>
      <c r="G145" s="140">
        <f t="shared" si="33"/>
        <v>4.6775683399680323</v>
      </c>
      <c r="H145" s="140">
        <f t="shared" si="33"/>
        <v>4.6775683399680323</v>
      </c>
      <c r="I145" s="140">
        <f t="shared" si="33"/>
        <v>4.6775683399680323</v>
      </c>
      <c r="J145" s="140">
        <f t="shared" si="33"/>
        <v>4.6775683399680323</v>
      </c>
      <c r="K145" s="140">
        <f t="shared" si="33"/>
        <v>4.6775683399680323</v>
      </c>
      <c r="L145" s="141">
        <f t="shared" si="33"/>
        <v>4.6775683399680323</v>
      </c>
      <c r="M145" s="240"/>
    </row>
    <row r="146" spans="2:13" ht="15" thickBot="1" x14ac:dyDescent="0.35">
      <c r="C146" s="304">
        <f>+SUM(C138:C145)</f>
        <v>277.39218407518507</v>
      </c>
      <c r="D146" s="304">
        <f t="shared" ref="D146:L146" si="34">+SUM(D138:D145)</f>
        <v>277.39218407580501</v>
      </c>
      <c r="E146" s="304">
        <f t="shared" si="34"/>
        <v>277.39218407580501</v>
      </c>
      <c r="F146" s="304">
        <f t="shared" si="34"/>
        <v>277.39218407580501</v>
      </c>
      <c r="G146" s="304">
        <f t="shared" si="34"/>
        <v>277.39218407580501</v>
      </c>
      <c r="H146" s="304">
        <f t="shared" si="34"/>
        <v>277.39218407580501</v>
      </c>
      <c r="I146" s="304">
        <f t="shared" si="34"/>
        <v>277.39218407580501</v>
      </c>
      <c r="J146" s="304">
        <f t="shared" si="34"/>
        <v>277.39218407580501</v>
      </c>
      <c r="K146" s="304">
        <f t="shared" si="34"/>
        <v>277.39218407580501</v>
      </c>
      <c r="L146" s="304">
        <f t="shared" si="34"/>
        <v>277.39218407580501</v>
      </c>
    </row>
    <row r="147" spans="2:13" x14ac:dyDescent="0.3">
      <c r="B147" s="145" t="s">
        <v>163</v>
      </c>
      <c r="C147" s="83"/>
      <c r="D147" s="83"/>
      <c r="E147" s="83"/>
      <c r="F147" s="83"/>
      <c r="G147" s="83"/>
      <c r="H147" s="83"/>
      <c r="I147" s="83"/>
      <c r="J147" s="83"/>
      <c r="K147" s="83"/>
      <c r="L147" s="84"/>
    </row>
    <row r="148" spans="2:13" ht="15" thickBot="1" x14ac:dyDescent="0.35">
      <c r="B148" s="242" t="s">
        <v>141</v>
      </c>
      <c r="C148" s="101"/>
      <c r="D148" s="101"/>
      <c r="E148" s="101"/>
      <c r="F148" s="101"/>
      <c r="G148" s="101"/>
      <c r="H148" s="101"/>
      <c r="I148" s="101"/>
      <c r="J148" s="101"/>
      <c r="K148" s="101"/>
      <c r="L148" s="147"/>
    </row>
    <row r="149" spans="2:13" x14ac:dyDescent="0.3">
      <c r="B149" s="142" t="s">
        <v>142</v>
      </c>
      <c r="C149" s="76"/>
      <c r="D149" s="76"/>
      <c r="E149" s="76"/>
      <c r="F149" s="76"/>
      <c r="G149" s="76"/>
      <c r="H149" s="76"/>
      <c r="I149" s="76"/>
      <c r="J149" s="76"/>
      <c r="K149" s="76"/>
      <c r="L149" s="77"/>
    </row>
    <row r="150" spans="2:13" x14ac:dyDescent="0.3">
      <c r="B150" s="153" t="s">
        <v>2</v>
      </c>
      <c r="C150" s="148">
        <v>0.110957413914077</v>
      </c>
      <c r="D150" s="148">
        <v>0.22191482782815344</v>
      </c>
      <c r="E150" s="148">
        <v>0.33287224174223018</v>
      </c>
      <c r="F150" s="148">
        <v>0.44382965565630689</v>
      </c>
      <c r="G150" s="148">
        <v>0.55478706957038371</v>
      </c>
      <c r="H150" s="148">
        <v>0.66574448348446036</v>
      </c>
      <c r="I150" s="148">
        <v>0.77670189739853712</v>
      </c>
      <c r="J150" s="148">
        <v>0.88765931131261377</v>
      </c>
      <c r="K150" s="148">
        <v>0.99861672522669054</v>
      </c>
      <c r="L150" s="155">
        <v>1.1095741391407674</v>
      </c>
    </row>
    <row r="151" spans="2:13" x14ac:dyDescent="0.3">
      <c r="B151" s="153" t="s">
        <v>4</v>
      </c>
      <c r="C151" s="148">
        <v>1.6887862513844032</v>
      </c>
      <c r="D151" s="148">
        <v>3.3775725027688064</v>
      </c>
      <c r="E151" s="148">
        <v>5.0663587541532094</v>
      </c>
      <c r="F151" s="148">
        <v>6.7551450055376128</v>
      </c>
      <c r="G151" s="148">
        <v>8.4439312569220171</v>
      </c>
      <c r="H151" s="148">
        <v>10.132717508306419</v>
      </c>
      <c r="I151" s="148">
        <v>11.821503759690822</v>
      </c>
      <c r="J151" s="148">
        <v>13.510290011075226</v>
      </c>
      <c r="K151" s="148">
        <v>15.199076262459629</v>
      </c>
      <c r="L151" s="155">
        <v>16.887862513844034</v>
      </c>
    </row>
    <row r="152" spans="2:13" x14ac:dyDescent="0.3">
      <c r="B152" s="153" t="s">
        <v>5</v>
      </c>
      <c r="C152" s="148">
        <v>2.7183111448104702</v>
      </c>
      <c r="D152" s="148">
        <v>5.4366222896209404</v>
      </c>
      <c r="E152" s="148">
        <v>8.1549334344314097</v>
      </c>
      <c r="F152" s="148">
        <v>10.873244579241881</v>
      </c>
      <c r="G152" s="148">
        <v>13.59155572405235</v>
      </c>
      <c r="H152" s="148">
        <v>16.309866868862819</v>
      </c>
      <c r="I152" s="148">
        <v>19.028178013673291</v>
      </c>
      <c r="J152" s="148">
        <v>21.746489158483762</v>
      </c>
      <c r="K152" s="148">
        <v>24.464800303294229</v>
      </c>
      <c r="L152" s="155">
        <v>27.1831114481047</v>
      </c>
    </row>
    <row r="153" spans="2:13" x14ac:dyDescent="0.3">
      <c r="B153" s="153" t="s">
        <v>6</v>
      </c>
      <c r="C153" s="148">
        <v>3.6824530978222305</v>
      </c>
      <c r="D153" s="148">
        <v>7.364906195644461</v>
      </c>
      <c r="E153" s="148">
        <v>11.047359293466693</v>
      </c>
      <c r="F153" s="148">
        <v>14.729812391288922</v>
      </c>
      <c r="G153" s="148">
        <v>18.412265489111153</v>
      </c>
      <c r="H153" s="148">
        <v>22.094718586933386</v>
      </c>
      <c r="I153" s="148">
        <v>25.777171684755611</v>
      </c>
      <c r="J153" s="148">
        <v>29.459624782577844</v>
      </c>
      <c r="K153" s="148">
        <v>33.142077880400073</v>
      </c>
      <c r="L153" s="155">
        <v>36.824530978222306</v>
      </c>
    </row>
    <row r="154" spans="2:13" x14ac:dyDescent="0.3">
      <c r="B154" s="154" t="s">
        <v>7</v>
      </c>
      <c r="C154" s="148">
        <v>0.36617914538683949</v>
      </c>
      <c r="D154" s="148">
        <v>0.73235829077367898</v>
      </c>
      <c r="E154" s="148">
        <v>1.0985374361605185</v>
      </c>
      <c r="F154" s="148">
        <v>1.464716581547358</v>
      </c>
      <c r="G154" s="148">
        <v>1.8308957269341974</v>
      </c>
      <c r="H154" s="148">
        <v>2.1970748723210369</v>
      </c>
      <c r="I154" s="148">
        <v>2.5632540177078762</v>
      </c>
      <c r="J154" s="148">
        <v>2.9294331630947159</v>
      </c>
      <c r="K154" s="148">
        <v>3.2956123084815552</v>
      </c>
      <c r="L154" s="155">
        <v>3.6617914538683949</v>
      </c>
    </row>
    <row r="155" spans="2:13" x14ac:dyDescent="0.3">
      <c r="B155" s="133" t="s">
        <v>8</v>
      </c>
      <c r="C155" s="137">
        <v>36.7409910264495</v>
      </c>
      <c r="D155" s="137">
        <v>73.481982052898999</v>
      </c>
      <c r="E155" s="137">
        <v>110.22297307934849</v>
      </c>
      <c r="F155" s="137">
        <v>146.963964105798</v>
      </c>
      <c r="G155" s="137">
        <v>183.70495513224748</v>
      </c>
      <c r="H155" s="137">
        <v>220.44594615869698</v>
      </c>
      <c r="I155" s="137">
        <v>257.18693718514652</v>
      </c>
      <c r="J155" s="137">
        <v>293.927928211596</v>
      </c>
      <c r="K155" s="137">
        <v>330.66891923804548</v>
      </c>
      <c r="L155" s="138">
        <v>367.40991026449495</v>
      </c>
    </row>
    <row r="156" spans="2:13" x14ac:dyDescent="0.3">
      <c r="B156" s="133" t="s">
        <v>9</v>
      </c>
      <c r="C156" s="137">
        <v>0.71614732704313455</v>
      </c>
      <c r="D156" s="137">
        <v>1.4322946540862691</v>
      </c>
      <c r="E156" s="137">
        <v>2.1484419811294035</v>
      </c>
      <c r="F156" s="137">
        <v>2.8645893081725382</v>
      </c>
      <c r="G156" s="137">
        <v>3.5807366352156724</v>
      </c>
      <c r="H156" s="137">
        <v>4.2968839622588071</v>
      </c>
      <c r="I156" s="137">
        <v>5.0130312893019422</v>
      </c>
      <c r="J156" s="137">
        <v>5.7291786163450764</v>
      </c>
      <c r="K156" s="137">
        <v>6.4453259433882106</v>
      </c>
      <c r="L156" s="138">
        <v>7.1614732704313449</v>
      </c>
    </row>
    <row r="157" spans="2:13" ht="15" thickBot="1" x14ac:dyDescent="0.35">
      <c r="B157" s="139" t="s">
        <v>10</v>
      </c>
      <c r="C157" s="140">
        <v>1.3635047053613696</v>
      </c>
      <c r="D157" s="140">
        <v>2.7270094107227392</v>
      </c>
      <c r="E157" s="140">
        <v>4.0905141160841083</v>
      </c>
      <c r="F157" s="140">
        <v>5.4540188214454783</v>
      </c>
      <c r="G157" s="140">
        <v>6.8175235268068484</v>
      </c>
      <c r="H157" s="140">
        <v>8.1810282321682166</v>
      </c>
      <c r="I157" s="140">
        <v>9.5445329375295884</v>
      </c>
      <c r="J157" s="140">
        <v>10.908037642890957</v>
      </c>
      <c r="K157" s="140">
        <v>12.271542348252325</v>
      </c>
      <c r="L157" s="141">
        <v>13.635047053613697</v>
      </c>
    </row>
    <row r="158" spans="2:13" x14ac:dyDescent="0.3">
      <c r="B158" s="143" t="s">
        <v>145</v>
      </c>
      <c r="C158" s="144"/>
      <c r="D158" s="144"/>
      <c r="E158" s="144"/>
      <c r="F158" s="144"/>
      <c r="G158" s="144"/>
      <c r="H158" s="144"/>
      <c r="I158" s="144"/>
      <c r="J158" s="144"/>
      <c r="K158" s="144"/>
      <c r="L158" s="77"/>
    </row>
    <row r="159" spans="2:13" x14ac:dyDescent="0.3">
      <c r="B159" s="153" t="s">
        <v>2</v>
      </c>
      <c r="C159" s="137">
        <f t="shared" ref="C159:L159" si="35">+C168/C150</f>
        <v>2.1369333333333329</v>
      </c>
      <c r="D159" s="137">
        <f t="shared" si="35"/>
        <v>2.1369333333333334</v>
      </c>
      <c r="E159" s="137">
        <f t="shared" si="35"/>
        <v>2.1369333333333329</v>
      </c>
      <c r="F159" s="137">
        <f t="shared" si="35"/>
        <v>2.1369333333333334</v>
      </c>
      <c r="G159" s="137">
        <f t="shared" si="35"/>
        <v>2.1369333333333325</v>
      </c>
      <c r="H159" s="137">
        <f t="shared" si="35"/>
        <v>2.1369333333333329</v>
      </c>
      <c r="I159" s="137">
        <f t="shared" si="35"/>
        <v>2.1369333333333329</v>
      </c>
      <c r="J159" s="137">
        <f t="shared" si="35"/>
        <v>2.1369333333333334</v>
      </c>
      <c r="K159" s="137">
        <f t="shared" si="35"/>
        <v>2.1369333333333329</v>
      </c>
      <c r="L159" s="155">
        <f t="shared" si="35"/>
        <v>2.1369333333333325</v>
      </c>
    </row>
    <row r="160" spans="2:13" x14ac:dyDescent="0.3">
      <c r="B160" s="153" t="s">
        <v>4</v>
      </c>
      <c r="C160" s="137">
        <f t="shared" ref="C160:L160" si="36">+C169/C151</f>
        <v>2.1369333333333329</v>
      </c>
      <c r="D160" s="137">
        <f t="shared" si="36"/>
        <v>2.1369333333333329</v>
      </c>
      <c r="E160" s="137">
        <f t="shared" si="36"/>
        <v>2.1369333333333334</v>
      </c>
      <c r="F160" s="137">
        <f t="shared" si="36"/>
        <v>2.1369333333333329</v>
      </c>
      <c r="G160" s="137">
        <f t="shared" si="36"/>
        <v>2.1369333333333334</v>
      </c>
      <c r="H160" s="137">
        <f t="shared" si="36"/>
        <v>2.1369333333333334</v>
      </c>
      <c r="I160" s="137">
        <f t="shared" si="36"/>
        <v>2.1369333333333329</v>
      </c>
      <c r="J160" s="137">
        <f t="shared" si="36"/>
        <v>2.1369333333333329</v>
      </c>
      <c r="K160" s="137">
        <f t="shared" si="36"/>
        <v>2.1369333333333334</v>
      </c>
      <c r="L160" s="155">
        <f t="shared" si="36"/>
        <v>2.1369333333333334</v>
      </c>
    </row>
    <row r="161" spans="2:12" x14ac:dyDescent="0.3">
      <c r="B161" s="153" t="s">
        <v>5</v>
      </c>
      <c r="C161" s="137">
        <f t="shared" ref="C161:L161" si="37">+C170/C152</f>
        <v>2.991706666666667</v>
      </c>
      <c r="D161" s="137">
        <f t="shared" si="37"/>
        <v>2.991706666666667</v>
      </c>
      <c r="E161" s="137">
        <f t="shared" si="37"/>
        <v>2.9917066666666661</v>
      </c>
      <c r="F161" s="137">
        <f t="shared" si="37"/>
        <v>2.991706666666667</v>
      </c>
      <c r="G161" s="137">
        <f t="shared" si="37"/>
        <v>2.9917066666666665</v>
      </c>
      <c r="H161" s="137">
        <f t="shared" si="37"/>
        <v>2.9917066666666661</v>
      </c>
      <c r="I161" s="137">
        <f t="shared" si="37"/>
        <v>2.991706666666667</v>
      </c>
      <c r="J161" s="137">
        <f t="shared" si="37"/>
        <v>2.991706666666667</v>
      </c>
      <c r="K161" s="137">
        <f t="shared" si="37"/>
        <v>2.9917066666666661</v>
      </c>
      <c r="L161" s="155">
        <f t="shared" si="37"/>
        <v>2.9917066666666665</v>
      </c>
    </row>
    <row r="162" spans="2:12" x14ac:dyDescent="0.3">
      <c r="B162" s="153" t="s">
        <v>6</v>
      </c>
      <c r="C162" s="137">
        <f t="shared" ref="C162:L162" si="38">+C171/C153</f>
        <v>6.6244933333333327</v>
      </c>
      <c r="D162" s="137">
        <f t="shared" si="38"/>
        <v>6.6244933333333327</v>
      </c>
      <c r="E162" s="137">
        <f t="shared" si="38"/>
        <v>6.6244933333333336</v>
      </c>
      <c r="F162" s="137">
        <f t="shared" si="38"/>
        <v>6.6244933333333327</v>
      </c>
      <c r="G162" s="137">
        <f t="shared" si="38"/>
        <v>6.6244933333333318</v>
      </c>
      <c r="H162" s="137">
        <f t="shared" si="38"/>
        <v>6.6244933333333336</v>
      </c>
      <c r="I162" s="137">
        <f t="shared" si="38"/>
        <v>6.6244933333333327</v>
      </c>
      <c r="J162" s="137">
        <f t="shared" si="38"/>
        <v>6.6244933333333327</v>
      </c>
      <c r="K162" s="137">
        <f t="shared" si="38"/>
        <v>6.6244933333333318</v>
      </c>
      <c r="L162" s="155">
        <f t="shared" si="38"/>
        <v>6.6244933333333318</v>
      </c>
    </row>
    <row r="163" spans="2:12" x14ac:dyDescent="0.3">
      <c r="B163" s="154" t="s">
        <v>7</v>
      </c>
      <c r="C163" s="137">
        <f t="shared" ref="C163:L163" si="39">+C172/C154</f>
        <v>2.9917066666666656</v>
      </c>
      <c r="D163" s="137">
        <f t="shared" si="39"/>
        <v>2.9917066666666656</v>
      </c>
      <c r="E163" s="137">
        <f t="shared" si="39"/>
        <v>2.9917066666666665</v>
      </c>
      <c r="F163" s="137">
        <f t="shared" si="39"/>
        <v>2.9917066666666656</v>
      </c>
      <c r="G163" s="137">
        <f t="shared" si="39"/>
        <v>2.9917066666666665</v>
      </c>
      <c r="H163" s="137">
        <f t="shared" si="39"/>
        <v>2.9917066666666665</v>
      </c>
      <c r="I163" s="137">
        <f t="shared" si="39"/>
        <v>2.9917066666666665</v>
      </c>
      <c r="J163" s="137">
        <f t="shared" si="39"/>
        <v>2.9917066666666656</v>
      </c>
      <c r="K163" s="137">
        <f t="shared" si="39"/>
        <v>2.9917066666666661</v>
      </c>
      <c r="L163" s="155">
        <f t="shared" si="39"/>
        <v>2.9917066666666665</v>
      </c>
    </row>
    <row r="164" spans="2:12" ht="30.6" customHeight="1" x14ac:dyDescent="0.3">
      <c r="B164" s="133" t="s">
        <v>8</v>
      </c>
      <c r="C164" s="137">
        <f t="shared" ref="C164:L164" si="40">+C173/C155</f>
        <v>6.6244933333333327</v>
      </c>
      <c r="D164" s="137">
        <f t="shared" si="40"/>
        <v>6.6244933333333327</v>
      </c>
      <c r="E164" s="137">
        <f t="shared" si="40"/>
        <v>6.6244933333333318</v>
      </c>
      <c r="F164" s="137">
        <f t="shared" si="40"/>
        <v>6.6244933333333327</v>
      </c>
      <c r="G164" s="137">
        <f t="shared" si="40"/>
        <v>6.6244933333333327</v>
      </c>
      <c r="H164" s="137">
        <f t="shared" si="40"/>
        <v>6.6244933333333318</v>
      </c>
      <c r="I164" s="137">
        <f t="shared" si="40"/>
        <v>6.6244933333333318</v>
      </c>
      <c r="J164" s="137">
        <f t="shared" si="40"/>
        <v>6.6244933333333327</v>
      </c>
      <c r="K164" s="137">
        <f t="shared" si="40"/>
        <v>6.6244933333333336</v>
      </c>
      <c r="L164" s="138">
        <f t="shared" si="40"/>
        <v>6.6244933333333327</v>
      </c>
    </row>
    <row r="165" spans="2:12" ht="22.8" customHeight="1" x14ac:dyDescent="0.3">
      <c r="B165" s="133" t="s">
        <v>9</v>
      </c>
      <c r="C165" s="137">
        <f t="shared" ref="C165:L165" si="41">+C174/C156</f>
        <v>6.6244933333333309</v>
      </c>
      <c r="D165" s="137">
        <f t="shared" si="41"/>
        <v>6.6244933333333309</v>
      </c>
      <c r="E165" s="137">
        <f t="shared" si="41"/>
        <v>6.6244933333333336</v>
      </c>
      <c r="F165" s="137">
        <f t="shared" si="41"/>
        <v>6.6244933333333309</v>
      </c>
      <c r="G165" s="137">
        <f t="shared" si="41"/>
        <v>6.6244933333333318</v>
      </c>
      <c r="H165" s="137">
        <f t="shared" si="41"/>
        <v>6.6244933333333336</v>
      </c>
      <c r="I165" s="137">
        <f t="shared" si="41"/>
        <v>6.6244933333333318</v>
      </c>
      <c r="J165" s="137">
        <f t="shared" si="41"/>
        <v>6.6244933333333309</v>
      </c>
      <c r="K165" s="137">
        <f t="shared" si="41"/>
        <v>6.6244933333333327</v>
      </c>
      <c r="L165" s="138">
        <f t="shared" si="41"/>
        <v>6.6244933333333318</v>
      </c>
    </row>
    <row r="166" spans="2:12" ht="15" thickBot="1" x14ac:dyDescent="0.35">
      <c r="B166" s="139" t="s">
        <v>10</v>
      </c>
      <c r="C166" s="140">
        <f t="shared" ref="C166:L166" si="42">+C175/C157</f>
        <v>6.6244933333333318</v>
      </c>
      <c r="D166" s="140">
        <f t="shared" si="42"/>
        <v>6.6244933333333318</v>
      </c>
      <c r="E166" s="140">
        <f t="shared" si="42"/>
        <v>6.6244933333333336</v>
      </c>
      <c r="F166" s="140">
        <f t="shared" si="42"/>
        <v>6.6244933333333318</v>
      </c>
      <c r="G166" s="140">
        <f t="shared" si="42"/>
        <v>6.6244933333333318</v>
      </c>
      <c r="H166" s="140">
        <f t="shared" si="42"/>
        <v>6.6244933333333336</v>
      </c>
      <c r="I166" s="140">
        <f t="shared" si="42"/>
        <v>6.6244933333333318</v>
      </c>
      <c r="J166" s="140">
        <f t="shared" si="42"/>
        <v>6.6244933333333318</v>
      </c>
      <c r="K166" s="140">
        <f t="shared" si="42"/>
        <v>6.6244933333333336</v>
      </c>
      <c r="L166" s="141">
        <f t="shared" si="42"/>
        <v>6.6244933333333318</v>
      </c>
    </row>
    <row r="167" spans="2:12" x14ac:dyDescent="0.3">
      <c r="B167" s="214" t="s">
        <v>146</v>
      </c>
      <c r="C167" s="199"/>
      <c r="D167" s="199"/>
      <c r="E167" s="199"/>
      <c r="F167" s="199"/>
      <c r="G167" s="199"/>
      <c r="H167" s="199"/>
      <c r="I167" s="199"/>
      <c r="J167" s="199"/>
      <c r="K167" s="199"/>
      <c r="L167" s="200"/>
    </row>
    <row r="168" spans="2:12" x14ac:dyDescent="0.3">
      <c r="B168" s="237" t="s">
        <v>2</v>
      </c>
      <c r="C168" s="199">
        <v>0.23710859637345488</v>
      </c>
      <c r="D168" s="199">
        <v>0.47421719274690871</v>
      </c>
      <c r="E168" s="199">
        <v>0.71132578912036293</v>
      </c>
      <c r="F168" s="199">
        <v>0.94843438549381742</v>
      </c>
      <c r="G168" s="199">
        <v>1.1855429818672714</v>
      </c>
      <c r="H168" s="199">
        <v>1.4226515782407259</v>
      </c>
      <c r="I168" s="199">
        <v>1.6597601746141804</v>
      </c>
      <c r="J168" s="199">
        <v>1.8968687709876348</v>
      </c>
      <c r="K168" s="199">
        <v>2.1339773673610889</v>
      </c>
      <c r="L168" s="200">
        <v>2.3710859637345427</v>
      </c>
    </row>
    <row r="169" spans="2:12" x14ac:dyDescent="0.3">
      <c r="B169" s="237" t="s">
        <v>4</v>
      </c>
      <c r="C169" s="199">
        <v>3.6088236334583765</v>
      </c>
      <c r="D169" s="199">
        <v>7.2176472669167531</v>
      </c>
      <c r="E169" s="199">
        <v>10.826470900375131</v>
      </c>
      <c r="F169" s="199">
        <v>14.435294533833506</v>
      </c>
      <c r="G169" s="199">
        <v>18.044118167291888</v>
      </c>
      <c r="H169" s="199">
        <v>21.652941800750263</v>
      </c>
      <c r="I169" s="199">
        <v>25.261765434208638</v>
      </c>
      <c r="J169" s="199">
        <v>28.870589067667012</v>
      </c>
      <c r="K169" s="199">
        <v>32.479412701125398</v>
      </c>
      <c r="L169" s="200">
        <v>36.088236334583776</v>
      </c>
    </row>
    <row r="170" spans="2:12" x14ac:dyDescent="0.3">
      <c r="B170" s="237" t="s">
        <v>5</v>
      </c>
      <c r="C170" s="199">
        <v>8.132389574003783</v>
      </c>
      <c r="D170" s="199">
        <v>16.264779148007566</v>
      </c>
      <c r="E170" s="199">
        <v>24.39716872201134</v>
      </c>
      <c r="F170" s="199">
        <v>32.529558296015132</v>
      </c>
      <c r="G170" s="199">
        <v>40.661947870018906</v>
      </c>
      <c r="H170" s="199">
        <v>48.79433744402268</v>
      </c>
      <c r="I170" s="199">
        <v>56.926727018026483</v>
      </c>
      <c r="J170" s="199">
        <v>65.059116592030264</v>
      </c>
      <c r="K170" s="199">
        <v>73.191506166034017</v>
      </c>
      <c r="L170" s="200">
        <v>81.323895740037813</v>
      </c>
    </row>
    <row r="171" spans="2:12" x14ac:dyDescent="0.3">
      <c r="B171" s="237" t="s">
        <v>6</v>
      </c>
      <c r="C171" s="199">
        <v>24.394385996836046</v>
      </c>
      <c r="D171" s="199">
        <v>48.788771993672093</v>
      </c>
      <c r="E171" s="199">
        <v>73.18315799050815</v>
      </c>
      <c r="F171" s="199">
        <v>97.577543987344185</v>
      </c>
      <c r="G171" s="199">
        <v>121.97192998418021</v>
      </c>
      <c r="H171" s="199">
        <v>146.3663159810163</v>
      </c>
      <c r="I171" s="199">
        <v>170.76070197785231</v>
      </c>
      <c r="J171" s="199">
        <v>195.15508797468837</v>
      </c>
      <c r="K171" s="199">
        <v>219.54947397152438</v>
      </c>
      <c r="L171" s="200">
        <v>243.94385996836041</v>
      </c>
    </row>
    <row r="172" spans="2:12" x14ac:dyDescent="0.3">
      <c r="B172" s="239" t="s">
        <v>7</v>
      </c>
      <c r="C172" s="199">
        <v>1.0955005904481099</v>
      </c>
      <c r="D172" s="199">
        <v>2.1910011808962198</v>
      </c>
      <c r="E172" s="199">
        <v>3.2865017713443305</v>
      </c>
      <c r="F172" s="199">
        <v>4.3820023617924395</v>
      </c>
      <c r="G172" s="199">
        <v>5.4775029522405507</v>
      </c>
      <c r="H172" s="199">
        <v>6.573003542688661</v>
      </c>
      <c r="I172" s="199">
        <v>7.6685041331367705</v>
      </c>
      <c r="J172" s="199">
        <v>8.764004723584879</v>
      </c>
      <c r="K172" s="199">
        <v>9.8595053140329902</v>
      </c>
      <c r="L172" s="200">
        <v>10.955005904481101</v>
      </c>
    </row>
    <row r="173" spans="2:12" x14ac:dyDescent="0.3">
      <c r="B173" s="206" t="s">
        <v>8</v>
      </c>
      <c r="C173" s="199">
        <v>243.39045011477452</v>
      </c>
      <c r="D173" s="199">
        <v>486.78090022954905</v>
      </c>
      <c r="E173" s="199">
        <v>730.1713503443234</v>
      </c>
      <c r="F173" s="199">
        <v>973.56180045909809</v>
      </c>
      <c r="G173" s="199">
        <v>1216.9522505738723</v>
      </c>
      <c r="H173" s="199">
        <v>1460.3427006886468</v>
      </c>
      <c r="I173" s="199">
        <v>1703.7331508034215</v>
      </c>
      <c r="J173" s="199">
        <v>1947.1236009181962</v>
      </c>
      <c r="K173" s="199">
        <v>2190.5140510329707</v>
      </c>
      <c r="L173" s="200">
        <v>2433.9045011477447</v>
      </c>
    </row>
    <row r="174" spans="2:12" x14ac:dyDescent="0.3">
      <c r="B174" s="206" t="s">
        <v>9</v>
      </c>
      <c r="C174" s="199">
        <v>4.7441131936817298</v>
      </c>
      <c r="D174" s="199">
        <v>9.4882263873634596</v>
      </c>
      <c r="E174" s="199">
        <v>14.232339581045194</v>
      </c>
      <c r="F174" s="199">
        <v>18.976452774726919</v>
      </c>
      <c r="G174" s="199">
        <v>23.72056596840865</v>
      </c>
      <c r="H174" s="199">
        <v>28.464679162090388</v>
      </c>
      <c r="I174" s="199">
        <v>33.208792355772111</v>
      </c>
      <c r="J174" s="199">
        <v>37.952905549453838</v>
      </c>
      <c r="K174" s="199">
        <v>42.697018743135573</v>
      </c>
      <c r="L174" s="200">
        <v>47.4411319368173</v>
      </c>
    </row>
    <row r="175" spans="2:12" ht="15" thickBot="1" x14ac:dyDescent="0.35">
      <c r="B175" s="207" t="s">
        <v>10</v>
      </c>
      <c r="C175" s="201">
        <v>9.0325278306350221</v>
      </c>
      <c r="D175" s="201">
        <v>18.065055661270044</v>
      </c>
      <c r="E175" s="201">
        <v>27.09758349190507</v>
      </c>
      <c r="F175" s="201">
        <v>36.130111322540088</v>
      </c>
      <c r="G175" s="201">
        <v>45.162639153175114</v>
      </c>
      <c r="H175" s="201">
        <v>54.19516698381014</v>
      </c>
      <c r="I175" s="201">
        <v>63.227694814445158</v>
      </c>
      <c r="J175" s="201">
        <v>72.260222645080177</v>
      </c>
      <c r="K175" s="201">
        <v>81.292750475715209</v>
      </c>
      <c r="L175" s="202">
        <v>90.325278306350228</v>
      </c>
    </row>
    <row r="176" spans="2:12" x14ac:dyDescent="0.3">
      <c r="C176" s="304">
        <f>+SUM(C168:C175)</f>
        <v>294.63529953021111</v>
      </c>
      <c r="D176" s="304">
        <f t="shared" ref="D176:L176" si="43">+SUM(D168:D175)</f>
        <v>589.27059906042223</v>
      </c>
      <c r="E176" s="304">
        <f t="shared" si="43"/>
        <v>883.905898590633</v>
      </c>
      <c r="F176" s="304">
        <f t="shared" si="43"/>
        <v>1178.5411981208445</v>
      </c>
      <c r="G176" s="304">
        <f t="shared" si="43"/>
        <v>1473.1764976510549</v>
      </c>
      <c r="H176" s="304">
        <f t="shared" si="43"/>
        <v>1767.811797181266</v>
      </c>
      <c r="I176" s="304">
        <f t="shared" si="43"/>
        <v>2062.4470967114771</v>
      </c>
      <c r="J176" s="304">
        <f t="shared" si="43"/>
        <v>2357.0823962416889</v>
      </c>
      <c r="K176" s="304">
        <f t="shared" si="43"/>
        <v>2651.7176957718998</v>
      </c>
      <c r="L176" s="304">
        <f t="shared" si="43"/>
        <v>2946.3529953021098</v>
      </c>
    </row>
    <row r="178" spans="3:12" x14ac:dyDescent="0.3">
      <c r="C178" s="304"/>
      <c r="D178" s="304"/>
      <c r="E178" s="304"/>
      <c r="F178" s="304"/>
      <c r="G178" s="304"/>
      <c r="H178" s="304"/>
      <c r="I178" s="304"/>
      <c r="J178" s="304"/>
      <c r="K178" s="304"/>
      <c r="L178" s="304"/>
    </row>
  </sheetData>
  <mergeCells count="2">
    <mergeCell ref="A110:A118"/>
    <mergeCell ref="A56:A6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03C9B-C7E0-42E8-8991-9BFA405A4643}">
  <sheetPr>
    <tabColor theme="4"/>
  </sheetPr>
  <dimension ref="B1:AD180"/>
  <sheetViews>
    <sheetView topLeftCell="M1" zoomScale="80" zoomScaleNormal="80" workbookViewId="0">
      <pane ySplit="1" topLeftCell="A153" activePane="bottomLeft" state="frozen"/>
      <selection activeCell="R1" sqref="R1"/>
      <selection pane="bottomLeft" activeCell="C156" sqref="C156:AB165"/>
    </sheetView>
  </sheetViews>
  <sheetFormatPr baseColWidth="10" defaultColWidth="11.44140625" defaultRowHeight="14.4" x14ac:dyDescent="0.3"/>
  <cols>
    <col min="2" max="2" width="43.77734375" customWidth="1"/>
    <col min="3" max="28" width="15.109375" bestFit="1" customWidth="1"/>
  </cols>
  <sheetData>
    <row r="1" spans="2:28" ht="15" thickBot="1" x14ac:dyDescent="0.35">
      <c r="B1" s="182" t="s">
        <v>130</v>
      </c>
      <c r="C1" s="183">
        <v>2010</v>
      </c>
      <c r="D1" s="183">
        <v>2011</v>
      </c>
      <c r="E1" s="183">
        <v>2012</v>
      </c>
      <c r="F1" s="183">
        <v>2013</v>
      </c>
      <c r="G1" s="183">
        <v>2014</v>
      </c>
      <c r="H1" s="183">
        <v>2015</v>
      </c>
      <c r="I1" s="183">
        <v>2016</v>
      </c>
      <c r="J1" s="183">
        <v>2017</v>
      </c>
      <c r="K1" s="183">
        <v>2018</v>
      </c>
      <c r="L1" s="183">
        <v>2019</v>
      </c>
      <c r="M1" s="183">
        <v>2020</v>
      </c>
      <c r="N1" s="183">
        <v>2021</v>
      </c>
      <c r="O1" s="183">
        <v>2022</v>
      </c>
      <c r="P1" s="183">
        <v>2023</v>
      </c>
      <c r="Q1" s="183">
        <v>2024</v>
      </c>
      <c r="R1" s="183">
        <v>2025</v>
      </c>
      <c r="S1" s="183">
        <v>2026</v>
      </c>
      <c r="T1" s="183">
        <v>2027</v>
      </c>
      <c r="U1" s="183">
        <v>2028</v>
      </c>
      <c r="V1" s="183">
        <v>2029</v>
      </c>
      <c r="W1" s="183">
        <v>2030</v>
      </c>
      <c r="X1" s="183">
        <v>2031</v>
      </c>
      <c r="Y1" s="183">
        <v>2032</v>
      </c>
      <c r="Z1" s="183">
        <v>2033</v>
      </c>
      <c r="AA1" s="183">
        <v>2034</v>
      </c>
      <c r="AB1" s="184">
        <v>2035</v>
      </c>
    </row>
    <row r="2" spans="2:28" ht="15" thickBot="1" x14ac:dyDescent="0.35">
      <c r="B2" s="131" t="s">
        <v>165</v>
      </c>
      <c r="C2" s="52"/>
      <c r="D2" s="52"/>
      <c r="E2" s="52"/>
      <c r="F2" s="52"/>
      <c r="G2" s="52"/>
      <c r="H2" s="52"/>
      <c r="I2" s="52"/>
      <c r="J2" s="52"/>
      <c r="K2" s="52"/>
      <c r="L2" s="52"/>
      <c r="M2" s="52"/>
      <c r="N2" s="52"/>
      <c r="O2" s="52"/>
      <c r="P2" s="52"/>
      <c r="Q2" s="52"/>
      <c r="R2" s="52"/>
      <c r="S2" s="52"/>
      <c r="T2" s="52"/>
      <c r="U2" s="52"/>
      <c r="V2" s="52"/>
      <c r="W2" s="52"/>
      <c r="X2" s="52"/>
      <c r="Y2" s="52"/>
      <c r="Z2" s="52"/>
      <c r="AA2" s="52"/>
      <c r="AB2" s="52"/>
    </row>
    <row r="3" spans="2:28" ht="15" thickBot="1" x14ac:dyDescent="0.35">
      <c r="B3" s="142" t="s">
        <v>166</v>
      </c>
      <c r="C3" s="337">
        <f>+DATOS_INGEI!C3/1000</f>
        <v>-14847.231389105997</v>
      </c>
      <c r="D3" s="337">
        <f>+DATOS_INGEI!D3/1000</f>
        <v>-16094.970144438628</v>
      </c>
      <c r="E3" s="337">
        <f>+DATOS_INGEI!E3/1000</f>
        <v>-17342.70889977126</v>
      </c>
      <c r="F3" s="337">
        <f>+DATOS_INGEI!F3/1000</f>
        <v>-18167.069473224245</v>
      </c>
      <c r="G3" s="337">
        <f>+DATOS_INGEI!G3/1000</f>
        <v>-18991.430046677237</v>
      </c>
      <c r="H3" s="337">
        <f>+DATOS_INGEI!H3/1000</f>
        <v>-18595.446144527188</v>
      </c>
      <c r="I3" s="337">
        <f>+DATOS_INGEI!I3/1000</f>
        <v>-18199.462242377147</v>
      </c>
      <c r="J3" s="337">
        <f>+DATOS_INGEI!J3/1000</f>
        <v>-19541.652593002706</v>
      </c>
      <c r="K3" s="337">
        <f>+DATOS_INGEI!K3/1000</f>
        <v>-20883.842943628264</v>
      </c>
      <c r="L3" s="337">
        <f>+DATOS_INGEI!L3/1000</f>
        <v>-21497.47159225541</v>
      </c>
      <c r="M3" s="337">
        <f>+DATOS_INGEI!M3/1000</f>
        <v>-21095.745220344306</v>
      </c>
      <c r="N3" s="337">
        <f>+DATOS_INGEI!N3/1000</f>
        <v>-18176.499946502554</v>
      </c>
      <c r="O3" s="337">
        <f>+DATOS_INGEI!O3/1000</f>
        <v>-16962.798101735618</v>
      </c>
      <c r="P3" s="338">
        <f>+SUM(P4:P13)</f>
        <v>-16145.5878944164</v>
      </c>
      <c r="Q3" s="338">
        <f t="shared" ref="Q3:AA3" si="0">+SUM(Q4:Q13)</f>
        <v>-16137.676556348135</v>
      </c>
      <c r="R3" s="338">
        <f t="shared" si="0"/>
        <v>-16129.769094835523</v>
      </c>
      <c r="S3" s="338">
        <f t="shared" si="0"/>
        <v>-16121.865507979055</v>
      </c>
      <c r="T3" s="338">
        <f t="shared" si="0"/>
        <v>-16113.965793880143</v>
      </c>
      <c r="U3" s="338">
        <f t="shared" si="0"/>
        <v>-16106.069950641147</v>
      </c>
      <c r="V3" s="338">
        <f t="shared" si="0"/>
        <v>-16098.177976365339</v>
      </c>
      <c r="W3" s="338">
        <f t="shared" si="0"/>
        <v>-16090.289869156912</v>
      </c>
      <c r="X3" s="338">
        <f t="shared" si="0"/>
        <v>-16082.405627121028</v>
      </c>
      <c r="Y3" s="338">
        <f t="shared" si="0"/>
        <v>-16074.525248363738</v>
      </c>
      <c r="Z3" s="338">
        <f t="shared" si="0"/>
        <v>-16066.648730992039</v>
      </c>
      <c r="AA3" s="338">
        <f t="shared" si="0"/>
        <v>-16058.776073113851</v>
      </c>
      <c r="AB3" s="339">
        <f>+SUM(AB4:AB13)</f>
        <v>-16050.907272838029</v>
      </c>
    </row>
    <row r="4" spans="2:28" x14ac:dyDescent="0.3">
      <c r="B4" s="191" t="s">
        <v>2</v>
      </c>
      <c r="C4" s="340">
        <v>579.03736033432097</v>
      </c>
      <c r="D4" s="340">
        <f>+(C4+E4)/2</f>
        <v>559.34172619697119</v>
      </c>
      <c r="E4" s="340">
        <v>539.64609205962154</v>
      </c>
      <c r="F4" s="340">
        <f>+(E4+G4)/2</f>
        <v>527.22631848422463</v>
      </c>
      <c r="G4" s="340">
        <v>514.80654490882773</v>
      </c>
      <c r="H4" s="340">
        <f>+(G4+I4)/2</f>
        <v>488.40945038702097</v>
      </c>
      <c r="I4" s="340">
        <v>462.0123558652142</v>
      </c>
      <c r="J4" s="340">
        <f>+(I4+K4)/2</f>
        <v>451.16741760763625</v>
      </c>
      <c r="K4" s="341">
        <v>440.32247935005825</v>
      </c>
      <c r="L4" s="341">
        <v>389.43123602278115</v>
      </c>
      <c r="M4" s="341">
        <v>366.95631645383241</v>
      </c>
      <c r="N4" s="341">
        <v>347.43075603684241</v>
      </c>
      <c r="O4" s="341">
        <v>325.79264749568898</v>
      </c>
      <c r="P4" s="342">
        <f>+P15*P26</f>
        <v>442.80466402089974</v>
      </c>
      <c r="Q4" s="342">
        <f t="shared" ref="Q4:AB4" si="1">+Q15*Q26</f>
        <v>442.58768973552952</v>
      </c>
      <c r="R4" s="342">
        <f t="shared" si="1"/>
        <v>442.37082176755911</v>
      </c>
      <c r="S4" s="342">
        <f t="shared" si="1"/>
        <v>442.15406006489303</v>
      </c>
      <c r="T4" s="342">
        <f t="shared" si="1"/>
        <v>441.93740457546119</v>
      </c>
      <c r="U4" s="342">
        <f t="shared" si="1"/>
        <v>441.72085524721922</v>
      </c>
      <c r="V4" s="342">
        <f t="shared" si="1"/>
        <v>441.50441202814807</v>
      </c>
      <c r="W4" s="342">
        <f t="shared" si="1"/>
        <v>441.28807486625431</v>
      </c>
      <c r="X4" s="342">
        <f t="shared" si="1"/>
        <v>441.07184370956981</v>
      </c>
      <c r="Y4" s="342">
        <f t="shared" si="1"/>
        <v>440.85571850615219</v>
      </c>
      <c r="Z4" s="342">
        <f t="shared" si="1"/>
        <v>440.63969920408414</v>
      </c>
      <c r="AA4" s="342">
        <f t="shared" si="1"/>
        <v>440.4237857514741</v>
      </c>
      <c r="AB4" s="343">
        <f t="shared" si="1"/>
        <v>440.20797809645592</v>
      </c>
    </row>
    <row r="5" spans="2:28" x14ac:dyDescent="0.3">
      <c r="B5" s="185" t="s">
        <v>4</v>
      </c>
      <c r="C5" s="344">
        <v>39.969449537576146</v>
      </c>
      <c r="D5" s="344">
        <f t="shared" ref="D5:F13" si="2">+(C5+E5)/2</f>
        <v>19.06896098646747</v>
      </c>
      <c r="E5" s="344">
        <v>-1.8315275646412046</v>
      </c>
      <c r="F5" s="344">
        <f t="shared" si="2"/>
        <v>-17.908789453281003</v>
      </c>
      <c r="G5" s="344">
        <v>-33.986051341920799</v>
      </c>
      <c r="H5" s="344">
        <f t="shared" ref="H5" si="3">+(G5+I5)/2</f>
        <v>-46.567242236162173</v>
      </c>
      <c r="I5" s="344">
        <v>-59.148433130403554</v>
      </c>
      <c r="J5" s="344">
        <f t="shared" ref="J5" si="4">+(I5+K5)/2</f>
        <v>-64.633069685494888</v>
      </c>
      <c r="K5" s="345">
        <v>-70.11770624058623</v>
      </c>
      <c r="L5" s="345">
        <v>-92.74070393501411</v>
      </c>
      <c r="M5" s="345">
        <v>-103.48563693280376</v>
      </c>
      <c r="N5" s="345">
        <v>-112.66457887836856</v>
      </c>
      <c r="O5" s="345">
        <v>-122.57691558322885</v>
      </c>
      <c r="P5" s="346">
        <f t="shared" ref="P5:P13" si="5">+P16*P27</f>
        <v>-50.530525245379508</v>
      </c>
      <c r="Q5" s="346">
        <f t="shared" ref="Q5:AB5" si="6">+Q16*Q27</f>
        <v>-50.505765288009286</v>
      </c>
      <c r="R5" s="346">
        <f t="shared" si="6"/>
        <v>-50.481017463018162</v>
      </c>
      <c r="S5" s="346">
        <f t="shared" si="6"/>
        <v>-50.456281764461266</v>
      </c>
      <c r="T5" s="346">
        <f t="shared" si="6"/>
        <v>-50.431558186396693</v>
      </c>
      <c r="U5" s="346">
        <f t="shared" si="6"/>
        <v>-50.406846722885355</v>
      </c>
      <c r="V5" s="346">
        <f t="shared" si="6"/>
        <v>-50.382147367991138</v>
      </c>
      <c r="W5" s="346">
        <f t="shared" si="6"/>
        <v>-50.357460115780832</v>
      </c>
      <c r="X5" s="346">
        <f t="shared" si="6"/>
        <v>-50.332784960324098</v>
      </c>
      <c r="Y5" s="346">
        <f t="shared" si="6"/>
        <v>-50.308121895693532</v>
      </c>
      <c r="Z5" s="346">
        <f t="shared" si="6"/>
        <v>-50.283470915964649</v>
      </c>
      <c r="AA5" s="346">
        <f t="shared" si="6"/>
        <v>-50.258832015215816</v>
      </c>
      <c r="AB5" s="347">
        <f t="shared" si="6"/>
        <v>-50.234205187528367</v>
      </c>
    </row>
    <row r="6" spans="2:28" x14ac:dyDescent="0.3">
      <c r="B6" s="185" t="s">
        <v>5</v>
      </c>
      <c r="C6" s="344">
        <v>-534.23847326347197</v>
      </c>
      <c r="D6" s="344">
        <f t="shared" si="2"/>
        <v>-572.92933846342362</v>
      </c>
      <c r="E6" s="344">
        <v>-611.62020366337515</v>
      </c>
      <c r="F6" s="344">
        <f t="shared" si="2"/>
        <v>-842.17813035132713</v>
      </c>
      <c r="G6" s="344">
        <v>-1072.7360570392791</v>
      </c>
      <c r="H6" s="344">
        <f>+(G6+I6)/2</f>
        <v>-1195.3081944518544</v>
      </c>
      <c r="I6" s="344">
        <v>-1317.88033186443</v>
      </c>
      <c r="J6" s="344">
        <f t="shared" ref="J6" si="7">+(I6+K6)/2</f>
        <v>-1399.9854568372598</v>
      </c>
      <c r="K6" s="345">
        <v>-1482.0905818100898</v>
      </c>
      <c r="L6" s="345">
        <v>-1689.2302318400596</v>
      </c>
      <c r="M6" s="345">
        <v>-1814.3447010889349</v>
      </c>
      <c r="N6" s="345">
        <v>-1919.5811443433445</v>
      </c>
      <c r="O6" s="345">
        <v>-2008.788537648154</v>
      </c>
      <c r="P6" s="346">
        <f t="shared" si="5"/>
        <v>-1286.7078734698441</v>
      </c>
      <c r="Q6" s="346">
        <f t="shared" ref="Q6:AB6" si="8">+Q17*Q28</f>
        <v>-1286.0773866118441</v>
      </c>
      <c r="R6" s="346">
        <f t="shared" si="8"/>
        <v>-1285.4472086924045</v>
      </c>
      <c r="S6" s="346">
        <f t="shared" si="8"/>
        <v>-1284.817339560145</v>
      </c>
      <c r="T6" s="346">
        <f t="shared" si="8"/>
        <v>-1284.1877790637604</v>
      </c>
      <c r="U6" s="346">
        <f t="shared" si="8"/>
        <v>-1283.5585270520194</v>
      </c>
      <c r="V6" s="346">
        <f t="shared" si="8"/>
        <v>-1282.929583373764</v>
      </c>
      <c r="W6" s="346">
        <f t="shared" si="8"/>
        <v>-1282.3009478779106</v>
      </c>
      <c r="X6" s="346">
        <f t="shared" si="8"/>
        <v>-1281.6726204134507</v>
      </c>
      <c r="Y6" s="346">
        <f t="shared" si="8"/>
        <v>-1281.0446008294477</v>
      </c>
      <c r="Z6" s="346">
        <f t="shared" si="8"/>
        <v>-1280.4168889750415</v>
      </c>
      <c r="AA6" s="346">
        <f t="shared" si="8"/>
        <v>-1279.7894846994438</v>
      </c>
      <c r="AB6" s="347">
        <f t="shared" si="8"/>
        <v>-1279.1623878519413</v>
      </c>
    </row>
    <row r="7" spans="2:28" x14ac:dyDescent="0.3">
      <c r="B7" s="185" t="s">
        <v>6</v>
      </c>
      <c r="C7" s="344">
        <v>-1181.4235776575326</v>
      </c>
      <c r="D7" s="344">
        <f t="shared" si="2"/>
        <v>-1214.8864196896488</v>
      </c>
      <c r="E7" s="344">
        <v>-1248.3492617217651</v>
      </c>
      <c r="F7" s="344">
        <f t="shared" si="2"/>
        <v>-1488.5877176607737</v>
      </c>
      <c r="G7" s="344">
        <v>-1728.8261735997821</v>
      </c>
      <c r="H7" s="344">
        <f t="shared" ref="H7" si="9">+(G7+I7)/2</f>
        <v>-1804.9698705439096</v>
      </c>
      <c r="I7" s="344">
        <v>-1881.113567488037</v>
      </c>
      <c r="J7" s="344">
        <f t="shared" ref="J7" si="10">+(I7+K7)/2</f>
        <v>-1973.336063737522</v>
      </c>
      <c r="K7" s="345">
        <v>-2065.5585599870069</v>
      </c>
      <c r="L7" s="345">
        <v>-2128.0948010888228</v>
      </c>
      <c r="M7" s="345">
        <v>-2200.083017607813</v>
      </c>
      <c r="N7" s="345">
        <v>-2196.522776566529</v>
      </c>
      <c r="O7" s="345">
        <v>-2233.1203939816373</v>
      </c>
      <c r="P7" s="346">
        <f t="shared" si="5"/>
        <v>-1827.6935325189802</v>
      </c>
      <c r="Q7" s="346">
        <f t="shared" ref="Q7:AB7" si="11">+Q18*Q29</f>
        <v>-1826.7979626880458</v>
      </c>
      <c r="R7" s="346">
        <f t="shared" si="11"/>
        <v>-1825.9028316863285</v>
      </c>
      <c r="S7" s="346">
        <f t="shared" si="11"/>
        <v>-1825.0081392988025</v>
      </c>
      <c r="T7" s="346">
        <f t="shared" si="11"/>
        <v>-1824.1138853105463</v>
      </c>
      <c r="U7" s="346">
        <f t="shared" si="11"/>
        <v>-1823.2200695067436</v>
      </c>
      <c r="V7" s="346">
        <f t="shared" si="11"/>
        <v>-1822.3266916726855</v>
      </c>
      <c r="W7" s="346">
        <f t="shared" si="11"/>
        <v>-1821.4337515937657</v>
      </c>
      <c r="X7" s="346">
        <f t="shared" si="11"/>
        <v>-1820.541249055485</v>
      </c>
      <c r="Y7" s="346">
        <f t="shared" si="11"/>
        <v>-1819.6491838434474</v>
      </c>
      <c r="Z7" s="346">
        <f t="shared" si="11"/>
        <v>-1818.7575557433647</v>
      </c>
      <c r="AA7" s="346">
        <f t="shared" si="11"/>
        <v>-1817.8663645410502</v>
      </c>
      <c r="AB7" s="347">
        <f t="shared" si="11"/>
        <v>-1816.9756100224254</v>
      </c>
    </row>
    <row r="8" spans="2:28" x14ac:dyDescent="0.3">
      <c r="B8" s="185" t="s">
        <v>7</v>
      </c>
      <c r="C8" s="344">
        <v>161.81217926917398</v>
      </c>
      <c r="D8" s="344">
        <f t="shared" si="2"/>
        <v>178.08191045495752</v>
      </c>
      <c r="E8" s="344">
        <v>194.35164164074106</v>
      </c>
      <c r="F8" s="344">
        <f t="shared" si="2"/>
        <v>97.350494595104962</v>
      </c>
      <c r="G8" s="344">
        <v>0.34934754946886099</v>
      </c>
      <c r="H8" s="344">
        <f t="shared" ref="H8" si="12">+(G8+I8)/2</f>
        <v>-45.581548435102128</v>
      </c>
      <c r="I8" s="344">
        <v>-91.512444419673116</v>
      </c>
      <c r="J8" s="344">
        <f t="shared" ref="J8" si="13">+(I8+K8)/2</f>
        <v>-159.07868562759342</v>
      </c>
      <c r="K8" s="345">
        <v>-226.64492683551373</v>
      </c>
      <c r="L8" s="345">
        <v>-296.39105152448599</v>
      </c>
      <c r="M8" s="345">
        <v>-354.36054225830554</v>
      </c>
      <c r="N8" s="345">
        <v>-395.14499648911033</v>
      </c>
      <c r="O8" s="345">
        <v>-424.74716457252458</v>
      </c>
      <c r="P8" s="346">
        <f t="shared" si="5"/>
        <v>-99.217375756423607</v>
      </c>
      <c r="Q8" s="346">
        <f t="shared" ref="Q8:AB8" si="14">+Q19*Q30</f>
        <v>-99.168759242302954</v>
      </c>
      <c r="R8" s="346">
        <f t="shared" si="14"/>
        <v>-99.120166550274234</v>
      </c>
      <c r="S8" s="346">
        <f t="shared" si="14"/>
        <v>-99.071597668664594</v>
      </c>
      <c r="T8" s="346">
        <f t="shared" si="14"/>
        <v>-99.023052585806965</v>
      </c>
      <c r="U8" s="346">
        <f t="shared" si="14"/>
        <v>-98.97453129003992</v>
      </c>
      <c r="V8" s="346">
        <f t="shared" si="14"/>
        <v>-98.9260337697078</v>
      </c>
      <c r="W8" s="346">
        <f t="shared" si="14"/>
        <v>-98.877560013160632</v>
      </c>
      <c r="X8" s="346">
        <f t="shared" si="14"/>
        <v>-98.829110008754171</v>
      </c>
      <c r="Y8" s="346">
        <f t="shared" si="14"/>
        <v>-98.780683744849895</v>
      </c>
      <c r="Z8" s="346">
        <f t="shared" si="14"/>
        <v>-98.732281209814914</v>
      </c>
      <c r="AA8" s="346">
        <f t="shared" si="14"/>
        <v>-98.683902392022105</v>
      </c>
      <c r="AB8" s="347">
        <f t="shared" si="14"/>
        <v>-98.635547279850016</v>
      </c>
    </row>
    <row r="9" spans="2:28" x14ac:dyDescent="0.3">
      <c r="B9" s="185" t="s">
        <v>8</v>
      </c>
      <c r="C9" s="344">
        <v>-12706.92036954073</v>
      </c>
      <c r="D9" s="344">
        <f t="shared" si="2"/>
        <v>-14247.562488586158</v>
      </c>
      <c r="E9" s="344">
        <v>-15788.204607631586</v>
      </c>
      <c r="F9" s="344">
        <f t="shared" si="2"/>
        <v>-16408.882687839126</v>
      </c>
      <c r="G9" s="344">
        <v>-17029.560768046671</v>
      </c>
      <c r="H9" s="344">
        <f t="shared" ref="H9" si="15">+(G9+I9)/2</f>
        <v>-17397.60676700043</v>
      </c>
      <c r="I9" s="344">
        <v>-17765.65276595419</v>
      </c>
      <c r="J9" s="344">
        <f t="shared" ref="J9" si="16">+(I9+K9)/2</f>
        <v>-18286.478671660545</v>
      </c>
      <c r="K9" s="345">
        <v>-18807.304577366896</v>
      </c>
      <c r="L9" s="345">
        <v>-18373.216469516909</v>
      </c>
      <c r="M9" s="345">
        <v>-18325.0881341932</v>
      </c>
      <c r="N9" s="345">
        <v>-17649.083167386845</v>
      </c>
      <c r="O9" s="345">
        <v>-17559.328131734452</v>
      </c>
      <c r="P9" s="346">
        <f t="shared" si="5"/>
        <v>-17472.110676310273</v>
      </c>
      <c r="Q9" s="346">
        <f t="shared" ref="Q9:AB9" si="17">+Q20*Q31</f>
        <v>-17463.549342078881</v>
      </c>
      <c r="R9" s="346">
        <f t="shared" si="17"/>
        <v>-17454.992202901263</v>
      </c>
      <c r="S9" s="346">
        <f t="shared" si="17"/>
        <v>-17446.439256721842</v>
      </c>
      <c r="T9" s="346">
        <f t="shared" si="17"/>
        <v>-17437.890501486047</v>
      </c>
      <c r="U9" s="346">
        <f t="shared" si="17"/>
        <v>-17429.345935140318</v>
      </c>
      <c r="V9" s="346">
        <f t="shared" si="17"/>
        <v>-17420.805555632105</v>
      </c>
      <c r="W9" s="346">
        <f t="shared" si="17"/>
        <v>-17412.269360909842</v>
      </c>
      <c r="X9" s="346">
        <f t="shared" si="17"/>
        <v>-17403.737348922994</v>
      </c>
      <c r="Y9" s="346">
        <f t="shared" si="17"/>
        <v>-17395.209517622025</v>
      </c>
      <c r="Z9" s="346">
        <f t="shared" si="17"/>
        <v>-17386.685864958388</v>
      </c>
      <c r="AA9" s="346">
        <f t="shared" si="17"/>
        <v>-17378.166388884561</v>
      </c>
      <c r="AB9" s="347">
        <f t="shared" si="17"/>
        <v>-17369.651087354006</v>
      </c>
    </row>
    <row r="10" spans="2:28" x14ac:dyDescent="0.3">
      <c r="B10" s="185" t="s">
        <v>9</v>
      </c>
      <c r="C10" s="344">
        <v>-1147.375418883591</v>
      </c>
      <c r="D10" s="344">
        <f t="shared" si="2"/>
        <v>-1220.8004296784884</v>
      </c>
      <c r="E10" s="344">
        <v>-1294.225440473386</v>
      </c>
      <c r="F10" s="344">
        <f t="shared" si="2"/>
        <v>-1362.157694916913</v>
      </c>
      <c r="G10" s="344">
        <v>-1430.0899493604402</v>
      </c>
      <c r="H10" s="344">
        <f t="shared" ref="H10" si="18">+(G10+I10)/2</f>
        <v>-1425.5927220286828</v>
      </c>
      <c r="I10" s="344">
        <v>-1421.0954946969255</v>
      </c>
      <c r="J10" s="344">
        <f t="shared" ref="J10" si="19">+(I10+K10)/2</f>
        <v>-1432.6693223338725</v>
      </c>
      <c r="K10" s="345">
        <v>-1444.2431499708198</v>
      </c>
      <c r="L10" s="345">
        <v>-1389.718488677752</v>
      </c>
      <c r="M10" s="345">
        <v>-1388.2123424835872</v>
      </c>
      <c r="N10" s="345">
        <v>-1239.0782594575433</v>
      </c>
      <c r="O10" s="345">
        <v>-1230.2294495346243</v>
      </c>
      <c r="P10" s="346">
        <f t="shared" si="5"/>
        <v>-1232.8781316505033</v>
      </c>
      <c r="Q10" s="346">
        <f t="shared" ref="Q10:AB10" si="20">+Q21*Q32</f>
        <v>-1232.2740213659945</v>
      </c>
      <c r="R10" s="346">
        <f t="shared" si="20"/>
        <v>-1231.670207095525</v>
      </c>
      <c r="S10" s="346">
        <f t="shared" si="20"/>
        <v>-1231.0666886940485</v>
      </c>
      <c r="T10" s="346">
        <f t="shared" si="20"/>
        <v>-1230.4634660165882</v>
      </c>
      <c r="U10" s="346">
        <f t="shared" si="20"/>
        <v>-1229.8605389182401</v>
      </c>
      <c r="V10" s="346">
        <f t="shared" si="20"/>
        <v>-1229.2579072541703</v>
      </c>
      <c r="W10" s="346">
        <f t="shared" si="20"/>
        <v>-1228.6555708796157</v>
      </c>
      <c r="X10" s="346">
        <f t="shared" si="20"/>
        <v>-1228.0535296498847</v>
      </c>
      <c r="Y10" s="346">
        <f t="shared" si="20"/>
        <v>-1227.4517834203562</v>
      </c>
      <c r="Z10" s="346">
        <f t="shared" si="20"/>
        <v>-1226.8503320464802</v>
      </c>
      <c r="AA10" s="346">
        <f t="shared" si="20"/>
        <v>-1226.2491753837774</v>
      </c>
      <c r="AB10" s="347">
        <f t="shared" si="20"/>
        <v>-1225.6483132878393</v>
      </c>
    </row>
    <row r="11" spans="2:28" x14ac:dyDescent="0.3">
      <c r="B11" s="185" t="s">
        <v>10</v>
      </c>
      <c r="C11" s="344">
        <v>-430.52780908133332</v>
      </c>
      <c r="D11" s="344">
        <f t="shared" si="2"/>
        <v>-432.81249746459997</v>
      </c>
      <c r="E11" s="344">
        <v>-435.09718584786663</v>
      </c>
      <c r="F11" s="344">
        <f t="shared" si="2"/>
        <v>-424.67424115966662</v>
      </c>
      <c r="G11" s="344">
        <v>-414.25129647146662</v>
      </c>
      <c r="H11" s="344">
        <f t="shared" ref="H11" si="21">+(G11+I11)/2</f>
        <v>-435.48657356599995</v>
      </c>
      <c r="I11" s="344">
        <v>-456.72185066053322</v>
      </c>
      <c r="J11" s="344">
        <f t="shared" ref="J11" si="22">+(I11+K11)/2</f>
        <v>-454.63195550373331</v>
      </c>
      <c r="K11" s="345">
        <v>-452.5420603469334</v>
      </c>
      <c r="L11" s="345">
        <v>-452.5420603469334</v>
      </c>
      <c r="M11" s="345">
        <v>-452.5420603469334</v>
      </c>
      <c r="N11" s="345">
        <v>-649.77667758666666</v>
      </c>
      <c r="O11" s="345">
        <v>-649.77667758666666</v>
      </c>
      <c r="P11" s="346">
        <f t="shared" si="5"/>
        <v>-649.45828701464916</v>
      </c>
      <c r="Q11" s="346">
        <f t="shared" ref="Q11:AB11" si="23">+Q22*Q33</f>
        <v>-649.14005245401188</v>
      </c>
      <c r="R11" s="346">
        <f t="shared" si="23"/>
        <v>-648.82197382830964</v>
      </c>
      <c r="S11" s="346">
        <f t="shared" si="23"/>
        <v>-648.50405106113362</v>
      </c>
      <c r="T11" s="346">
        <f t="shared" si="23"/>
        <v>-648.18628407611368</v>
      </c>
      <c r="U11" s="346">
        <f t="shared" si="23"/>
        <v>-647.86867279691637</v>
      </c>
      <c r="V11" s="346">
        <f t="shared" si="23"/>
        <v>-647.55121714724589</v>
      </c>
      <c r="W11" s="346">
        <f t="shared" si="23"/>
        <v>-647.23391705084384</v>
      </c>
      <c r="X11" s="346">
        <f t="shared" si="23"/>
        <v>-646.91677243148888</v>
      </c>
      <c r="Y11" s="346">
        <f t="shared" si="23"/>
        <v>-646.59978321299741</v>
      </c>
      <c r="Z11" s="346">
        <f t="shared" si="23"/>
        <v>-646.28294931922312</v>
      </c>
      <c r="AA11" s="346">
        <f t="shared" si="23"/>
        <v>-645.96627067405666</v>
      </c>
      <c r="AB11" s="347">
        <f t="shared" si="23"/>
        <v>-645.64974720142641</v>
      </c>
    </row>
    <row r="12" spans="2:28" x14ac:dyDescent="0.3">
      <c r="B12" s="185" t="s">
        <v>11</v>
      </c>
      <c r="C12" s="344">
        <v>-1764.5768890211687</v>
      </c>
      <c r="D12" s="344">
        <f t="shared" si="2"/>
        <v>-1771.6995445416035</v>
      </c>
      <c r="E12" s="344">
        <v>-1778.8222000620383</v>
      </c>
      <c r="F12" s="344">
        <f t="shared" si="2"/>
        <v>-1809.7109932954343</v>
      </c>
      <c r="G12" s="344">
        <v>-1840.5997865288302</v>
      </c>
      <c r="H12" s="344">
        <f t="shared" ref="H12" si="24">+(G12+I12)/2</f>
        <v>-1886.2657452456829</v>
      </c>
      <c r="I12" s="344">
        <v>-1931.9317039625355</v>
      </c>
      <c r="J12" s="344">
        <f t="shared" ref="J12" si="25">+(I12+K12)/2</f>
        <v>-1946.4168753124318</v>
      </c>
      <c r="K12" s="345">
        <v>-1960.9020466623281</v>
      </c>
      <c r="L12" s="345">
        <v>-1963.9944509835459</v>
      </c>
      <c r="M12" s="345">
        <v>-1965.3041979381057</v>
      </c>
      <c r="N12" s="345">
        <v>-1785.2370573171197</v>
      </c>
      <c r="O12" s="345">
        <v>-1786.5467555496</v>
      </c>
      <c r="P12" s="346">
        <f t="shared" si="5"/>
        <v>-1778.7184170004773</v>
      </c>
      <c r="Q12" s="346">
        <f t="shared" ref="Q12:AB12" si="26">+Q23*Q34</f>
        <v>-1777.8468449761465</v>
      </c>
      <c r="R12" s="346">
        <f t="shared" si="26"/>
        <v>-1776.9757000221086</v>
      </c>
      <c r="S12" s="346">
        <f t="shared" si="26"/>
        <v>-1776.1049819290977</v>
      </c>
      <c r="T12" s="346">
        <f t="shared" si="26"/>
        <v>-1775.2346904879525</v>
      </c>
      <c r="U12" s="346">
        <f t="shared" si="26"/>
        <v>-1774.3648254896134</v>
      </c>
      <c r="V12" s="346">
        <f t="shared" si="26"/>
        <v>-1773.4953867251236</v>
      </c>
      <c r="W12" s="346">
        <f t="shared" si="26"/>
        <v>-1772.6263739856283</v>
      </c>
      <c r="X12" s="346">
        <f t="shared" si="26"/>
        <v>-1771.757787062375</v>
      </c>
      <c r="Y12" s="346">
        <f t="shared" si="26"/>
        <v>-1770.8896257467143</v>
      </c>
      <c r="Z12" s="346">
        <f t="shared" si="26"/>
        <v>-1770.0218898300986</v>
      </c>
      <c r="AA12" s="346">
        <f t="shared" si="26"/>
        <v>-1769.1545791040819</v>
      </c>
      <c r="AB12" s="347">
        <f t="shared" si="26"/>
        <v>-1768.2876933603211</v>
      </c>
    </row>
    <row r="13" spans="2:28" ht="15" thickBot="1" x14ac:dyDescent="0.35">
      <c r="B13" s="186" t="s">
        <v>12</v>
      </c>
      <c r="C13" s="348">
        <v>2137.0121592007604</v>
      </c>
      <c r="D13" s="348">
        <f t="shared" si="2"/>
        <v>2609.2279763468978</v>
      </c>
      <c r="E13" s="348">
        <v>3081.4437934930347</v>
      </c>
      <c r="F13" s="348">
        <f t="shared" si="2"/>
        <v>3562.4539683729454</v>
      </c>
      <c r="G13" s="348">
        <v>4043.4641432528565</v>
      </c>
      <c r="H13" s="348">
        <f t="shared" ref="H13" si="27">+(G13+I13)/2</f>
        <v>5153.5230685936076</v>
      </c>
      <c r="I13" s="348">
        <v>6263.5819939343592</v>
      </c>
      <c r="J13" s="348">
        <f t="shared" ref="J13" si="28">+(I13+K13)/2</f>
        <v>5724.4100900881058</v>
      </c>
      <c r="K13" s="349">
        <v>5185.2381862418515</v>
      </c>
      <c r="L13" s="349">
        <v>4499.0254296353287</v>
      </c>
      <c r="M13" s="349">
        <v>5140.7190960515509</v>
      </c>
      <c r="N13" s="349">
        <v>7423.1579554861291</v>
      </c>
      <c r="O13" s="349">
        <v>8726.5232769595823</v>
      </c>
      <c r="P13" s="350">
        <f t="shared" si="5"/>
        <v>7808.9222605292307</v>
      </c>
      <c r="Q13" s="350">
        <f t="shared" ref="Q13:AB13" si="29">+Q24*Q35</f>
        <v>7805.0958886215703</v>
      </c>
      <c r="R13" s="350">
        <f t="shared" si="29"/>
        <v>7801.2713916361463</v>
      </c>
      <c r="S13" s="350">
        <f t="shared" si="29"/>
        <v>7797.4487686542452</v>
      </c>
      <c r="T13" s="350">
        <f t="shared" si="29"/>
        <v>7793.628018757604</v>
      </c>
      <c r="U13" s="350">
        <f t="shared" si="29"/>
        <v>7789.8091410284142</v>
      </c>
      <c r="V13" s="350">
        <f t="shared" si="29"/>
        <v>7785.9921345493094</v>
      </c>
      <c r="W13" s="350">
        <f t="shared" si="29"/>
        <v>7782.1769984033799</v>
      </c>
      <c r="X13" s="350">
        <f t="shared" si="29"/>
        <v>7778.3637316741624</v>
      </c>
      <c r="Y13" s="350">
        <f t="shared" si="29"/>
        <v>7774.5523334456411</v>
      </c>
      <c r="Z13" s="350">
        <f t="shared" si="29"/>
        <v>7770.7428028022532</v>
      </c>
      <c r="AA13" s="350">
        <f t="shared" si="29"/>
        <v>7766.9351388288815</v>
      </c>
      <c r="AB13" s="351">
        <f t="shared" si="29"/>
        <v>7763.1293406108543</v>
      </c>
    </row>
    <row r="14" spans="2:28" ht="15" thickBot="1" x14ac:dyDescent="0.35">
      <c r="B14" s="142" t="s">
        <v>34</v>
      </c>
      <c r="C14" s="337"/>
      <c r="D14" s="337"/>
      <c r="E14" s="337"/>
      <c r="F14" s="337"/>
      <c r="G14" s="337"/>
      <c r="H14" s="337"/>
      <c r="I14" s="337"/>
      <c r="J14" s="337"/>
      <c r="K14" s="337"/>
      <c r="L14" s="337"/>
      <c r="M14" s="337"/>
      <c r="N14" s="337"/>
      <c r="O14" s="337"/>
      <c r="P14" s="337"/>
      <c r="Q14" s="337"/>
      <c r="R14" s="337"/>
      <c r="S14" s="337"/>
      <c r="T14" s="337"/>
      <c r="U14" s="337"/>
      <c r="V14" s="337"/>
      <c r="W14" s="337"/>
      <c r="X14" s="337"/>
      <c r="Y14" s="337"/>
      <c r="Z14" s="337"/>
      <c r="AA14" s="337"/>
      <c r="AB14" s="352"/>
    </row>
    <row r="15" spans="2:28" x14ac:dyDescent="0.3">
      <c r="B15" s="191" t="s">
        <v>2</v>
      </c>
      <c r="C15" s="457">
        <f>+COBERTURA_BOSQUE!C7/1000</f>
        <v>12.348319999999999</v>
      </c>
      <c r="D15" s="457">
        <f>+COBERTURA_BOSQUE!D7/1000</f>
        <v>13.402625</v>
      </c>
      <c r="E15" s="457">
        <f>+COBERTURA_BOSQUE!E7/1000</f>
        <v>14.45693</v>
      </c>
      <c r="F15" s="457">
        <f>+COBERTURA_BOSQUE!F7/1000</f>
        <v>14.58446</v>
      </c>
      <c r="G15" s="457">
        <f>+COBERTURA_BOSQUE!G7/1000</f>
        <v>14.71199</v>
      </c>
      <c r="H15" s="457">
        <f>+COBERTURA_BOSQUE!H7/1000</f>
        <v>14.755529999999998</v>
      </c>
      <c r="I15" s="457">
        <f>+COBERTURA_BOSQUE!I7/1000</f>
        <v>14.79907</v>
      </c>
      <c r="J15" s="457">
        <f>+COBERTURA_BOSQUE!J7/1000</f>
        <v>14.779864999999999</v>
      </c>
      <c r="K15" s="458">
        <f>+COBERTURA_BOSQUE!K7/1000</f>
        <v>14.76066</v>
      </c>
      <c r="L15" s="458">
        <f>+COBERTURA_BOSQUE!L7/1000</f>
        <v>14.76066</v>
      </c>
      <c r="M15" s="458">
        <f>+COBERTURA_BOSQUE!M7/1000</f>
        <v>14.76066</v>
      </c>
      <c r="N15" s="458">
        <f>+COBERTURA_BOSQUE!N7/1000</f>
        <v>13.635</v>
      </c>
      <c r="O15" s="458">
        <f>+COBERTURA_BOSQUE!O7/1000</f>
        <v>13.635</v>
      </c>
      <c r="P15" s="457">
        <f>+COBERTURA_BOSQUE!P7/1000</f>
        <v>13.628318849999999</v>
      </c>
      <c r="Q15" s="457">
        <f>+COBERTURA_BOSQUE!Q7/1000</f>
        <v>13.621640973763499</v>
      </c>
      <c r="R15" s="457">
        <f>+COBERTURA_BOSQUE!R7/1000</f>
        <v>13.614966369686355</v>
      </c>
      <c r="S15" s="457">
        <f>+COBERTURA_BOSQUE!S7/1000</f>
        <v>13.60829503616521</v>
      </c>
      <c r="T15" s="457">
        <f>+COBERTURA_BOSQUE!T7/1000</f>
        <v>13.601626971597488</v>
      </c>
      <c r="U15" s="457">
        <f>+COBERTURA_BOSQUE!U7/1000</f>
        <v>13.594962174381406</v>
      </c>
      <c r="V15" s="457">
        <f>+COBERTURA_BOSQUE!V7/1000</f>
        <v>13.588300642915957</v>
      </c>
      <c r="W15" s="457">
        <f>+COBERTURA_BOSQUE!W7/1000</f>
        <v>13.58164237560093</v>
      </c>
      <c r="X15" s="457">
        <f>+COBERTURA_BOSQUE!X7/1000</f>
        <v>13.574987370836885</v>
      </c>
      <c r="Y15" s="457">
        <f>+COBERTURA_BOSQUE!Y7/1000</f>
        <v>13.568335627025176</v>
      </c>
      <c r="Z15" s="457">
        <f>+COBERTURA_BOSQUE!Z7/1000</f>
        <v>13.561687142567934</v>
      </c>
      <c r="AA15" s="457">
        <f>+COBERTURA_BOSQUE!AA7/1000</f>
        <v>13.555041915868074</v>
      </c>
      <c r="AB15" s="459">
        <f>+COBERTURA_BOSQUE!AB7/1000</f>
        <v>13.548399945329299</v>
      </c>
    </row>
    <row r="16" spans="2:28" x14ac:dyDescent="0.3">
      <c r="B16" s="185" t="s">
        <v>4</v>
      </c>
      <c r="C16" s="460">
        <f>+COBERTURA_BOSQUE!C8/1000</f>
        <v>120.58364</v>
      </c>
      <c r="D16" s="460">
        <f>+COBERTURA_BOSQUE!D8/1000</f>
        <v>126.21503</v>
      </c>
      <c r="E16" s="460">
        <f>+COBERTURA_BOSQUE!E8/1000</f>
        <v>131.84642000000002</v>
      </c>
      <c r="F16" s="460">
        <f>+COBERTURA_BOSQUE!F8/1000</f>
        <v>136.01050000000001</v>
      </c>
      <c r="G16" s="460">
        <f>+COBERTURA_BOSQUE!G8/1000</f>
        <v>140.17457999999999</v>
      </c>
      <c r="H16" s="460">
        <f>+COBERTURA_BOSQUE!H8/1000</f>
        <v>140.004625</v>
      </c>
      <c r="I16" s="460">
        <f>+COBERTURA_BOSQUE!I8/1000</f>
        <v>139.83467000000002</v>
      </c>
      <c r="J16" s="460">
        <f>+COBERTURA_BOSQUE!J8/1000</f>
        <v>139.85384000000002</v>
      </c>
      <c r="K16" s="461">
        <f>+COBERTURA_BOSQUE!K8/1000</f>
        <v>139.87301000000002</v>
      </c>
      <c r="L16" s="461">
        <f>+COBERTURA_BOSQUE!L8/1000</f>
        <v>139.87301000000002</v>
      </c>
      <c r="M16" s="461">
        <f>+COBERTURA_BOSQUE!M8/1000</f>
        <v>139.87301000000002</v>
      </c>
      <c r="N16" s="461">
        <f>+COBERTURA_BOSQUE!N8/1000</f>
        <v>139.386</v>
      </c>
      <c r="O16" s="461">
        <f>+COBERTURA_BOSQUE!O8/1000</f>
        <v>139.386</v>
      </c>
      <c r="P16" s="460">
        <f>+COBERTURA_BOSQUE!P8/1000</f>
        <v>139.31770085999997</v>
      </c>
      <c r="Q16" s="460">
        <f>+COBERTURA_BOSQUE!Q8/1000</f>
        <v>139.24943518657861</v>
      </c>
      <c r="R16" s="460">
        <f>+COBERTURA_BOSQUE!R8/1000</f>
        <v>139.1812029633372</v>
      </c>
      <c r="S16" s="460">
        <f>+COBERTURA_BOSQUE!S8/1000</f>
        <v>139.11300417388512</v>
      </c>
      <c r="T16" s="460">
        <f>+COBERTURA_BOSQUE!T8/1000</f>
        <v>139.04483880183994</v>
      </c>
      <c r="U16" s="460">
        <f>+COBERTURA_BOSQUE!U8/1000</f>
        <v>138.97670683082703</v>
      </c>
      <c r="V16" s="460">
        <f>+COBERTURA_BOSQUE!V8/1000</f>
        <v>138.90860824447992</v>
      </c>
      <c r="W16" s="460">
        <f>+COBERTURA_BOSQUE!W8/1000</f>
        <v>138.84054302644014</v>
      </c>
      <c r="X16" s="460">
        <f>+COBERTURA_BOSQUE!X8/1000</f>
        <v>138.7725111603572</v>
      </c>
      <c r="Y16" s="460">
        <f>+COBERTURA_BOSQUE!Y8/1000</f>
        <v>138.7045126298886</v>
      </c>
      <c r="Z16" s="460">
        <f>+COBERTURA_BOSQUE!Z8/1000</f>
        <v>138.63654741869996</v>
      </c>
      <c r="AA16" s="460">
        <f>+COBERTURA_BOSQUE!AA8/1000</f>
        <v>138.56861551046478</v>
      </c>
      <c r="AB16" s="462">
        <f>+COBERTURA_BOSQUE!AB8/1000</f>
        <v>138.50071688886467</v>
      </c>
    </row>
    <row r="17" spans="2:30" x14ac:dyDescent="0.3">
      <c r="B17" s="185" t="s">
        <v>5</v>
      </c>
      <c r="C17" s="460">
        <f>+COBERTURA_BOSQUE!C9/1000</f>
        <v>1153.0325600000001</v>
      </c>
      <c r="D17" s="460">
        <f>+COBERTURA_BOSQUE!D9/1000</f>
        <v>1158.742565</v>
      </c>
      <c r="E17" s="460">
        <f>+COBERTURA_BOSQUE!E9/1000</f>
        <v>1164.4525700000002</v>
      </c>
      <c r="F17" s="460">
        <f>+COBERTURA_BOSQUE!F9/1000</f>
        <v>1198.650245</v>
      </c>
      <c r="G17" s="460">
        <f>+COBERTURA_BOSQUE!G9/1000</f>
        <v>1232.8479199999999</v>
      </c>
      <c r="H17" s="460">
        <f>+COBERTURA_BOSQUE!H9/1000</f>
        <v>1233.7965150000002</v>
      </c>
      <c r="I17" s="460">
        <f>+COBERTURA_BOSQUE!I9/1000</f>
        <v>1234.7451100000001</v>
      </c>
      <c r="J17" s="460">
        <f>+COBERTURA_BOSQUE!J9/1000</f>
        <v>1245.5305000000001</v>
      </c>
      <c r="K17" s="461">
        <f>+COBERTURA_BOSQUE!K9/1000</f>
        <v>1256.3158899999999</v>
      </c>
      <c r="L17" s="461">
        <f>+COBERTURA_BOSQUE!L9/1000</f>
        <v>1256.3158899999999</v>
      </c>
      <c r="M17" s="461">
        <f>+COBERTURA_BOSQUE!M9/1000</f>
        <v>1256.3158899999999</v>
      </c>
      <c r="N17" s="461">
        <f>+COBERTURA_BOSQUE!N9/1000</f>
        <v>1257.518</v>
      </c>
      <c r="O17" s="461">
        <f>+COBERTURA_BOSQUE!O9/1000</f>
        <v>1257.518</v>
      </c>
      <c r="P17" s="460">
        <f>+COBERTURA_BOSQUE!P9/1000</f>
        <v>1256.9018161799997</v>
      </c>
      <c r="Q17" s="460">
        <f>+COBERTURA_BOSQUE!Q9/1000</f>
        <v>1256.2859342900717</v>
      </c>
      <c r="R17" s="460">
        <f>+COBERTURA_BOSQUE!R9/1000</f>
        <v>1255.6703541822696</v>
      </c>
      <c r="S17" s="460">
        <f>+COBERTURA_BOSQUE!S9/1000</f>
        <v>1255.0550757087203</v>
      </c>
      <c r="T17" s="460">
        <f>+COBERTURA_BOSQUE!T9/1000</f>
        <v>1254.4400987216229</v>
      </c>
      <c r="U17" s="460">
        <f>+COBERTURA_BOSQUE!U9/1000</f>
        <v>1253.8254230732493</v>
      </c>
      <c r="V17" s="460">
        <f>+COBERTURA_BOSQUE!V9/1000</f>
        <v>1253.2110486159436</v>
      </c>
      <c r="W17" s="460">
        <f>+COBERTURA_BOSQUE!W9/1000</f>
        <v>1252.5969752021217</v>
      </c>
      <c r="X17" s="460">
        <f>+COBERTURA_BOSQUE!X9/1000</f>
        <v>1251.9832026842728</v>
      </c>
      <c r="Y17" s="460">
        <f>+COBERTURA_BOSQUE!Y9/1000</f>
        <v>1251.3697309149572</v>
      </c>
      <c r="Z17" s="460">
        <f>+COBERTURA_BOSQUE!Z9/1000</f>
        <v>1250.756559746809</v>
      </c>
      <c r="AA17" s="460">
        <f>+COBERTURA_BOSQUE!AA9/1000</f>
        <v>1250.1436890325333</v>
      </c>
      <c r="AB17" s="462">
        <f>+COBERTURA_BOSQUE!AB9/1000</f>
        <v>1249.5311186249073</v>
      </c>
    </row>
    <row r="18" spans="2:30" x14ac:dyDescent="0.3">
      <c r="B18" s="185" t="s">
        <v>6</v>
      </c>
      <c r="C18" s="460">
        <f>+COBERTURA_BOSQUE!C10/1000</f>
        <v>468.70029999999997</v>
      </c>
      <c r="D18" s="460">
        <f>+COBERTURA_BOSQUE!D10/1000</f>
        <v>469.70792499999999</v>
      </c>
      <c r="E18" s="460">
        <f>+COBERTURA_BOSQUE!E10/1000</f>
        <v>470.71555000000001</v>
      </c>
      <c r="F18" s="460">
        <f>+COBERTURA_BOSQUE!F10/1000</f>
        <v>488.97563000000002</v>
      </c>
      <c r="G18" s="460">
        <f>+COBERTURA_BOSQUE!G10/1000</f>
        <v>507.23571000000004</v>
      </c>
      <c r="H18" s="460">
        <f>+COBERTURA_BOSQUE!H10/1000</f>
        <v>506.69036499999999</v>
      </c>
      <c r="I18" s="460">
        <f>+COBERTURA_BOSQUE!I10/1000</f>
        <v>506.14502000000005</v>
      </c>
      <c r="J18" s="460">
        <f>+COBERTURA_BOSQUE!J10/1000</f>
        <v>514.642335</v>
      </c>
      <c r="K18" s="461">
        <f>+COBERTURA_BOSQUE!K10/1000</f>
        <v>523.13965000000007</v>
      </c>
      <c r="L18" s="461">
        <f>+COBERTURA_BOSQUE!L10/1000</f>
        <v>523.13965000000007</v>
      </c>
      <c r="M18" s="461">
        <f>+COBERTURA_BOSQUE!M10/1000</f>
        <v>523.13965000000007</v>
      </c>
      <c r="N18" s="461">
        <f>+COBERTURA_BOSQUE!N10/1000</f>
        <v>515.14400000000001</v>
      </c>
      <c r="O18" s="461">
        <f>+COBERTURA_BOSQUE!O10/1000</f>
        <v>515.14400000000001</v>
      </c>
      <c r="P18" s="460">
        <f>+COBERTURA_BOSQUE!P10/1000</f>
        <v>514.89157943999999</v>
      </c>
      <c r="Q18" s="460">
        <f>+COBERTURA_BOSQUE!Q10/1000</f>
        <v>514.63928256607437</v>
      </c>
      <c r="R18" s="460">
        <f>+COBERTURA_BOSQUE!R10/1000</f>
        <v>514.38710931761693</v>
      </c>
      <c r="S18" s="460">
        <f>+COBERTURA_BOSQUE!S10/1000</f>
        <v>514.13505963405134</v>
      </c>
      <c r="T18" s="460">
        <f>+COBERTURA_BOSQUE!T10/1000</f>
        <v>513.88313345483073</v>
      </c>
      <c r="U18" s="460">
        <f>+COBERTURA_BOSQUE!U10/1000</f>
        <v>513.63133071943776</v>
      </c>
      <c r="V18" s="460">
        <f>+COBERTURA_BOSQUE!V10/1000</f>
        <v>513.37965136738524</v>
      </c>
      <c r="W18" s="460">
        <f>+COBERTURA_BOSQUE!W10/1000</f>
        <v>513.12809533821519</v>
      </c>
      <c r="X18" s="460">
        <f>+COBERTURA_BOSQUE!X10/1000</f>
        <v>512.87666257149954</v>
      </c>
      <c r="Y18" s="460">
        <f>+COBERTURA_BOSQUE!Y10/1000</f>
        <v>512.62535300683942</v>
      </c>
      <c r="Z18" s="460">
        <f>+COBERTURA_BOSQUE!Z10/1000</f>
        <v>512.37416658386621</v>
      </c>
      <c r="AA18" s="460">
        <f>+COBERTURA_BOSQUE!AA10/1000</f>
        <v>512.12310324224006</v>
      </c>
      <c r="AB18" s="462">
        <f>+COBERTURA_BOSQUE!AB10/1000</f>
        <v>511.87216292165141</v>
      </c>
    </row>
    <row r="19" spans="2:30" x14ac:dyDescent="0.3">
      <c r="B19" s="185" t="s">
        <v>7</v>
      </c>
      <c r="C19" s="460">
        <f>+COBERTURA_BOSQUE!C11/1000</f>
        <v>322.78176000000002</v>
      </c>
      <c r="D19" s="460">
        <f>+COBERTURA_BOSQUE!D11/1000</f>
        <v>325.37089000000003</v>
      </c>
      <c r="E19" s="460">
        <f>+COBERTURA_BOSQUE!E11/1000</f>
        <v>327.96002000000004</v>
      </c>
      <c r="F19" s="460">
        <f>+COBERTURA_BOSQUE!F11/1000</f>
        <v>333.55776000000003</v>
      </c>
      <c r="G19" s="460">
        <f>+COBERTURA_BOSQUE!G11/1000</f>
        <v>339.15550000000002</v>
      </c>
      <c r="H19" s="460">
        <f>+COBERTURA_BOSQUE!H11/1000</f>
        <v>340.20731000000001</v>
      </c>
      <c r="I19" s="460">
        <f>+COBERTURA_BOSQUE!I11/1000</f>
        <v>341.25912</v>
      </c>
      <c r="J19" s="460">
        <f>+COBERTURA_BOSQUE!J11/1000</f>
        <v>357.94488999999999</v>
      </c>
      <c r="K19" s="461">
        <f>+COBERTURA_BOSQUE!K11/1000</f>
        <v>374.63065999999998</v>
      </c>
      <c r="L19" s="461">
        <f>+COBERTURA_BOSQUE!L11/1000</f>
        <v>374.63065999999998</v>
      </c>
      <c r="M19" s="461">
        <f>+COBERTURA_BOSQUE!M11/1000</f>
        <v>374.63065999999998</v>
      </c>
      <c r="N19" s="461">
        <f>+COBERTURA_BOSQUE!N11/1000</f>
        <v>375.10899999999998</v>
      </c>
      <c r="O19" s="461">
        <f>+COBERTURA_BOSQUE!O11/1000</f>
        <v>375.10899999999998</v>
      </c>
      <c r="P19" s="460">
        <f>+COBERTURA_BOSQUE!P11/1000</f>
        <v>374.92519658999998</v>
      </c>
      <c r="Q19" s="460">
        <f>+COBERTURA_BOSQUE!Q11/1000</f>
        <v>374.74148324367087</v>
      </c>
      <c r="R19" s="460">
        <f>+COBERTURA_BOSQUE!R11/1000</f>
        <v>374.55785991688151</v>
      </c>
      <c r="S19" s="460">
        <f>+COBERTURA_BOSQUE!S11/1000</f>
        <v>374.37432656552221</v>
      </c>
      <c r="T19" s="460">
        <f>+COBERTURA_BOSQUE!T11/1000</f>
        <v>374.19088314550515</v>
      </c>
      <c r="U19" s="460">
        <f>+COBERTURA_BOSQUE!U11/1000</f>
        <v>374.00752961276385</v>
      </c>
      <c r="V19" s="460">
        <f>+COBERTURA_BOSQUE!V11/1000</f>
        <v>373.82426592325362</v>
      </c>
      <c r="W19" s="460">
        <f>+COBERTURA_BOSQUE!W11/1000</f>
        <v>373.64109203295118</v>
      </c>
      <c r="X19" s="460">
        <f>+COBERTURA_BOSQUE!X11/1000</f>
        <v>373.458007897855</v>
      </c>
      <c r="Y19" s="460">
        <f>+COBERTURA_BOSQUE!Y11/1000</f>
        <v>373.2750134739851</v>
      </c>
      <c r="Z19" s="460">
        <f>+COBERTURA_BOSQUE!Z11/1000</f>
        <v>373.09210871738281</v>
      </c>
      <c r="AA19" s="460">
        <f>+COBERTURA_BOSQUE!AA11/1000</f>
        <v>372.90929358411131</v>
      </c>
      <c r="AB19" s="462">
        <f>+COBERTURA_BOSQUE!AB11/1000</f>
        <v>372.72656803025507</v>
      </c>
    </row>
    <row r="20" spans="2:30" x14ac:dyDescent="0.3">
      <c r="B20" s="185" t="s">
        <v>8</v>
      </c>
      <c r="C20" s="460">
        <f>+COBERTURA_BOSQUE!C12/1000</f>
        <v>2361.9546099999998</v>
      </c>
      <c r="D20" s="460">
        <f>+COBERTURA_BOSQUE!D12/1000</f>
        <v>2536.3037899999999</v>
      </c>
      <c r="E20" s="460">
        <f>+COBERTURA_BOSQUE!E12/1000</f>
        <v>2710.6529700000001</v>
      </c>
      <c r="F20" s="460">
        <f>+COBERTURA_BOSQUE!F12/1000</f>
        <v>2768.5833700000003</v>
      </c>
      <c r="G20" s="460">
        <f>+COBERTURA_BOSQUE!G12/1000</f>
        <v>2826.51377</v>
      </c>
      <c r="H20" s="460">
        <f>+COBERTURA_BOSQUE!H12/1000</f>
        <v>2858.75821</v>
      </c>
      <c r="I20" s="460">
        <f>+COBERTURA_BOSQUE!I12/1000</f>
        <v>2891.0026499999999</v>
      </c>
      <c r="J20" s="460">
        <f>+COBERTURA_BOSQUE!J12/1000</f>
        <v>2955.7263049999997</v>
      </c>
      <c r="K20" s="461">
        <f>+COBERTURA_BOSQUE!K12/1000</f>
        <v>3020.4499599999999</v>
      </c>
      <c r="L20" s="461">
        <f>+COBERTURA_BOSQUE!L12/1000</f>
        <v>3020.4499599999999</v>
      </c>
      <c r="M20" s="461">
        <f>+COBERTURA_BOSQUE!M12/1000</f>
        <v>3020.4499599999999</v>
      </c>
      <c r="N20" s="461">
        <f>+COBERTURA_BOSQUE!N12/1000</f>
        <v>2928.8820000000001</v>
      </c>
      <c r="O20" s="461">
        <f>+COBERTURA_BOSQUE!O12/1000</f>
        <v>2928.8820000000001</v>
      </c>
      <c r="P20" s="460">
        <f>+COBERTURA_BOSQUE!P12/1000</f>
        <v>2927.4468478199997</v>
      </c>
      <c r="Q20" s="460">
        <f>+COBERTURA_BOSQUE!Q12/1000</f>
        <v>2926.0123988645678</v>
      </c>
      <c r="R20" s="460">
        <f>+COBERTURA_BOSQUE!R12/1000</f>
        <v>2924.5786527891241</v>
      </c>
      <c r="S20" s="460">
        <f>+COBERTURA_BOSQUE!S12/1000</f>
        <v>2923.1456092492576</v>
      </c>
      <c r="T20" s="460">
        <f>+COBERTURA_BOSQUE!T12/1000</f>
        <v>2921.7132679007254</v>
      </c>
      <c r="U20" s="460">
        <f>+COBERTURA_BOSQUE!U12/1000</f>
        <v>2920.2816283994539</v>
      </c>
      <c r="V20" s="460">
        <f>+COBERTURA_BOSQUE!V12/1000</f>
        <v>2918.8506904015389</v>
      </c>
      <c r="W20" s="460">
        <f>+COBERTURA_BOSQUE!W12/1000</f>
        <v>2917.4204535632416</v>
      </c>
      <c r="X20" s="460">
        <f>+COBERTURA_BOSQUE!X12/1000</f>
        <v>2915.9909175409957</v>
      </c>
      <c r="Y20" s="460">
        <f>+COBERTURA_BOSQUE!Y12/1000</f>
        <v>2914.5620819914006</v>
      </c>
      <c r="Z20" s="460">
        <f>+COBERTURA_BOSQUE!Z12/1000</f>
        <v>2913.1339465712249</v>
      </c>
      <c r="AA20" s="460">
        <f>+COBERTURA_BOSQUE!AA12/1000</f>
        <v>2911.7065109374053</v>
      </c>
      <c r="AB20" s="462">
        <f>+COBERTURA_BOSQUE!AB12/1000</f>
        <v>2910.2797747470458</v>
      </c>
    </row>
    <row r="21" spans="2:30" x14ac:dyDescent="0.3">
      <c r="B21" s="185" t="s">
        <v>9</v>
      </c>
      <c r="C21" s="460">
        <f>+COBERTURA_BOSQUE!C13/1000</f>
        <v>261.68610000000001</v>
      </c>
      <c r="D21" s="460">
        <f>+COBERTURA_BOSQUE!D13/1000</f>
        <v>263.62240000000003</v>
      </c>
      <c r="E21" s="460">
        <f>+COBERTURA_BOSQUE!E13/1000</f>
        <v>265.55869999999999</v>
      </c>
      <c r="F21" s="460">
        <f>+COBERTURA_BOSQUE!F13/1000</f>
        <v>269.70001999999999</v>
      </c>
      <c r="G21" s="460">
        <f>+COBERTURA_BOSQUE!G13/1000</f>
        <v>273.84134</v>
      </c>
      <c r="H21" s="460">
        <f>+COBERTURA_BOSQUE!H13/1000</f>
        <v>268.73807500000004</v>
      </c>
      <c r="I21" s="460">
        <f>+COBERTURA_BOSQUE!I13/1000</f>
        <v>263.63481000000002</v>
      </c>
      <c r="J21" s="460">
        <f>+COBERTURA_BOSQUE!J13/1000</f>
        <v>262.90870499999994</v>
      </c>
      <c r="K21" s="461">
        <f>+COBERTURA_BOSQUE!K13/1000</f>
        <v>262.18259999999998</v>
      </c>
      <c r="L21" s="461">
        <f>+COBERTURA_BOSQUE!L13/1000</f>
        <v>262.18259999999998</v>
      </c>
      <c r="M21" s="461">
        <f>+COBERTURA_BOSQUE!M13/1000</f>
        <v>262.18259999999998</v>
      </c>
      <c r="N21" s="461">
        <f>+COBERTURA_BOSQUE!N13/1000</f>
        <v>240.48699999999999</v>
      </c>
      <c r="O21" s="461">
        <f>+COBERTURA_BOSQUE!O13/1000</f>
        <v>240.48699999999999</v>
      </c>
      <c r="P21" s="460">
        <f>+COBERTURA_BOSQUE!P13/1000</f>
        <v>240.36916137</v>
      </c>
      <c r="Q21" s="460">
        <f>+COBERTURA_BOSQUE!Q13/1000</f>
        <v>240.2513804809287</v>
      </c>
      <c r="R21" s="460">
        <f>+COBERTURA_BOSQUE!R13/1000</f>
        <v>240.13365730449303</v>
      </c>
      <c r="S21" s="460">
        <f>+COBERTURA_BOSQUE!S13/1000</f>
        <v>240.01599181241386</v>
      </c>
      <c r="T21" s="460">
        <f>+COBERTURA_BOSQUE!T13/1000</f>
        <v>239.89838397642578</v>
      </c>
      <c r="U21" s="460">
        <f>+COBERTURA_BOSQUE!U13/1000</f>
        <v>239.78083376827732</v>
      </c>
      <c r="V21" s="460">
        <f>+COBERTURA_BOSQUE!V13/1000</f>
        <v>239.66334115973086</v>
      </c>
      <c r="W21" s="460">
        <f>+COBERTURA_BOSQUE!W13/1000</f>
        <v>239.5459061225626</v>
      </c>
      <c r="X21" s="460">
        <f>+COBERTURA_BOSQUE!X13/1000</f>
        <v>239.42852862856256</v>
      </c>
      <c r="Y21" s="460">
        <f>+COBERTURA_BOSQUE!Y13/1000</f>
        <v>239.31120864953454</v>
      </c>
      <c r="Z21" s="460">
        <f>+COBERTURA_BOSQUE!Z13/1000</f>
        <v>239.19394615729627</v>
      </c>
      <c r="AA21" s="460">
        <f>+COBERTURA_BOSQUE!AA13/1000</f>
        <v>239.0767411236792</v>
      </c>
      <c r="AB21" s="462">
        <f>+COBERTURA_BOSQUE!AB13/1000</f>
        <v>238.95959352052859</v>
      </c>
    </row>
    <row r="22" spans="2:30" x14ac:dyDescent="0.3">
      <c r="B22" s="185" t="s">
        <v>10</v>
      </c>
      <c r="C22" s="460">
        <f>+COBERTURA_BOSQUE!C14/1000</f>
        <v>64.990300000000005</v>
      </c>
      <c r="D22" s="460">
        <f>+COBERTURA_BOSQUE!D14/1000</f>
        <v>65.33518500000001</v>
      </c>
      <c r="E22" s="460">
        <f>+COBERTURA_BOSQUE!E14/1000</f>
        <v>65.680070000000001</v>
      </c>
      <c r="F22" s="460">
        <f>+COBERTURA_BOSQUE!F14/1000</f>
        <v>64.10667500000001</v>
      </c>
      <c r="G22" s="460">
        <f>+COBERTURA_BOSQUE!G14/1000</f>
        <v>62.533279999999998</v>
      </c>
      <c r="H22" s="460">
        <f>+COBERTURA_BOSQUE!H14/1000</f>
        <v>65.738849999999999</v>
      </c>
      <c r="I22" s="460">
        <f>+COBERTURA_BOSQUE!I14/1000</f>
        <v>68.944419999999994</v>
      </c>
      <c r="J22" s="460">
        <f>+COBERTURA_BOSQUE!J14/1000</f>
        <v>68.62894</v>
      </c>
      <c r="K22" s="461">
        <f>+COBERTURA_BOSQUE!K14/1000</f>
        <v>68.313460000000006</v>
      </c>
      <c r="L22" s="461">
        <f>+COBERTURA_BOSQUE!L14/1000</f>
        <v>68.313460000000006</v>
      </c>
      <c r="M22" s="461">
        <f>+COBERTURA_BOSQUE!M14/1000</f>
        <v>68.313460000000006</v>
      </c>
      <c r="N22" s="461">
        <f>+COBERTURA_BOSQUE!N14/1000</f>
        <v>98.087000000000003</v>
      </c>
      <c r="O22" s="461">
        <f>+COBERTURA_BOSQUE!O14/1000</f>
        <v>98.087000000000003</v>
      </c>
      <c r="P22" s="460">
        <f>+COBERTURA_BOSQUE!P14/1000</f>
        <v>98.038937369999985</v>
      </c>
      <c r="Q22" s="460">
        <f>+COBERTURA_BOSQUE!Q14/1000</f>
        <v>97.990898290688676</v>
      </c>
      <c r="R22" s="460">
        <f>+COBERTURA_BOSQUE!R14/1000</f>
        <v>97.942882750526266</v>
      </c>
      <c r="S22" s="460">
        <f>+COBERTURA_BOSQUE!S14/1000</f>
        <v>97.8948907379785</v>
      </c>
      <c r="T22" s="460">
        <f>+COBERTURA_BOSQUE!T14/1000</f>
        <v>97.846922241516893</v>
      </c>
      <c r="U22" s="460">
        <f>+COBERTURA_BOSQUE!U14/1000</f>
        <v>97.798977249618545</v>
      </c>
      <c r="V22" s="460">
        <f>+COBERTURA_BOSQUE!V14/1000</f>
        <v>97.751055750766227</v>
      </c>
      <c r="W22" s="460">
        <f>+COBERTURA_BOSQUE!W14/1000</f>
        <v>97.703157733448364</v>
      </c>
      <c r="X22" s="460">
        <f>+COBERTURA_BOSQUE!X14/1000</f>
        <v>97.655283186158968</v>
      </c>
      <c r="Y22" s="460">
        <f>+COBERTURA_BOSQUE!Y14/1000</f>
        <v>97.607432097397748</v>
      </c>
      <c r="Z22" s="460">
        <f>+COBERTURA_BOSQUE!Z14/1000</f>
        <v>97.559604455670026</v>
      </c>
      <c r="AA22" s="460">
        <f>+COBERTURA_BOSQUE!AA14/1000</f>
        <v>97.511800249486754</v>
      </c>
      <c r="AB22" s="462">
        <f>+COBERTURA_BOSQUE!AB14/1000</f>
        <v>97.464019467364508</v>
      </c>
    </row>
    <row r="23" spans="2:30" x14ac:dyDescent="0.3">
      <c r="B23" s="185" t="s">
        <v>11</v>
      </c>
      <c r="C23" s="460">
        <f>+COBERTURA_BOSQUE!C15/1000</f>
        <v>271.77830999999998</v>
      </c>
      <c r="D23" s="460">
        <f>+COBERTURA_BOSQUE!D15/1000</f>
        <v>272.68513999999999</v>
      </c>
      <c r="E23" s="460">
        <f>+COBERTURA_BOSQUE!E15/1000</f>
        <v>273.59196999999995</v>
      </c>
      <c r="F23" s="460">
        <f>+COBERTURA_BOSQUE!F15/1000</f>
        <v>278.16317499999997</v>
      </c>
      <c r="G23" s="460">
        <f>+COBERTURA_BOSQUE!G15/1000</f>
        <v>282.73437999999999</v>
      </c>
      <c r="H23" s="460">
        <f>+COBERTURA_BOSQUE!H15/1000</f>
        <v>289.39154000000002</v>
      </c>
      <c r="I23" s="460">
        <f>+COBERTURA_BOSQUE!I15/1000</f>
        <v>296.0487</v>
      </c>
      <c r="J23" s="460">
        <f>+COBERTURA_BOSQUE!J15/1000</f>
        <v>298.13771499999996</v>
      </c>
      <c r="K23" s="461">
        <f>+COBERTURA_BOSQUE!K15/1000</f>
        <v>300.22672999999998</v>
      </c>
      <c r="L23" s="461">
        <f>+COBERTURA_BOSQUE!L15/1000</f>
        <v>300.22672999999998</v>
      </c>
      <c r="M23" s="461">
        <f>+COBERTURA_BOSQUE!M15/1000</f>
        <v>300.22672999999998</v>
      </c>
      <c r="N23" s="461">
        <f>+COBERTURA_BOSQUE!N15/1000</f>
        <v>272.84699999999998</v>
      </c>
      <c r="O23" s="461">
        <f>+COBERTURA_BOSQUE!O15/1000</f>
        <v>272.84699999999998</v>
      </c>
      <c r="P23" s="460">
        <f>+COBERTURA_BOSQUE!P15/1000</f>
        <v>272.71330497000002</v>
      </c>
      <c r="Q23" s="460">
        <f>+COBERTURA_BOSQUE!Q15/1000</f>
        <v>272.57967545056465</v>
      </c>
      <c r="R23" s="460">
        <f>+COBERTURA_BOSQUE!R15/1000</f>
        <v>272.44611140959393</v>
      </c>
      <c r="S23" s="460">
        <f>+COBERTURA_BOSQUE!S15/1000</f>
        <v>272.31261281500321</v>
      </c>
      <c r="T23" s="460">
        <f>+COBERTURA_BOSQUE!T15/1000</f>
        <v>272.17917963472388</v>
      </c>
      <c r="U23" s="460">
        <f>+COBERTURA_BOSQUE!U15/1000</f>
        <v>272.04581183670285</v>
      </c>
      <c r="V23" s="460">
        <f>+COBERTURA_BOSQUE!V15/1000</f>
        <v>271.91250938890289</v>
      </c>
      <c r="W23" s="460">
        <f>+COBERTURA_BOSQUE!W15/1000</f>
        <v>271.77927225930233</v>
      </c>
      <c r="X23" s="460">
        <f>+COBERTURA_BOSQUE!X15/1000</f>
        <v>271.64610041589521</v>
      </c>
      <c r="Y23" s="460">
        <f>+COBERTURA_BOSQUE!Y15/1000</f>
        <v>271.5129938266914</v>
      </c>
      <c r="Z23" s="460">
        <f>+COBERTURA_BOSQUE!Z15/1000</f>
        <v>271.37995245971638</v>
      </c>
      <c r="AA23" s="460">
        <f>+COBERTURA_BOSQUE!AA15/1000</f>
        <v>271.24697628301112</v>
      </c>
      <c r="AB23" s="462">
        <f>+COBERTURA_BOSQUE!AB15/1000</f>
        <v>271.11406526463247</v>
      </c>
    </row>
    <row r="24" spans="2:30" ht="15" thickBot="1" x14ac:dyDescent="0.35">
      <c r="B24" s="186" t="s">
        <v>12</v>
      </c>
      <c r="C24" s="463">
        <f>+COBERTURA_BOSQUE!C16/1000</f>
        <v>38.277900000000002</v>
      </c>
      <c r="D24" s="463">
        <f>+COBERTURA_BOSQUE!D16/1000</f>
        <v>38.277900000000002</v>
      </c>
      <c r="E24" s="463">
        <f>+COBERTURA_BOSQUE!E16/1000</f>
        <v>38.277900000000002</v>
      </c>
      <c r="F24" s="463">
        <f>+COBERTURA_BOSQUE!F16/1000</f>
        <v>38.277900000000002</v>
      </c>
      <c r="G24" s="463">
        <f>+COBERTURA_BOSQUE!G16/1000</f>
        <v>38.277900000000002</v>
      </c>
      <c r="H24" s="463">
        <f>+COBERTURA_BOSQUE!H16/1000</f>
        <v>72.574065000000004</v>
      </c>
      <c r="I24" s="463">
        <f>+COBERTURA_BOSQUE!I16/1000</f>
        <v>106.87022999999999</v>
      </c>
      <c r="J24" s="463">
        <f>+COBERTURA_BOSQUE!J16/1000</f>
        <v>101.94318</v>
      </c>
      <c r="K24" s="464">
        <f>+COBERTURA_BOSQUE!K16/1000</f>
        <v>97.016130000000004</v>
      </c>
      <c r="L24" s="464">
        <f>+COBERTURA_BOSQUE!L16/1000</f>
        <v>97.016130000000004</v>
      </c>
      <c r="M24" s="464">
        <f>+COBERTURA_BOSQUE!M16/1000</f>
        <v>97.016130000000004</v>
      </c>
      <c r="N24" s="464">
        <f>+COBERTURA_BOSQUE!N16/1000</f>
        <v>115.15</v>
      </c>
      <c r="O24" s="464">
        <f>+COBERTURA_BOSQUE!O16/1000</f>
        <v>115.15</v>
      </c>
      <c r="P24" s="463">
        <f>+COBERTURA_BOSQUE!P16/1000</f>
        <v>115.09357649999998</v>
      </c>
      <c r="Q24" s="463">
        <f>+COBERTURA_BOSQUE!Q16/1000</f>
        <v>115.03718064751497</v>
      </c>
      <c r="R24" s="463">
        <f>+COBERTURA_BOSQUE!R16/1000</f>
        <v>114.98081242899769</v>
      </c>
      <c r="S24" s="463">
        <f>+COBERTURA_BOSQUE!S16/1000</f>
        <v>114.92447183090749</v>
      </c>
      <c r="T24" s="463">
        <f>+COBERTURA_BOSQUE!T16/1000</f>
        <v>114.86815883971035</v>
      </c>
      <c r="U24" s="463">
        <f>+COBERTURA_BOSQUE!U16/1000</f>
        <v>114.8118734418789</v>
      </c>
      <c r="V24" s="463">
        <f>+COBERTURA_BOSQUE!V16/1000</f>
        <v>114.75561562389237</v>
      </c>
      <c r="W24" s="463">
        <f>+COBERTURA_BOSQUE!W16/1000</f>
        <v>114.69938537223666</v>
      </c>
      <c r="X24" s="463">
        <f>+COBERTURA_BOSQUE!X16/1000</f>
        <v>114.64318267340427</v>
      </c>
      <c r="Y24" s="463">
        <f>+COBERTURA_BOSQUE!Y16/1000</f>
        <v>114.58700751389429</v>
      </c>
      <c r="Z24" s="463">
        <f>+COBERTURA_BOSQUE!Z16/1000</f>
        <v>114.53085988021249</v>
      </c>
      <c r="AA24" s="463">
        <f>+COBERTURA_BOSQUE!AA16/1000</f>
        <v>114.47473975887119</v>
      </c>
      <c r="AB24" s="465">
        <f>+COBERTURA_BOSQUE!AB16/1000</f>
        <v>114.41864713638934</v>
      </c>
    </row>
    <row r="25" spans="2:30" ht="15" thickBot="1" x14ac:dyDescent="0.35">
      <c r="B25" s="142" t="s">
        <v>35</v>
      </c>
      <c r="C25" s="337"/>
      <c r="D25" s="337"/>
      <c r="E25" s="337"/>
      <c r="F25" s="337"/>
      <c r="G25" s="337"/>
      <c r="H25" s="337"/>
      <c r="I25" s="337"/>
      <c r="J25" s="337"/>
      <c r="K25" s="337"/>
      <c r="L25" s="337"/>
      <c r="M25" s="337"/>
      <c r="N25" s="337"/>
      <c r="O25" s="337"/>
      <c r="P25" s="337"/>
      <c r="Q25" s="337"/>
      <c r="R25" s="337"/>
      <c r="S25" s="337"/>
      <c r="T25" s="337"/>
      <c r="U25" s="337"/>
      <c r="V25" s="337"/>
      <c r="W25" s="337"/>
      <c r="X25" s="337"/>
      <c r="Y25" s="337"/>
      <c r="Z25" s="337"/>
      <c r="AA25" s="337"/>
      <c r="AB25" s="352"/>
      <c r="AD25" s="417" t="s">
        <v>232</v>
      </c>
    </row>
    <row r="26" spans="2:30" x14ac:dyDescent="0.3">
      <c r="B26" s="191" t="s">
        <v>2</v>
      </c>
      <c r="C26" s="361">
        <f t="shared" ref="C26:O26" si="30">+C4/C15</f>
        <v>46.891995051498583</v>
      </c>
      <c r="D26" s="361">
        <f t="shared" si="30"/>
        <v>41.733744411782851</v>
      </c>
      <c r="E26" s="361">
        <f t="shared" si="30"/>
        <v>37.327848447742468</v>
      </c>
      <c r="F26" s="361">
        <f t="shared" si="30"/>
        <v>36.149869003324405</v>
      </c>
      <c r="G26" s="361">
        <f t="shared" si="30"/>
        <v>34.992312046761022</v>
      </c>
      <c r="H26" s="361">
        <f t="shared" si="30"/>
        <v>33.100095380309689</v>
      </c>
      <c r="I26" s="361">
        <f t="shared" si="30"/>
        <v>31.219012807238169</v>
      </c>
      <c r="J26" s="361">
        <f t="shared" si="30"/>
        <v>30.525814519120186</v>
      </c>
      <c r="K26" s="362">
        <f t="shared" si="30"/>
        <v>29.830812399314006</v>
      </c>
      <c r="L26" s="362">
        <f t="shared" si="30"/>
        <v>26.38305035295042</v>
      </c>
      <c r="M26" s="362">
        <f t="shared" si="30"/>
        <v>24.86042741000961</v>
      </c>
      <c r="N26" s="362">
        <f t="shared" si="30"/>
        <v>25.480803523054082</v>
      </c>
      <c r="O26" s="362">
        <f t="shared" si="30"/>
        <v>23.893850201370661</v>
      </c>
      <c r="P26" s="340">
        <f>IF(AD26="CONSTANTE",O26,AVERAGE(C26:O26))</f>
        <v>32.491510427267393</v>
      </c>
      <c r="Q26" s="340">
        <f>+P26</f>
        <v>32.491510427267393</v>
      </c>
      <c r="R26" s="340">
        <f t="shared" ref="R26:AB26" si="31">+Q26</f>
        <v>32.491510427267393</v>
      </c>
      <c r="S26" s="340">
        <f t="shared" si="31"/>
        <v>32.491510427267393</v>
      </c>
      <c r="T26" s="340">
        <f t="shared" si="31"/>
        <v>32.491510427267393</v>
      </c>
      <c r="U26" s="340">
        <f t="shared" si="31"/>
        <v>32.491510427267393</v>
      </c>
      <c r="V26" s="340">
        <f t="shared" si="31"/>
        <v>32.491510427267393</v>
      </c>
      <c r="W26" s="340">
        <f t="shared" si="31"/>
        <v>32.491510427267393</v>
      </c>
      <c r="X26" s="340">
        <f t="shared" si="31"/>
        <v>32.491510427267393</v>
      </c>
      <c r="Y26" s="340">
        <f t="shared" si="31"/>
        <v>32.491510427267393</v>
      </c>
      <c r="Z26" s="340">
        <f t="shared" si="31"/>
        <v>32.491510427267393</v>
      </c>
      <c r="AA26" s="340">
        <f t="shared" si="31"/>
        <v>32.491510427267393</v>
      </c>
      <c r="AB26" s="353">
        <f t="shared" si="31"/>
        <v>32.491510427267393</v>
      </c>
      <c r="AD26" s="418" t="s">
        <v>234</v>
      </c>
    </row>
    <row r="27" spans="2:30" x14ac:dyDescent="0.3">
      <c r="B27" s="185" t="s">
        <v>4</v>
      </c>
      <c r="C27" s="363">
        <f t="shared" ref="C27:O27" si="32">+C5/C16</f>
        <v>0.33146660307796433</v>
      </c>
      <c r="D27" s="363">
        <f t="shared" si="32"/>
        <v>0.1510831236697204</v>
      </c>
      <c r="E27" s="363">
        <f t="shared" si="32"/>
        <v>-1.3891371222982044E-2</v>
      </c>
      <c r="F27" s="363">
        <f t="shared" si="32"/>
        <v>-0.1316721095303745</v>
      </c>
      <c r="G27" s="363">
        <f t="shared" si="32"/>
        <v>-0.24245516799066422</v>
      </c>
      <c r="H27" s="363">
        <f t="shared" si="32"/>
        <v>-0.332612170749089</v>
      </c>
      <c r="I27" s="363">
        <f t="shared" si="32"/>
        <v>-0.42298832707513484</v>
      </c>
      <c r="J27" s="363">
        <f t="shared" si="32"/>
        <v>-0.46214726521270261</v>
      </c>
      <c r="K27" s="364">
        <f t="shared" si="32"/>
        <v>-0.50129546965913019</v>
      </c>
      <c r="L27" s="364">
        <f t="shared" si="32"/>
        <v>-0.66303501965828926</v>
      </c>
      <c r="M27" s="364">
        <f t="shared" si="32"/>
        <v>-0.73985422157429614</v>
      </c>
      <c r="N27" s="364">
        <f t="shared" si="32"/>
        <v>-0.80829192945036488</v>
      </c>
      <c r="O27" s="364">
        <f t="shared" si="32"/>
        <v>-0.87940622145142877</v>
      </c>
      <c r="P27" s="344">
        <f t="shared" ref="P27:P35" si="33">IF(AD27="CONSTANTE",O27,AVERAGE(C27:O27))</f>
        <v>-0.36269996514052089</v>
      </c>
      <c r="Q27" s="344">
        <f t="shared" ref="Q27:AB35" si="34">+P27</f>
        <v>-0.36269996514052089</v>
      </c>
      <c r="R27" s="344">
        <f t="shared" si="34"/>
        <v>-0.36269996514052089</v>
      </c>
      <c r="S27" s="344">
        <f t="shared" si="34"/>
        <v>-0.36269996514052089</v>
      </c>
      <c r="T27" s="344">
        <f t="shared" si="34"/>
        <v>-0.36269996514052089</v>
      </c>
      <c r="U27" s="344">
        <f t="shared" si="34"/>
        <v>-0.36269996514052089</v>
      </c>
      <c r="V27" s="344">
        <f t="shared" si="34"/>
        <v>-0.36269996514052089</v>
      </c>
      <c r="W27" s="344">
        <f t="shared" si="34"/>
        <v>-0.36269996514052089</v>
      </c>
      <c r="X27" s="344">
        <f t="shared" si="34"/>
        <v>-0.36269996514052089</v>
      </c>
      <c r="Y27" s="344">
        <f t="shared" si="34"/>
        <v>-0.36269996514052089</v>
      </c>
      <c r="Z27" s="344">
        <f t="shared" si="34"/>
        <v>-0.36269996514052089</v>
      </c>
      <c r="AA27" s="344">
        <f t="shared" si="34"/>
        <v>-0.36269996514052089</v>
      </c>
      <c r="AB27" s="354">
        <f t="shared" si="34"/>
        <v>-0.36269996514052089</v>
      </c>
      <c r="AD27" s="418" t="s">
        <v>234</v>
      </c>
    </row>
    <row r="28" spans="2:30" x14ac:dyDescent="0.3">
      <c r="B28" s="185" t="s">
        <v>5</v>
      </c>
      <c r="C28" s="363">
        <f t="shared" ref="C28:O28" si="35">+C6/C17</f>
        <v>-0.46333337999012963</v>
      </c>
      <c r="D28" s="363">
        <f t="shared" si="35"/>
        <v>-0.49444057357418608</v>
      </c>
      <c r="E28" s="363">
        <f t="shared" si="35"/>
        <v>-0.52524269293628256</v>
      </c>
      <c r="F28" s="363">
        <f t="shared" si="35"/>
        <v>-0.70260539624828355</v>
      </c>
      <c r="G28" s="363">
        <f t="shared" si="35"/>
        <v>-0.87012845594068011</v>
      </c>
      <c r="H28" s="363">
        <f t="shared" si="35"/>
        <v>-0.96880496898781909</v>
      </c>
      <c r="I28" s="363">
        <f t="shared" si="35"/>
        <v>-1.0673298652419283</v>
      </c>
      <c r="J28" s="363">
        <f t="shared" si="35"/>
        <v>-1.1240073662084227</v>
      </c>
      <c r="K28" s="364">
        <f t="shared" si="35"/>
        <v>-1.1797117218744164</v>
      </c>
      <c r="L28" s="364">
        <f t="shared" si="35"/>
        <v>-1.3445903576369314</v>
      </c>
      <c r="M28" s="364">
        <f t="shared" si="35"/>
        <v>-1.4441787416132539</v>
      </c>
      <c r="N28" s="364">
        <f t="shared" si="35"/>
        <v>-1.5264840299250941</v>
      </c>
      <c r="O28" s="364">
        <f t="shared" si="35"/>
        <v>-1.597423287498194</v>
      </c>
      <c r="P28" s="344">
        <f t="shared" si="33"/>
        <v>-1.0237139105904323</v>
      </c>
      <c r="Q28" s="344">
        <f t="shared" si="34"/>
        <v>-1.0237139105904323</v>
      </c>
      <c r="R28" s="344">
        <f t="shared" si="34"/>
        <v>-1.0237139105904323</v>
      </c>
      <c r="S28" s="344">
        <f t="shared" si="34"/>
        <v>-1.0237139105904323</v>
      </c>
      <c r="T28" s="344">
        <f t="shared" si="34"/>
        <v>-1.0237139105904323</v>
      </c>
      <c r="U28" s="344">
        <f t="shared" si="34"/>
        <v>-1.0237139105904323</v>
      </c>
      <c r="V28" s="344">
        <f t="shared" si="34"/>
        <v>-1.0237139105904323</v>
      </c>
      <c r="W28" s="344">
        <f t="shared" si="34"/>
        <v>-1.0237139105904323</v>
      </c>
      <c r="X28" s="344">
        <f t="shared" si="34"/>
        <v>-1.0237139105904323</v>
      </c>
      <c r="Y28" s="344">
        <f t="shared" si="34"/>
        <v>-1.0237139105904323</v>
      </c>
      <c r="Z28" s="344">
        <f t="shared" si="34"/>
        <v>-1.0237139105904323</v>
      </c>
      <c r="AA28" s="344">
        <f t="shared" si="34"/>
        <v>-1.0237139105904323</v>
      </c>
      <c r="AB28" s="354">
        <f t="shared" si="34"/>
        <v>-1.0237139105904323</v>
      </c>
      <c r="AD28" s="418" t="s">
        <v>234</v>
      </c>
    </row>
    <row r="29" spans="2:30" x14ac:dyDescent="0.3">
      <c r="B29" s="185" t="s">
        <v>6</v>
      </c>
      <c r="C29" s="363">
        <f t="shared" ref="C29:O29" si="36">+C7/C18</f>
        <v>-2.5206375538004409</v>
      </c>
      <c r="D29" s="363">
        <f t="shared" si="36"/>
        <v>-2.5864720500290663</v>
      </c>
      <c r="E29" s="363">
        <f t="shared" si="36"/>
        <v>-2.6520246924533617</v>
      </c>
      <c r="F29" s="363">
        <f t="shared" si="36"/>
        <v>-3.044298378757186</v>
      </c>
      <c r="G29" s="363">
        <f t="shared" si="36"/>
        <v>-3.4083289869315037</v>
      </c>
      <c r="H29" s="363">
        <f t="shared" si="36"/>
        <v>-3.5622739156366428</v>
      </c>
      <c r="I29" s="363">
        <f t="shared" si="36"/>
        <v>-3.7165505796896645</v>
      </c>
      <c r="J29" s="363">
        <f t="shared" si="36"/>
        <v>-3.8343834728200545</v>
      </c>
      <c r="K29" s="364">
        <f t="shared" si="36"/>
        <v>-3.9483884656554071</v>
      </c>
      <c r="L29" s="364">
        <f t="shared" si="36"/>
        <v>-4.0679287090718939</v>
      </c>
      <c r="M29" s="364">
        <f t="shared" si="36"/>
        <v>-4.2055367388188083</v>
      </c>
      <c r="N29" s="364">
        <f t="shared" si="36"/>
        <v>-4.2639005337663427</v>
      </c>
      <c r="O29" s="364">
        <f t="shared" si="36"/>
        <v>-4.3349440039710005</v>
      </c>
      <c r="P29" s="344">
        <f t="shared" si="33"/>
        <v>-3.5496667754924127</v>
      </c>
      <c r="Q29" s="344">
        <f t="shared" si="34"/>
        <v>-3.5496667754924127</v>
      </c>
      <c r="R29" s="344">
        <f t="shared" si="34"/>
        <v>-3.5496667754924127</v>
      </c>
      <c r="S29" s="344">
        <f t="shared" si="34"/>
        <v>-3.5496667754924127</v>
      </c>
      <c r="T29" s="344">
        <f t="shared" si="34"/>
        <v>-3.5496667754924127</v>
      </c>
      <c r="U29" s="344">
        <f t="shared" si="34"/>
        <v>-3.5496667754924127</v>
      </c>
      <c r="V29" s="344">
        <f t="shared" si="34"/>
        <v>-3.5496667754924127</v>
      </c>
      <c r="W29" s="344">
        <f t="shared" si="34"/>
        <v>-3.5496667754924127</v>
      </c>
      <c r="X29" s="344">
        <f t="shared" si="34"/>
        <v>-3.5496667754924127</v>
      </c>
      <c r="Y29" s="344">
        <f t="shared" si="34"/>
        <v>-3.5496667754924127</v>
      </c>
      <c r="Z29" s="344">
        <f t="shared" si="34"/>
        <v>-3.5496667754924127</v>
      </c>
      <c r="AA29" s="344">
        <f t="shared" si="34"/>
        <v>-3.5496667754924127</v>
      </c>
      <c r="AB29" s="354">
        <f t="shared" si="34"/>
        <v>-3.5496667754924127</v>
      </c>
      <c r="AD29" s="418" t="s">
        <v>234</v>
      </c>
    </row>
    <row r="30" spans="2:30" x14ac:dyDescent="0.3">
      <c r="B30" s="185" t="s">
        <v>7</v>
      </c>
      <c r="C30" s="363">
        <f t="shared" ref="C30:O30" si="37">+C8/C19</f>
        <v>0.50130521399094541</v>
      </c>
      <c r="D30" s="363">
        <f t="shared" si="37"/>
        <v>0.54731973857574512</v>
      </c>
      <c r="E30" s="363">
        <f t="shared" si="37"/>
        <v>0.59260772590738664</v>
      </c>
      <c r="F30" s="363">
        <f t="shared" si="37"/>
        <v>0.29185498366191498</v>
      </c>
      <c r="G30" s="363">
        <f t="shared" si="37"/>
        <v>1.0300512581068594E-3</v>
      </c>
      <c r="H30" s="363">
        <f t="shared" si="37"/>
        <v>-0.13398168438856334</v>
      </c>
      <c r="I30" s="363">
        <f t="shared" si="37"/>
        <v>-0.26816116861484351</v>
      </c>
      <c r="J30" s="363">
        <f t="shared" si="37"/>
        <v>-0.44442228418903651</v>
      </c>
      <c r="K30" s="364">
        <f t="shared" si="37"/>
        <v>-0.60498232268419716</v>
      </c>
      <c r="L30" s="364">
        <f t="shared" si="37"/>
        <v>-0.79115535157876826</v>
      </c>
      <c r="M30" s="364">
        <f t="shared" si="37"/>
        <v>-0.94589306240526483</v>
      </c>
      <c r="N30" s="364">
        <f t="shared" si="37"/>
        <v>-1.0534137983602376</v>
      </c>
      <c r="O30" s="364">
        <f t="shared" si="37"/>
        <v>-1.1323299749473477</v>
      </c>
      <c r="P30" s="344">
        <f t="shared" si="33"/>
        <v>-0.26463245644416616</v>
      </c>
      <c r="Q30" s="344">
        <f t="shared" si="34"/>
        <v>-0.26463245644416616</v>
      </c>
      <c r="R30" s="344">
        <f t="shared" si="34"/>
        <v>-0.26463245644416616</v>
      </c>
      <c r="S30" s="344">
        <f t="shared" si="34"/>
        <v>-0.26463245644416616</v>
      </c>
      <c r="T30" s="344">
        <f t="shared" si="34"/>
        <v>-0.26463245644416616</v>
      </c>
      <c r="U30" s="344">
        <f t="shared" si="34"/>
        <v>-0.26463245644416616</v>
      </c>
      <c r="V30" s="344">
        <f t="shared" si="34"/>
        <v>-0.26463245644416616</v>
      </c>
      <c r="W30" s="344">
        <f t="shared" si="34"/>
        <v>-0.26463245644416616</v>
      </c>
      <c r="X30" s="344">
        <f t="shared" si="34"/>
        <v>-0.26463245644416616</v>
      </c>
      <c r="Y30" s="344">
        <f t="shared" si="34"/>
        <v>-0.26463245644416616</v>
      </c>
      <c r="Z30" s="344">
        <f t="shared" si="34"/>
        <v>-0.26463245644416616</v>
      </c>
      <c r="AA30" s="344">
        <f t="shared" si="34"/>
        <v>-0.26463245644416616</v>
      </c>
      <c r="AB30" s="354">
        <f t="shared" si="34"/>
        <v>-0.26463245644416616</v>
      </c>
      <c r="AD30" s="418" t="s">
        <v>234</v>
      </c>
    </row>
    <row r="31" spans="2:30" x14ac:dyDescent="0.3">
      <c r="B31" s="185" t="s">
        <v>8</v>
      </c>
      <c r="C31" s="363">
        <f t="shared" ref="C31:O31" si="38">+C9/C20</f>
        <v>-5.3798325826171283</v>
      </c>
      <c r="D31" s="363">
        <f t="shared" si="38"/>
        <v>-5.6174510895582257</v>
      </c>
      <c r="E31" s="363">
        <f t="shared" si="38"/>
        <v>-5.8245023551028687</v>
      </c>
      <c r="F31" s="363">
        <f t="shared" si="38"/>
        <v>-5.9268154485227313</v>
      </c>
      <c r="G31" s="363">
        <f t="shared" si="38"/>
        <v>-6.0249346558275114</v>
      </c>
      <c r="H31" s="363">
        <f t="shared" si="38"/>
        <v>-6.0857216626936879</v>
      </c>
      <c r="I31" s="363">
        <f t="shared" si="38"/>
        <v>-6.1451527088548987</v>
      </c>
      <c r="J31" s="363">
        <f t="shared" si="38"/>
        <v>-6.1867970118635682</v>
      </c>
      <c r="K31" s="364">
        <f t="shared" si="38"/>
        <v>-6.2266565665490772</v>
      </c>
      <c r="L31" s="364">
        <f t="shared" si="38"/>
        <v>-6.0829401952803446</v>
      </c>
      <c r="M31" s="364">
        <f t="shared" si="38"/>
        <v>-6.0670060344893777</v>
      </c>
      <c r="N31" s="364">
        <f t="shared" si="38"/>
        <v>-6.0258771665730624</v>
      </c>
      <c r="O31" s="364">
        <f t="shared" si="38"/>
        <v>-5.9952323554634335</v>
      </c>
      <c r="P31" s="344">
        <f t="shared" si="33"/>
        <v>-5.9683784487227634</v>
      </c>
      <c r="Q31" s="344">
        <f t="shared" si="34"/>
        <v>-5.9683784487227634</v>
      </c>
      <c r="R31" s="344">
        <f t="shared" si="34"/>
        <v>-5.9683784487227634</v>
      </c>
      <c r="S31" s="344">
        <f t="shared" si="34"/>
        <v>-5.9683784487227634</v>
      </c>
      <c r="T31" s="344">
        <f t="shared" si="34"/>
        <v>-5.9683784487227634</v>
      </c>
      <c r="U31" s="344">
        <f t="shared" si="34"/>
        <v>-5.9683784487227634</v>
      </c>
      <c r="V31" s="344">
        <f t="shared" si="34"/>
        <v>-5.9683784487227634</v>
      </c>
      <c r="W31" s="344">
        <f t="shared" si="34"/>
        <v>-5.9683784487227634</v>
      </c>
      <c r="X31" s="344">
        <f t="shared" si="34"/>
        <v>-5.9683784487227634</v>
      </c>
      <c r="Y31" s="344">
        <f t="shared" si="34"/>
        <v>-5.9683784487227634</v>
      </c>
      <c r="Z31" s="344">
        <f t="shared" si="34"/>
        <v>-5.9683784487227634</v>
      </c>
      <c r="AA31" s="344">
        <f t="shared" si="34"/>
        <v>-5.9683784487227634</v>
      </c>
      <c r="AB31" s="354">
        <f t="shared" si="34"/>
        <v>-5.9683784487227634</v>
      </c>
      <c r="AD31" s="418" t="s">
        <v>234</v>
      </c>
    </row>
    <row r="32" spans="2:30" x14ac:dyDescent="0.3">
      <c r="B32" s="185" t="s">
        <v>9</v>
      </c>
      <c r="C32" s="363">
        <f t="shared" ref="C32:O32" si="39">+C10/C21</f>
        <v>-4.3845485827622905</v>
      </c>
      <c r="D32" s="363">
        <f t="shared" si="39"/>
        <v>-4.6308675957676142</v>
      </c>
      <c r="E32" s="363">
        <f t="shared" si="39"/>
        <v>-4.8735945780476637</v>
      </c>
      <c r="F32" s="363">
        <f t="shared" si="39"/>
        <v>-5.0506399477349424</v>
      </c>
      <c r="G32" s="363">
        <f t="shared" si="39"/>
        <v>-5.2223303806519503</v>
      </c>
      <c r="H32" s="363">
        <f t="shared" si="39"/>
        <v>-5.304766442301422</v>
      </c>
      <c r="I32" s="363">
        <f t="shared" si="39"/>
        <v>-5.3903939874135949</v>
      </c>
      <c r="J32" s="363">
        <f t="shared" si="39"/>
        <v>-5.4493034847738224</v>
      </c>
      <c r="K32" s="364">
        <f t="shared" si="39"/>
        <v>-5.5085392774761557</v>
      </c>
      <c r="L32" s="364">
        <f t="shared" si="39"/>
        <v>-5.3005748233397343</v>
      </c>
      <c r="M32" s="364">
        <f t="shared" si="39"/>
        <v>-5.2948301774549007</v>
      </c>
      <c r="N32" s="364">
        <f t="shared" si="39"/>
        <v>-5.1523710614608822</v>
      </c>
      <c r="O32" s="364">
        <f t="shared" si="39"/>
        <v>-5.1155756840686788</v>
      </c>
      <c r="P32" s="344">
        <f t="shared" si="33"/>
        <v>-5.1291027710195118</v>
      </c>
      <c r="Q32" s="344">
        <f t="shared" si="34"/>
        <v>-5.1291027710195118</v>
      </c>
      <c r="R32" s="344">
        <f t="shared" si="34"/>
        <v>-5.1291027710195118</v>
      </c>
      <c r="S32" s="344">
        <f t="shared" si="34"/>
        <v>-5.1291027710195118</v>
      </c>
      <c r="T32" s="344">
        <f t="shared" si="34"/>
        <v>-5.1291027710195118</v>
      </c>
      <c r="U32" s="344">
        <f t="shared" si="34"/>
        <v>-5.1291027710195118</v>
      </c>
      <c r="V32" s="344">
        <f t="shared" si="34"/>
        <v>-5.1291027710195118</v>
      </c>
      <c r="W32" s="344">
        <f t="shared" si="34"/>
        <v>-5.1291027710195118</v>
      </c>
      <c r="X32" s="344">
        <f t="shared" si="34"/>
        <v>-5.1291027710195118</v>
      </c>
      <c r="Y32" s="344">
        <f t="shared" si="34"/>
        <v>-5.1291027710195118</v>
      </c>
      <c r="Z32" s="344">
        <f t="shared" si="34"/>
        <v>-5.1291027710195118</v>
      </c>
      <c r="AA32" s="344">
        <f t="shared" si="34"/>
        <v>-5.1291027710195118</v>
      </c>
      <c r="AB32" s="354">
        <f t="shared" si="34"/>
        <v>-5.1291027710195118</v>
      </c>
      <c r="AD32" s="418" t="s">
        <v>234</v>
      </c>
    </row>
    <row r="33" spans="2:30" x14ac:dyDescent="0.3">
      <c r="B33" s="185" t="s">
        <v>10</v>
      </c>
      <c r="C33" s="363">
        <f t="shared" ref="C33:O33" si="40">+C11/C22</f>
        <v>-6.6244933333333327</v>
      </c>
      <c r="D33" s="363">
        <f t="shared" si="40"/>
        <v>-6.6244933333333318</v>
      </c>
      <c r="E33" s="363">
        <f t="shared" si="40"/>
        <v>-6.6244933333333327</v>
      </c>
      <c r="F33" s="363">
        <f t="shared" si="40"/>
        <v>-6.6244933333333318</v>
      </c>
      <c r="G33" s="363">
        <f t="shared" si="40"/>
        <v>-6.6244933333333327</v>
      </c>
      <c r="H33" s="363">
        <f t="shared" si="40"/>
        <v>-6.6244933333333327</v>
      </c>
      <c r="I33" s="363">
        <f t="shared" si="40"/>
        <v>-6.6244933333333327</v>
      </c>
      <c r="J33" s="363">
        <f t="shared" si="40"/>
        <v>-6.6244933333333327</v>
      </c>
      <c r="K33" s="364">
        <f t="shared" si="40"/>
        <v>-6.6244933333333336</v>
      </c>
      <c r="L33" s="364">
        <f t="shared" si="40"/>
        <v>-6.6244933333333336</v>
      </c>
      <c r="M33" s="364">
        <f t="shared" si="40"/>
        <v>-6.6244933333333336</v>
      </c>
      <c r="N33" s="364">
        <f t="shared" si="40"/>
        <v>-6.6244933333333327</v>
      </c>
      <c r="O33" s="364">
        <f t="shared" si="40"/>
        <v>-6.6244933333333327</v>
      </c>
      <c r="P33" s="344">
        <f t="shared" si="33"/>
        <v>-6.6244933333333336</v>
      </c>
      <c r="Q33" s="344">
        <f t="shared" si="34"/>
        <v>-6.6244933333333336</v>
      </c>
      <c r="R33" s="344">
        <f t="shared" si="34"/>
        <v>-6.6244933333333336</v>
      </c>
      <c r="S33" s="344">
        <f t="shared" si="34"/>
        <v>-6.6244933333333336</v>
      </c>
      <c r="T33" s="344">
        <f t="shared" si="34"/>
        <v>-6.6244933333333336</v>
      </c>
      <c r="U33" s="344">
        <f t="shared" si="34"/>
        <v>-6.6244933333333336</v>
      </c>
      <c r="V33" s="344">
        <f t="shared" si="34"/>
        <v>-6.6244933333333336</v>
      </c>
      <c r="W33" s="344">
        <f t="shared" si="34"/>
        <v>-6.6244933333333336</v>
      </c>
      <c r="X33" s="344">
        <f t="shared" si="34"/>
        <v>-6.6244933333333336</v>
      </c>
      <c r="Y33" s="344">
        <f t="shared" si="34"/>
        <v>-6.6244933333333336</v>
      </c>
      <c r="Z33" s="344">
        <f t="shared" si="34"/>
        <v>-6.6244933333333336</v>
      </c>
      <c r="AA33" s="344">
        <f t="shared" si="34"/>
        <v>-6.6244933333333336</v>
      </c>
      <c r="AB33" s="354">
        <f t="shared" si="34"/>
        <v>-6.6244933333333336</v>
      </c>
      <c r="AD33" s="418" t="s">
        <v>234</v>
      </c>
    </row>
    <row r="34" spans="2:30" x14ac:dyDescent="0.3">
      <c r="B34" s="185" t="s">
        <v>11</v>
      </c>
      <c r="C34" s="363">
        <f t="shared" ref="C34:O34" si="41">+C12/C23</f>
        <v>-6.4927068279332847</v>
      </c>
      <c r="D34" s="363">
        <f t="shared" si="41"/>
        <v>-6.4972353995586394</v>
      </c>
      <c r="E34" s="363">
        <f t="shared" si="41"/>
        <v>-6.5017339509709977</v>
      </c>
      <c r="F34" s="363">
        <f t="shared" si="41"/>
        <v>-6.5059330491731497</v>
      </c>
      <c r="G34" s="363">
        <f t="shared" si="41"/>
        <v>-6.5099963666563303</v>
      </c>
      <c r="H34" s="363">
        <f t="shared" si="41"/>
        <v>-6.5180403865492496</v>
      </c>
      <c r="I34" s="363">
        <f t="shared" si="41"/>
        <v>-6.52572263942566</v>
      </c>
      <c r="J34" s="363">
        <f t="shared" si="41"/>
        <v>-6.5285831928792772</v>
      </c>
      <c r="K34" s="364">
        <f t="shared" si="41"/>
        <v>-6.5314039381580988</v>
      </c>
      <c r="L34" s="364">
        <f t="shared" si="41"/>
        <v>-6.5417041679917913</v>
      </c>
      <c r="M34" s="364">
        <f t="shared" si="41"/>
        <v>-6.5460666941218255</v>
      </c>
      <c r="N34" s="364">
        <f t="shared" si="41"/>
        <v>-6.5429968345524046</v>
      </c>
      <c r="O34" s="364">
        <f t="shared" si="41"/>
        <v>-6.5477969541523278</v>
      </c>
      <c r="P34" s="344">
        <f t="shared" si="33"/>
        <v>-6.5223015693940791</v>
      </c>
      <c r="Q34" s="344">
        <f t="shared" si="34"/>
        <v>-6.5223015693940791</v>
      </c>
      <c r="R34" s="344">
        <f t="shared" si="34"/>
        <v>-6.5223015693940791</v>
      </c>
      <c r="S34" s="344">
        <f t="shared" si="34"/>
        <v>-6.5223015693940791</v>
      </c>
      <c r="T34" s="344">
        <f t="shared" si="34"/>
        <v>-6.5223015693940791</v>
      </c>
      <c r="U34" s="344">
        <f t="shared" si="34"/>
        <v>-6.5223015693940791</v>
      </c>
      <c r="V34" s="344">
        <f t="shared" si="34"/>
        <v>-6.5223015693940791</v>
      </c>
      <c r="W34" s="344">
        <f t="shared" si="34"/>
        <v>-6.5223015693940791</v>
      </c>
      <c r="X34" s="344">
        <f t="shared" si="34"/>
        <v>-6.5223015693940791</v>
      </c>
      <c r="Y34" s="344">
        <f t="shared" si="34"/>
        <v>-6.5223015693940791</v>
      </c>
      <c r="Z34" s="344">
        <f t="shared" si="34"/>
        <v>-6.5223015693940791</v>
      </c>
      <c r="AA34" s="344">
        <f t="shared" si="34"/>
        <v>-6.5223015693940791</v>
      </c>
      <c r="AB34" s="354">
        <f t="shared" si="34"/>
        <v>-6.5223015693940791</v>
      </c>
      <c r="AD34" s="418" t="s">
        <v>234</v>
      </c>
    </row>
    <row r="35" spans="2:30" ht="15" thickBot="1" x14ac:dyDescent="0.35">
      <c r="B35" s="186" t="s">
        <v>12</v>
      </c>
      <c r="C35" s="365">
        <f t="shared" ref="C35:O35" si="42">+C13/C24</f>
        <v>55.828876693882378</v>
      </c>
      <c r="D35" s="365">
        <f t="shared" si="42"/>
        <v>68.165389855423044</v>
      </c>
      <c r="E35" s="365">
        <f t="shared" si="42"/>
        <v>80.501903016963695</v>
      </c>
      <c r="F35" s="365">
        <f t="shared" si="42"/>
        <v>93.068166445205847</v>
      </c>
      <c r="G35" s="365">
        <f t="shared" si="42"/>
        <v>105.63442987344803</v>
      </c>
      <c r="H35" s="365">
        <f t="shared" si="42"/>
        <v>71.010533426694607</v>
      </c>
      <c r="I35" s="365">
        <f t="shared" si="42"/>
        <v>58.609230970442937</v>
      </c>
      <c r="J35" s="365">
        <f t="shared" si="42"/>
        <v>56.152948045059077</v>
      </c>
      <c r="K35" s="366">
        <f t="shared" si="42"/>
        <v>53.447176116403028</v>
      </c>
      <c r="L35" s="366">
        <f t="shared" si="42"/>
        <v>46.373993990848</v>
      </c>
      <c r="M35" s="366">
        <f t="shared" si="42"/>
        <v>52.988292730822707</v>
      </c>
      <c r="N35" s="366">
        <f t="shared" si="42"/>
        <v>64.465114680730608</v>
      </c>
      <c r="O35" s="366">
        <f t="shared" si="42"/>
        <v>75.78396245731291</v>
      </c>
      <c r="P35" s="348">
        <f t="shared" si="33"/>
        <v>67.848462946402847</v>
      </c>
      <c r="Q35" s="348">
        <f t="shared" si="34"/>
        <v>67.848462946402847</v>
      </c>
      <c r="R35" s="348">
        <f t="shared" si="34"/>
        <v>67.848462946402847</v>
      </c>
      <c r="S35" s="348">
        <f t="shared" si="34"/>
        <v>67.848462946402847</v>
      </c>
      <c r="T35" s="348">
        <f t="shared" si="34"/>
        <v>67.848462946402847</v>
      </c>
      <c r="U35" s="348">
        <f t="shared" si="34"/>
        <v>67.848462946402847</v>
      </c>
      <c r="V35" s="348">
        <f t="shared" si="34"/>
        <v>67.848462946402847</v>
      </c>
      <c r="W35" s="348">
        <f t="shared" si="34"/>
        <v>67.848462946402847</v>
      </c>
      <c r="X35" s="348">
        <f t="shared" si="34"/>
        <v>67.848462946402847</v>
      </c>
      <c r="Y35" s="348">
        <f t="shared" si="34"/>
        <v>67.848462946402847</v>
      </c>
      <c r="Z35" s="348">
        <f t="shared" si="34"/>
        <v>67.848462946402847</v>
      </c>
      <c r="AA35" s="348">
        <f t="shared" si="34"/>
        <v>67.848462946402847</v>
      </c>
      <c r="AB35" s="355">
        <f t="shared" si="34"/>
        <v>67.848462946402847</v>
      </c>
      <c r="AD35" s="418" t="s">
        <v>234</v>
      </c>
    </row>
    <row r="36" spans="2:30" x14ac:dyDescent="0.3">
      <c r="C36" s="356"/>
      <c r="D36" s="356"/>
      <c r="E36" s="356"/>
      <c r="F36" s="356"/>
      <c r="G36" s="356"/>
      <c r="H36" s="356"/>
      <c r="I36" s="356"/>
      <c r="J36" s="356"/>
      <c r="K36" s="356"/>
      <c r="L36" s="356"/>
      <c r="M36" s="356"/>
      <c r="N36" s="356"/>
      <c r="O36" s="356"/>
      <c r="P36" s="356"/>
      <c r="Q36" s="356"/>
      <c r="R36" s="356"/>
      <c r="S36" s="356"/>
      <c r="T36" s="356"/>
      <c r="U36" s="356"/>
      <c r="V36" s="356"/>
      <c r="W36" s="356"/>
      <c r="X36" s="356"/>
      <c r="Y36" s="356"/>
      <c r="Z36" s="356"/>
      <c r="AA36" s="356"/>
      <c r="AB36" s="356"/>
    </row>
    <row r="37" spans="2:30" ht="15" thickBot="1" x14ac:dyDescent="0.35">
      <c r="B37" s="131" t="s">
        <v>167</v>
      </c>
      <c r="C37" s="357"/>
      <c r="D37" s="357"/>
      <c r="E37" s="357"/>
      <c r="F37" s="357"/>
      <c r="G37" s="357"/>
      <c r="H37" s="357"/>
      <c r="I37" s="357"/>
      <c r="J37" s="357"/>
      <c r="K37" s="357"/>
      <c r="L37" s="357"/>
      <c r="M37" s="357"/>
      <c r="N37" s="357"/>
      <c r="O37" s="357"/>
      <c r="P37" s="357"/>
      <c r="Q37" s="357"/>
      <c r="R37" s="357"/>
      <c r="S37" s="357"/>
      <c r="T37" s="357"/>
      <c r="U37" s="357"/>
      <c r="V37" s="357"/>
      <c r="W37" s="357"/>
      <c r="X37" s="357"/>
      <c r="Y37" s="357"/>
      <c r="Z37" s="357"/>
      <c r="AA37" s="357"/>
      <c r="AB37" s="357"/>
    </row>
    <row r="38" spans="2:30" ht="15" thickBot="1" x14ac:dyDescent="0.35">
      <c r="B38" s="142" t="s">
        <v>166</v>
      </c>
      <c r="C38" s="337">
        <f>+DATOS_INGEI!C4/1000</f>
        <v>-268.16772367916661</v>
      </c>
      <c r="D38" s="337">
        <f>+DATOS_INGEI!D4/1000</f>
        <v>-268.16772367916661</v>
      </c>
      <c r="E38" s="337">
        <f>+DATOS_INGEI!E4/1000</f>
        <v>-268.16772367916661</v>
      </c>
      <c r="F38" s="337">
        <f>+DATOS_INGEI!F4/1000</f>
        <v>-268.16772367916661</v>
      </c>
      <c r="G38" s="337">
        <f>+DATOS_INGEI!G4/1000</f>
        <v>-268.16772367916661</v>
      </c>
      <c r="H38" s="337">
        <f>+DATOS_INGEI!H4/1000</f>
        <v>-189.54363078749998</v>
      </c>
      <c r="I38" s="337">
        <f>+DATOS_INGEI!I4/1000</f>
        <v>-110.91953789583333</v>
      </c>
      <c r="J38" s="337">
        <f>+DATOS_INGEI!J4/1000</f>
        <v>-156.96964154483331</v>
      </c>
      <c r="K38" s="337">
        <f>+DATOS_INGEI!K4/1000</f>
        <v>-203.01974519383327</v>
      </c>
      <c r="L38" s="337">
        <f>+DATOS_INGEI!L4/1000</f>
        <v>-7.7945750758333334</v>
      </c>
      <c r="M38" s="337">
        <f>+DATOS_INGEI!M4/1000</f>
        <v>-7.7945750758333334</v>
      </c>
      <c r="N38" s="337">
        <f>+DATOS_INGEI!N4/1000</f>
        <v>-49.090560279749994</v>
      </c>
      <c r="O38" s="337">
        <f>+DATOS_INGEI!O4/1000</f>
        <v>-49.090560279749994</v>
      </c>
      <c r="P38" s="338">
        <f t="shared" ref="P38:AB38" si="43">+SUM(P39:P48)</f>
        <v>-49.090560279750001</v>
      </c>
      <c r="Q38" s="338">
        <f t="shared" si="43"/>
        <v>-49.090560279750001</v>
      </c>
      <c r="R38" s="338">
        <f t="shared" si="43"/>
        <v>-49.090560279750001</v>
      </c>
      <c r="S38" s="338">
        <f t="shared" si="43"/>
        <v>-49.090560279750001</v>
      </c>
      <c r="T38" s="338">
        <f t="shared" si="43"/>
        <v>-49.090560279750001</v>
      </c>
      <c r="U38" s="338">
        <f t="shared" si="43"/>
        <v>-49.090560279750001</v>
      </c>
      <c r="V38" s="338">
        <f t="shared" si="43"/>
        <v>-49.090560279750001</v>
      </c>
      <c r="W38" s="338">
        <f t="shared" si="43"/>
        <v>-49.090560279750001</v>
      </c>
      <c r="X38" s="338">
        <f t="shared" si="43"/>
        <v>-49.090560279750001</v>
      </c>
      <c r="Y38" s="338">
        <f t="shared" si="43"/>
        <v>-49.090560279750001</v>
      </c>
      <c r="Z38" s="338">
        <f t="shared" si="43"/>
        <v>-49.090560279750001</v>
      </c>
      <c r="AA38" s="338">
        <f t="shared" si="43"/>
        <v>-49.090560279750001</v>
      </c>
      <c r="AB38" s="339">
        <f t="shared" si="43"/>
        <v>-49.090560279750001</v>
      </c>
    </row>
    <row r="39" spans="2:30" x14ac:dyDescent="0.3">
      <c r="B39" s="191" t="s">
        <v>2</v>
      </c>
      <c r="C39" s="340">
        <f>+C$38*COBERTURA_BOSQUE!C35</f>
        <v>-0.65235098130430047</v>
      </c>
      <c r="D39" s="340">
        <f>+D$38*COBERTURA_BOSQUE!D35</f>
        <v>-0.68204572676752062</v>
      </c>
      <c r="E39" s="340">
        <f>+E$38*COBERTURA_BOSQUE!E35</f>
        <v>-0.7096366426237164</v>
      </c>
      <c r="F39" s="340">
        <f>+F$38*COBERTURA_BOSQUE!F35</f>
        <v>-0.69958047953240976</v>
      </c>
      <c r="G39" s="340">
        <f>+G$38*COBERTURA_BOSQUE!G35</f>
        <v>-0.68997248592448546</v>
      </c>
      <c r="H39" s="340">
        <f>+H$38*COBERTURA_BOSQUE!H35</f>
        <v>-0.48298796756841877</v>
      </c>
      <c r="I39" s="340">
        <f>+I$38*COBERTURA_BOSQUE!I35</f>
        <v>-0.27996359406789928</v>
      </c>
      <c r="J39" s="340">
        <f>+J$38*COBERTURA_BOSQUE!J35</f>
        <v>-0.38925379793987103</v>
      </c>
      <c r="K39" s="358">
        <f>+K$38*COBERTURA_BOSQUE!K35</f>
        <v>-0.49475822664371616</v>
      </c>
      <c r="L39" s="358">
        <f>+L$38*COBERTURA_BOSQUE!L35</f>
        <v>-1.899534519796919E-2</v>
      </c>
      <c r="M39" s="358">
        <f>+M$38*COBERTURA_BOSQUE!M35</f>
        <v>-1.899534519796919E-2</v>
      </c>
      <c r="N39" s="358">
        <f>+N$38*COBERTURA_BOSQUE!N35</f>
        <v>-0.11237781344024485</v>
      </c>
      <c r="O39" s="358">
        <f>+O$38*COBERTURA_BOSQUE!P35</f>
        <v>-0.11237781344024485</v>
      </c>
      <c r="P39" s="342">
        <f>+P50*P61</f>
        <v>-0.11237781344024485</v>
      </c>
      <c r="Q39" s="342">
        <f>+Q50*Q61</f>
        <v>-0.11237781344024485</v>
      </c>
      <c r="R39" s="342">
        <f t="shared" ref="R39:AB39" si="44">+R50*R61</f>
        <v>-0.11237781344024485</v>
      </c>
      <c r="S39" s="342">
        <f t="shared" si="44"/>
        <v>-0.11237781344024485</v>
      </c>
      <c r="T39" s="342">
        <f t="shared" si="44"/>
        <v>-0.11237781344024485</v>
      </c>
      <c r="U39" s="342">
        <f t="shared" si="44"/>
        <v>-0.11237781344024485</v>
      </c>
      <c r="V39" s="342">
        <f t="shared" si="44"/>
        <v>-0.11237781344024485</v>
      </c>
      <c r="W39" s="342">
        <f t="shared" si="44"/>
        <v>-0.11237781344024485</v>
      </c>
      <c r="X39" s="342">
        <f t="shared" si="44"/>
        <v>-0.11237781344024485</v>
      </c>
      <c r="Y39" s="342">
        <f t="shared" si="44"/>
        <v>-0.11237781344024485</v>
      </c>
      <c r="Z39" s="342">
        <f t="shared" si="44"/>
        <v>-0.11237781344024485</v>
      </c>
      <c r="AA39" s="342">
        <f t="shared" si="44"/>
        <v>-0.11237781344024485</v>
      </c>
      <c r="AB39" s="343">
        <f t="shared" si="44"/>
        <v>-0.11237781344024485</v>
      </c>
    </row>
    <row r="40" spans="2:30" x14ac:dyDescent="0.3">
      <c r="B40" s="185" t="s">
        <v>4</v>
      </c>
      <c r="C40" s="344">
        <f>+C$38*COBERTURA_BOSQUE!C36</f>
        <v>-6.3703285858517189</v>
      </c>
      <c r="D40" s="344">
        <f>+D$38*COBERTURA_BOSQUE!D36</f>
        <v>-6.422952359357545</v>
      </c>
      <c r="E40" s="344">
        <f>+E$38*COBERTURA_BOSQUE!E36</f>
        <v>-6.4718478149065133</v>
      </c>
      <c r="F40" s="344">
        <f>+F$38*COBERTURA_BOSQUE!F36</f>
        <v>-6.5240873375800561</v>
      </c>
      <c r="G40" s="344">
        <f>+G$38*COBERTURA_BOSQUE!G36</f>
        <v>-6.5739987198210885</v>
      </c>
      <c r="H40" s="344">
        <f>+H$38*COBERTURA_BOSQUE!H36</f>
        <v>-4.5827258850701158</v>
      </c>
      <c r="I40" s="344">
        <f>+I$38*COBERTURA_BOSQUE!I36</f>
        <v>-2.6453430376705196</v>
      </c>
      <c r="J40" s="344">
        <f>+J$38*COBERTURA_BOSQUE!J36</f>
        <v>-3.6832974033575447</v>
      </c>
      <c r="K40" s="359">
        <f>+K$38*COBERTURA_BOSQUE!K36</f>
        <v>-4.6883623349442898</v>
      </c>
      <c r="L40" s="359">
        <f>+L$38*COBERTURA_BOSQUE!L36</f>
        <v>-0.18000117263245657</v>
      </c>
      <c r="M40" s="359">
        <f>+M$38*COBERTURA_BOSQUE!M36</f>
        <v>-0.18000117263245657</v>
      </c>
      <c r="N40" s="359">
        <f>+N$38*COBERTURA_BOSQUE!N36</f>
        <v>-1.1488004330166461</v>
      </c>
      <c r="O40" s="359">
        <f>+O$38*COBERTURA_BOSQUE!P36</f>
        <v>-1.1488004330166461</v>
      </c>
      <c r="P40" s="346">
        <f t="shared" ref="P40:AB48" si="45">+P51*P62</f>
        <v>-1.1488004330166461</v>
      </c>
      <c r="Q40" s="346">
        <f t="shared" si="45"/>
        <v>-1.1488004330166461</v>
      </c>
      <c r="R40" s="346">
        <f t="shared" si="45"/>
        <v>-1.1488004330166461</v>
      </c>
      <c r="S40" s="346">
        <f t="shared" si="45"/>
        <v>-1.1488004330166461</v>
      </c>
      <c r="T40" s="346">
        <f t="shared" si="45"/>
        <v>-1.1488004330166461</v>
      </c>
      <c r="U40" s="346">
        <f t="shared" si="45"/>
        <v>-1.1488004330166461</v>
      </c>
      <c r="V40" s="346">
        <f t="shared" si="45"/>
        <v>-1.1488004330166461</v>
      </c>
      <c r="W40" s="346">
        <f t="shared" si="45"/>
        <v>-1.1488004330166461</v>
      </c>
      <c r="X40" s="346">
        <f t="shared" si="45"/>
        <v>-1.1488004330166461</v>
      </c>
      <c r="Y40" s="346">
        <f t="shared" si="45"/>
        <v>-1.1488004330166461</v>
      </c>
      <c r="Z40" s="346">
        <f t="shared" si="45"/>
        <v>-1.1488004330166461</v>
      </c>
      <c r="AA40" s="346">
        <f t="shared" si="45"/>
        <v>-1.1488004330166461</v>
      </c>
      <c r="AB40" s="347">
        <f t="shared" si="45"/>
        <v>-1.1488004330166461</v>
      </c>
    </row>
    <row r="41" spans="2:30" x14ac:dyDescent="0.3">
      <c r="B41" s="185" t="s">
        <v>5</v>
      </c>
      <c r="C41" s="344">
        <f>+C$38*COBERTURA_BOSQUE!C37</f>
        <v>-60.913705021558371</v>
      </c>
      <c r="D41" s="344">
        <f>+D$38*COBERTURA_BOSQUE!D37</f>
        <v>-58.967210892036896</v>
      </c>
      <c r="E41" s="344">
        <f>+E$38*COBERTURA_BOSQUE!E37</f>
        <v>-57.158623045788985</v>
      </c>
      <c r="F41" s="344">
        <f>+F$38*COBERTURA_BOSQUE!F37</f>
        <v>-57.496288048288427</v>
      </c>
      <c r="G41" s="344">
        <f>+G$38*COBERTURA_BOSQUE!G37</f>
        <v>-57.81890445339014</v>
      </c>
      <c r="H41" s="344">
        <f>+H$38*COBERTURA_BOSQUE!H37</f>
        <v>-40.385460310327602</v>
      </c>
      <c r="I41" s="344">
        <f>+I$38*COBERTURA_BOSQUE!I37</f>
        <v>-23.358473117119097</v>
      </c>
      <c r="J41" s="344">
        <f>+J$38*COBERTURA_BOSQUE!J37</f>
        <v>-32.803241272836154</v>
      </c>
      <c r="K41" s="359">
        <f>+K$38*COBERTURA_BOSQUE!K37</f>
        <v>-42.110083278167913</v>
      </c>
      <c r="L41" s="359">
        <f>+L$38*COBERTURA_BOSQUE!L37</f>
        <v>-1.6167403089186994</v>
      </c>
      <c r="M41" s="359">
        <f>+M$38*COBERTURA_BOSQUE!M37</f>
        <v>-1.6167403089186994</v>
      </c>
      <c r="N41" s="359">
        <f>+N$38*COBERTURA_BOSQUE!N37</f>
        <v>-10.364292130674722</v>
      </c>
      <c r="O41" s="359">
        <f>+O$38*COBERTURA_BOSQUE!P37</f>
        <v>-10.364292130674722</v>
      </c>
      <c r="P41" s="346">
        <f t="shared" si="45"/>
        <v>-10.364292130674722</v>
      </c>
      <c r="Q41" s="346">
        <f t="shared" si="45"/>
        <v>-10.364292130674722</v>
      </c>
      <c r="R41" s="346">
        <f t="shared" si="45"/>
        <v>-10.364292130674722</v>
      </c>
      <c r="S41" s="346">
        <f t="shared" si="45"/>
        <v>-10.364292130674722</v>
      </c>
      <c r="T41" s="346">
        <f t="shared" si="45"/>
        <v>-10.364292130674722</v>
      </c>
      <c r="U41" s="346">
        <f t="shared" si="45"/>
        <v>-10.364292130674722</v>
      </c>
      <c r="V41" s="346">
        <f t="shared" si="45"/>
        <v>-10.364292130674722</v>
      </c>
      <c r="W41" s="346">
        <f t="shared" si="45"/>
        <v>-10.364292130674722</v>
      </c>
      <c r="X41" s="346">
        <f t="shared" si="45"/>
        <v>-10.364292130674722</v>
      </c>
      <c r="Y41" s="346">
        <f t="shared" si="45"/>
        <v>-10.364292130674722</v>
      </c>
      <c r="Z41" s="346">
        <f t="shared" si="45"/>
        <v>-10.364292130674722</v>
      </c>
      <c r="AA41" s="346">
        <f t="shared" si="45"/>
        <v>-10.364292130674722</v>
      </c>
      <c r="AB41" s="347">
        <f t="shared" si="45"/>
        <v>-10.364292130674722</v>
      </c>
    </row>
    <row r="42" spans="2:30" x14ac:dyDescent="0.3">
      <c r="B42" s="185" t="s">
        <v>6</v>
      </c>
      <c r="C42" s="344">
        <f>+C$38*COBERTURA_BOSQUE!C38</f>
        <v>-24.761028272884086</v>
      </c>
      <c r="D42" s="344">
        <f>+D$38*COBERTURA_BOSQUE!D38</f>
        <v>-23.902950584313825</v>
      </c>
      <c r="E42" s="344">
        <f>+E$38*COBERTURA_BOSQUE!E38</f>
        <v>-23.105666454273216</v>
      </c>
      <c r="F42" s="344">
        <f>+F$38*COBERTURA_BOSQUE!F38</f>
        <v>-23.454951757902741</v>
      </c>
      <c r="G42" s="344">
        <f>+G$38*COBERTURA_BOSQUE!G38</f>
        <v>-23.788670586261368</v>
      </c>
      <c r="H42" s="344">
        <f>+H$38*COBERTURA_BOSQUE!H38</f>
        <v>-16.585331030322209</v>
      </c>
      <c r="I42" s="344">
        <f>+I$38*COBERTURA_BOSQUE!I38</f>
        <v>-9.5750732254640845</v>
      </c>
      <c r="J42" s="344">
        <f>+J$38*COBERTURA_BOSQUE!J38</f>
        <v>-13.554013076533069</v>
      </c>
      <c r="K42" s="359">
        <f>+K$38*COBERTURA_BOSQUE!K38</f>
        <v>-17.534964257764514</v>
      </c>
      <c r="L42" s="359">
        <f>+L$38*COBERTURA_BOSQUE!L38</f>
        <v>-0.67322316471585852</v>
      </c>
      <c r="M42" s="359">
        <f>+M$38*COBERTURA_BOSQUE!M38</f>
        <v>-0.67322316471585852</v>
      </c>
      <c r="N42" s="359">
        <f>+N$38*COBERTURA_BOSQUE!N38</f>
        <v>-4.2457467053070399</v>
      </c>
      <c r="O42" s="359">
        <f>+O$38*COBERTURA_BOSQUE!P38</f>
        <v>-4.2457467053070399</v>
      </c>
      <c r="P42" s="346">
        <f t="shared" si="45"/>
        <v>-4.2457467053070399</v>
      </c>
      <c r="Q42" s="346">
        <f t="shared" si="45"/>
        <v>-4.2457467053070399</v>
      </c>
      <c r="R42" s="346">
        <f t="shared" si="45"/>
        <v>-4.2457467053070399</v>
      </c>
      <c r="S42" s="346">
        <f t="shared" si="45"/>
        <v>-4.2457467053070399</v>
      </c>
      <c r="T42" s="346">
        <f t="shared" si="45"/>
        <v>-4.2457467053070399</v>
      </c>
      <c r="U42" s="346">
        <f t="shared" si="45"/>
        <v>-4.2457467053070399</v>
      </c>
      <c r="V42" s="346">
        <f t="shared" si="45"/>
        <v>-4.2457467053070399</v>
      </c>
      <c r="W42" s="346">
        <f t="shared" si="45"/>
        <v>-4.2457467053070399</v>
      </c>
      <c r="X42" s="346">
        <f t="shared" si="45"/>
        <v>-4.2457467053070399</v>
      </c>
      <c r="Y42" s="346">
        <f t="shared" si="45"/>
        <v>-4.2457467053070399</v>
      </c>
      <c r="Z42" s="346">
        <f t="shared" si="45"/>
        <v>-4.2457467053070399</v>
      </c>
      <c r="AA42" s="346">
        <f t="shared" si="45"/>
        <v>-4.2457467053070399</v>
      </c>
      <c r="AB42" s="347">
        <f t="shared" si="45"/>
        <v>-4.2457467053070399</v>
      </c>
    </row>
    <row r="43" spans="2:30" x14ac:dyDescent="0.3">
      <c r="B43" s="185" t="s">
        <v>7</v>
      </c>
      <c r="C43" s="344">
        <f>+C$38*COBERTURA_BOSQUE!C39</f>
        <v>-17.052279005008714</v>
      </c>
      <c r="D43" s="344">
        <f>+D$38*COBERTURA_BOSQUE!D39</f>
        <v>-16.557788130239043</v>
      </c>
      <c r="E43" s="344">
        <f>+E$38*COBERTURA_BOSQUE!E39</f>
        <v>-16.098331216074705</v>
      </c>
      <c r="F43" s="344">
        <f>+F$38*COBERTURA_BOSQUE!F39</f>
        <v>-15.999940874914566</v>
      </c>
      <c r="G43" s="344">
        <f>+G$38*COBERTURA_BOSQUE!G39</f>
        <v>-15.905935461481542</v>
      </c>
      <c r="H43" s="344">
        <f>+H$38*COBERTURA_BOSQUE!H39</f>
        <v>-11.135895302223574</v>
      </c>
      <c r="I43" s="344">
        <f>+I$38*COBERTURA_BOSQUE!I39</f>
        <v>-6.4558198416284629</v>
      </c>
      <c r="J43" s="344">
        <f>+J$38*COBERTURA_BOSQUE!J39</f>
        <v>-9.4271096444838545</v>
      </c>
      <c r="K43" s="359">
        <f>+K$38*COBERTURA_BOSQUE!K39</f>
        <v>-12.557135045991505</v>
      </c>
      <c r="L43" s="359">
        <f>+L$38*COBERTURA_BOSQUE!L39</f>
        <v>-0.48210843610265586</v>
      </c>
      <c r="M43" s="359">
        <f>+M$38*COBERTURA_BOSQUE!M39</f>
        <v>-0.48210843610265586</v>
      </c>
      <c r="N43" s="359">
        <f>+N$38*COBERTURA_BOSQUE!N39</f>
        <v>-3.0915973026590984</v>
      </c>
      <c r="O43" s="359">
        <f>+O$38*COBERTURA_BOSQUE!P39</f>
        <v>-3.0915973026590984</v>
      </c>
      <c r="P43" s="346">
        <f t="shared" si="45"/>
        <v>-3.0915973026590993</v>
      </c>
      <c r="Q43" s="346">
        <f t="shared" si="45"/>
        <v>-3.0915973026590993</v>
      </c>
      <c r="R43" s="346">
        <f t="shared" si="45"/>
        <v>-3.0915973026590993</v>
      </c>
      <c r="S43" s="346">
        <f t="shared" si="45"/>
        <v>-3.0915973026590993</v>
      </c>
      <c r="T43" s="346">
        <f t="shared" si="45"/>
        <v>-3.0915973026590993</v>
      </c>
      <c r="U43" s="346">
        <f t="shared" si="45"/>
        <v>-3.0915973026590993</v>
      </c>
      <c r="V43" s="346">
        <f t="shared" si="45"/>
        <v>-3.0915973026590993</v>
      </c>
      <c r="W43" s="346">
        <f t="shared" si="45"/>
        <v>-3.0915973026590993</v>
      </c>
      <c r="X43" s="346">
        <f t="shared" si="45"/>
        <v>-3.0915973026590993</v>
      </c>
      <c r="Y43" s="346">
        <f t="shared" si="45"/>
        <v>-3.0915973026590993</v>
      </c>
      <c r="Z43" s="346">
        <f t="shared" si="45"/>
        <v>-3.0915973026590993</v>
      </c>
      <c r="AA43" s="346">
        <f t="shared" si="45"/>
        <v>-3.0915973026590993</v>
      </c>
      <c r="AB43" s="347">
        <f t="shared" si="45"/>
        <v>-3.0915973026590993</v>
      </c>
    </row>
    <row r="44" spans="2:30" x14ac:dyDescent="0.3">
      <c r="B44" s="185" t="s">
        <v>8</v>
      </c>
      <c r="C44" s="344">
        <f>+C$38*COBERTURA_BOSQUE!C40</f>
        <v>-124.78000307974818</v>
      </c>
      <c r="D44" s="344">
        <f>+D$38*COBERTURA_BOSQUE!D40</f>
        <v>-129.06987711390622</v>
      </c>
      <c r="E44" s="344">
        <f>+E$38*COBERTURA_BOSQUE!E40</f>
        <v>-133.05581980052511</v>
      </c>
      <c r="F44" s="344">
        <f>+F$38*COBERTURA_BOSQUE!F40</f>
        <v>-132.80209768548548</v>
      </c>
      <c r="G44" s="344">
        <f>+G$38*COBERTURA_BOSQUE!G40</f>
        <v>-132.55968311470369</v>
      </c>
      <c r="H44" s="344">
        <f>+H$38*COBERTURA_BOSQUE!H40</f>
        <v>-93.574803318988273</v>
      </c>
      <c r="I44" s="344">
        <f>+I$38*COBERTURA_BOSQUE!I40</f>
        <v>-54.690969929449693</v>
      </c>
      <c r="J44" s="344">
        <f>+J$38*COBERTURA_BOSQUE!J40</f>
        <v>-77.84426244028829</v>
      </c>
      <c r="K44" s="359">
        <f>+K$38*COBERTURA_BOSQUE!K40</f>
        <v>-101.24157496180275</v>
      </c>
      <c r="L44" s="359">
        <f>+L$38*COBERTURA_BOSQUE!L40</f>
        <v>-3.8869867365952628</v>
      </c>
      <c r="M44" s="359">
        <f>+M$38*COBERTURA_BOSQUE!M40</f>
        <v>-3.8869867365952628</v>
      </c>
      <c r="N44" s="359">
        <f>+N$38*COBERTURA_BOSQUE!N40</f>
        <v>-24.139446643527041</v>
      </c>
      <c r="O44" s="359">
        <f>+O$38*COBERTURA_BOSQUE!P40</f>
        <v>-24.139446643527041</v>
      </c>
      <c r="P44" s="346">
        <f t="shared" si="45"/>
        <v>-24.139446643527045</v>
      </c>
      <c r="Q44" s="346">
        <f t="shared" si="45"/>
        <v>-24.139446643527045</v>
      </c>
      <c r="R44" s="346">
        <f t="shared" si="45"/>
        <v>-24.139446643527045</v>
      </c>
      <c r="S44" s="346">
        <f t="shared" si="45"/>
        <v>-24.139446643527045</v>
      </c>
      <c r="T44" s="346">
        <f t="shared" si="45"/>
        <v>-24.139446643527045</v>
      </c>
      <c r="U44" s="346">
        <f t="shared" si="45"/>
        <v>-24.139446643527045</v>
      </c>
      <c r="V44" s="346">
        <f t="shared" si="45"/>
        <v>-24.139446643527045</v>
      </c>
      <c r="W44" s="346">
        <f t="shared" si="45"/>
        <v>-24.139446643527045</v>
      </c>
      <c r="X44" s="346">
        <f t="shared" si="45"/>
        <v>-24.139446643527045</v>
      </c>
      <c r="Y44" s="346">
        <f t="shared" si="45"/>
        <v>-24.139446643527045</v>
      </c>
      <c r="Z44" s="346">
        <f t="shared" si="45"/>
        <v>-24.139446643527045</v>
      </c>
      <c r="AA44" s="346">
        <f t="shared" si="45"/>
        <v>-24.139446643527045</v>
      </c>
      <c r="AB44" s="347">
        <f t="shared" si="45"/>
        <v>-24.139446643527045</v>
      </c>
    </row>
    <row r="45" spans="2:30" x14ac:dyDescent="0.3">
      <c r="B45" s="185" t="s">
        <v>9</v>
      </c>
      <c r="C45" s="344">
        <f>+C$38*COBERTURA_BOSQUE!C41</f>
        <v>-13.824648545607442</v>
      </c>
      <c r="D45" s="344">
        <f>+D$38*COBERTURA_BOSQUE!D41</f>
        <v>-13.415471327459962</v>
      </c>
      <c r="E45" s="344">
        <f>+E$38*COBERTURA_BOSQUE!E41</f>
        <v>-13.035283721199363</v>
      </c>
      <c r="F45" s="344">
        <f>+F$38*COBERTURA_BOSQUE!F41</f>
        <v>-12.936843004231939</v>
      </c>
      <c r="G45" s="344">
        <f>+G$38*COBERTURA_BOSQUE!G41</f>
        <v>-12.842789460072517</v>
      </c>
      <c r="H45" s="344">
        <f>+H$38*COBERTURA_BOSQUE!H41</f>
        <v>-8.7965160622830432</v>
      </c>
      <c r="I45" s="344">
        <f>+I$38*COBERTURA_BOSQUE!I41</f>
        <v>-4.9873504841187826</v>
      </c>
      <c r="J45" s="344">
        <f>+J$38*COBERTURA_BOSQUE!J41</f>
        <v>-6.9241641877448235</v>
      </c>
      <c r="K45" s="359">
        <f>+K$38*COBERTURA_BOSQUE!K41</f>
        <v>-8.7880215541065745</v>
      </c>
      <c r="L45" s="359">
        <f>+L$38*COBERTURA_BOSQUE!L41</f>
        <v>-0.33740015635487003</v>
      </c>
      <c r="M45" s="359">
        <f>+M$38*COBERTURA_BOSQUE!M41</f>
        <v>-0.33740015635487003</v>
      </c>
      <c r="N45" s="359">
        <f>+N$38*COBERTURA_BOSQUE!N41</f>
        <v>-1.982061108969869</v>
      </c>
      <c r="O45" s="359">
        <f>+O$38*COBERTURA_BOSQUE!P41</f>
        <v>-1.982061108969869</v>
      </c>
      <c r="P45" s="346">
        <f t="shared" si="45"/>
        <v>-1.982061108969869</v>
      </c>
      <c r="Q45" s="346">
        <f t="shared" si="45"/>
        <v>-1.982061108969869</v>
      </c>
      <c r="R45" s="346">
        <f t="shared" si="45"/>
        <v>-1.982061108969869</v>
      </c>
      <c r="S45" s="346">
        <f t="shared" si="45"/>
        <v>-1.982061108969869</v>
      </c>
      <c r="T45" s="346">
        <f t="shared" si="45"/>
        <v>-1.982061108969869</v>
      </c>
      <c r="U45" s="346">
        <f t="shared" si="45"/>
        <v>-1.982061108969869</v>
      </c>
      <c r="V45" s="346">
        <f t="shared" si="45"/>
        <v>-1.982061108969869</v>
      </c>
      <c r="W45" s="346">
        <f t="shared" si="45"/>
        <v>-1.982061108969869</v>
      </c>
      <c r="X45" s="346">
        <f t="shared" si="45"/>
        <v>-1.982061108969869</v>
      </c>
      <c r="Y45" s="346">
        <f t="shared" si="45"/>
        <v>-1.982061108969869</v>
      </c>
      <c r="Z45" s="346">
        <f t="shared" si="45"/>
        <v>-1.982061108969869</v>
      </c>
      <c r="AA45" s="346">
        <f t="shared" si="45"/>
        <v>-1.982061108969869</v>
      </c>
      <c r="AB45" s="347">
        <f t="shared" si="45"/>
        <v>-1.982061108969869</v>
      </c>
    </row>
    <row r="46" spans="2:30" x14ac:dyDescent="0.3">
      <c r="B46" s="185" t="s">
        <v>10</v>
      </c>
      <c r="C46" s="344">
        <f>+C$38*COBERTURA_BOSQUE!C42</f>
        <v>-3.4333808955599525</v>
      </c>
      <c r="D46" s="344">
        <f>+D$38*COBERTURA_BOSQUE!D42</f>
        <v>-3.3248400023738198</v>
      </c>
      <c r="E46" s="344">
        <f>+E$38*COBERTURA_BOSQUE!E42</f>
        <v>-3.2239890738967873</v>
      </c>
      <c r="F46" s="344">
        <f>+F$38*COBERTURA_BOSQUE!F42</f>
        <v>-3.0750386670283545</v>
      </c>
      <c r="G46" s="344">
        <f>+G$38*COBERTURA_BOSQUE!G42</f>
        <v>-2.932726480551707</v>
      </c>
      <c r="H46" s="344">
        <f>+H$38*COBERTURA_BOSQUE!H42</f>
        <v>-2.15180841025603</v>
      </c>
      <c r="I46" s="344">
        <f>+I$38*COBERTURA_BOSQUE!I42</f>
        <v>-1.3042662555232698</v>
      </c>
      <c r="J46" s="344">
        <f>+J$38*COBERTURA_BOSQUE!J42</f>
        <v>-1.8074641103682296</v>
      </c>
      <c r="K46" s="359">
        <f>+K$38*COBERTURA_BOSQUE!K42</f>
        <v>-2.2897787988813807</v>
      </c>
      <c r="L46" s="359">
        <f>+L$38*COBERTURA_BOSQUE!L42</f>
        <v>-8.7911905996592321E-2</v>
      </c>
      <c r="M46" s="359">
        <f>+M$38*COBERTURA_BOSQUE!M42</f>
        <v>-8.7911905996592321E-2</v>
      </c>
      <c r="N46" s="359">
        <f>+N$38*COBERTURA_BOSQUE!N42</f>
        <v>-0.80841969834347605</v>
      </c>
      <c r="O46" s="359">
        <f>+O$38*COBERTURA_BOSQUE!P42</f>
        <v>-0.80841969834347605</v>
      </c>
      <c r="P46" s="346">
        <f t="shared" si="45"/>
        <v>-0.80841969834347605</v>
      </c>
      <c r="Q46" s="346">
        <f t="shared" si="45"/>
        <v>-0.80841969834347605</v>
      </c>
      <c r="R46" s="346">
        <f t="shared" si="45"/>
        <v>-0.80841969834347605</v>
      </c>
      <c r="S46" s="346">
        <f t="shared" si="45"/>
        <v>-0.80841969834347605</v>
      </c>
      <c r="T46" s="346">
        <f t="shared" si="45"/>
        <v>-0.80841969834347605</v>
      </c>
      <c r="U46" s="346">
        <f t="shared" si="45"/>
        <v>-0.80841969834347605</v>
      </c>
      <c r="V46" s="346">
        <f t="shared" si="45"/>
        <v>-0.80841969834347605</v>
      </c>
      <c r="W46" s="346">
        <f t="shared" si="45"/>
        <v>-0.80841969834347605</v>
      </c>
      <c r="X46" s="346">
        <f t="shared" si="45"/>
        <v>-0.80841969834347605</v>
      </c>
      <c r="Y46" s="346">
        <f t="shared" si="45"/>
        <v>-0.80841969834347605</v>
      </c>
      <c r="Z46" s="346">
        <f t="shared" si="45"/>
        <v>-0.80841969834347605</v>
      </c>
      <c r="AA46" s="346">
        <f t="shared" si="45"/>
        <v>-0.80841969834347605</v>
      </c>
      <c r="AB46" s="347">
        <f t="shared" si="45"/>
        <v>-0.80841969834347605</v>
      </c>
    </row>
    <row r="47" spans="2:30" x14ac:dyDescent="0.3">
      <c r="B47" s="185" t="s">
        <v>11</v>
      </c>
      <c r="C47" s="344">
        <f>+C$38*COBERTURA_BOSQUE!C43</f>
        <v>-14.357811202311275</v>
      </c>
      <c r="D47" s="344">
        <f>+D$38*COBERTURA_BOSQUE!D43</f>
        <v>-13.876664794396854</v>
      </c>
      <c r="E47" s="344">
        <f>+E$38*COBERTURA_BOSQUE!E43</f>
        <v>-13.429606910983765</v>
      </c>
      <c r="F47" s="344">
        <f>+F$38*COBERTURA_BOSQUE!F43</f>
        <v>-13.342799620606977</v>
      </c>
      <c r="G47" s="344">
        <f>+G$38*COBERTURA_BOSQUE!G43</f>
        <v>-13.259861040207214</v>
      </c>
      <c r="H47" s="344">
        <f>+H$38*COBERTURA_BOSQUE!H43</f>
        <v>-9.4725592192279642</v>
      </c>
      <c r="I47" s="344">
        <f>+I$38*COBERTURA_BOSQUE!I43</f>
        <v>-5.6005450390551097</v>
      </c>
      <c r="J47" s="344">
        <f>+J$38*COBERTURA_BOSQUE!J43</f>
        <v>-7.8519822659317144</v>
      </c>
      <c r="K47" s="359">
        <f>+K$38*COBERTURA_BOSQUE!K43</f>
        <v>-10.06321157223605</v>
      </c>
      <c r="L47" s="359">
        <f>+L$38*COBERTURA_BOSQUE!L43</f>
        <v>-0.38635876539446695</v>
      </c>
      <c r="M47" s="359">
        <f>+M$38*COBERTURA_BOSQUE!M43</f>
        <v>-0.38635876539446695</v>
      </c>
      <c r="N47" s="359">
        <f>+N$38*COBERTURA_BOSQUE!N43</f>
        <v>-2.2487678227891812</v>
      </c>
      <c r="O47" s="359">
        <f>+O$38*COBERTURA_BOSQUE!P43</f>
        <v>-2.2487678227891812</v>
      </c>
      <c r="P47" s="346">
        <f t="shared" si="45"/>
        <v>-2.2487678227891812</v>
      </c>
      <c r="Q47" s="346">
        <f t="shared" si="45"/>
        <v>-2.2487678227891812</v>
      </c>
      <c r="R47" s="346">
        <f t="shared" si="45"/>
        <v>-2.2487678227891812</v>
      </c>
      <c r="S47" s="346">
        <f t="shared" si="45"/>
        <v>-2.2487678227891812</v>
      </c>
      <c r="T47" s="346">
        <f t="shared" si="45"/>
        <v>-2.2487678227891812</v>
      </c>
      <c r="U47" s="346">
        <f t="shared" si="45"/>
        <v>-2.2487678227891812</v>
      </c>
      <c r="V47" s="346">
        <f t="shared" si="45"/>
        <v>-2.2487678227891812</v>
      </c>
      <c r="W47" s="346">
        <f t="shared" si="45"/>
        <v>-2.2487678227891812</v>
      </c>
      <c r="X47" s="346">
        <f t="shared" si="45"/>
        <v>-2.2487678227891812</v>
      </c>
      <c r="Y47" s="346">
        <f t="shared" si="45"/>
        <v>-2.2487678227891812</v>
      </c>
      <c r="Z47" s="346">
        <f t="shared" si="45"/>
        <v>-2.2487678227891812</v>
      </c>
      <c r="AA47" s="346">
        <f t="shared" si="45"/>
        <v>-2.2487678227891812</v>
      </c>
      <c r="AB47" s="347">
        <f t="shared" si="45"/>
        <v>-2.2487678227891812</v>
      </c>
    </row>
    <row r="48" spans="2:30" ht="15" thickBot="1" x14ac:dyDescent="0.35">
      <c r="B48" s="186" t="s">
        <v>12</v>
      </c>
      <c r="C48" s="348">
        <f>+C$38*COBERTURA_BOSQUE!C44</f>
        <v>-2.0221880893326283</v>
      </c>
      <c r="D48" s="348">
        <f>+D$38*COBERTURA_BOSQUE!D44</f>
        <v>-1.9479227483149368</v>
      </c>
      <c r="E48" s="348">
        <f>+E$38*COBERTURA_BOSQUE!E44</f>
        <v>-1.8789189988943955</v>
      </c>
      <c r="F48" s="348">
        <f>+F$38*COBERTURA_BOSQUE!F44</f>
        <v>-1.8360962035957198</v>
      </c>
      <c r="G48" s="348">
        <f>+G$38*COBERTURA_BOSQUE!G44</f>
        <v>-1.7951818767528298</v>
      </c>
      <c r="H48" s="348">
        <f>+H$38*COBERTURA_BOSQUE!H44</f>
        <v>-2.3755432812327526</v>
      </c>
      <c r="I48" s="348">
        <f>+I$38*COBERTURA_BOSQUE!I44</f>
        <v>-2.0217333717364019</v>
      </c>
      <c r="J48" s="348">
        <f>+J$38*COBERTURA_BOSQUE!J44</f>
        <v>-2.6848533453497647</v>
      </c>
      <c r="K48" s="360">
        <f>+K$38*COBERTURA_BOSQUE!K44</f>
        <v>-3.2518551632946107</v>
      </c>
      <c r="L48" s="360">
        <f>+L$38*COBERTURA_BOSQUE!L44</f>
        <v>-0.12484908392450302</v>
      </c>
      <c r="M48" s="360">
        <f>+M$38*COBERTURA_BOSQUE!M44</f>
        <v>-0.12484908392450302</v>
      </c>
      <c r="N48" s="360">
        <f>+N$38*COBERTURA_BOSQUE!N44</f>
        <v>-0.94905062102267645</v>
      </c>
      <c r="O48" s="360">
        <f>+O$38*COBERTURA_BOSQUE!P44</f>
        <v>-0.94905062102267645</v>
      </c>
      <c r="P48" s="350">
        <f t="shared" si="45"/>
        <v>-0.94905062102267668</v>
      </c>
      <c r="Q48" s="350">
        <f t="shared" si="45"/>
        <v>-0.94905062102267668</v>
      </c>
      <c r="R48" s="350">
        <f t="shared" si="45"/>
        <v>-0.94905062102267668</v>
      </c>
      <c r="S48" s="350">
        <f t="shared" si="45"/>
        <v>-0.94905062102267668</v>
      </c>
      <c r="T48" s="350">
        <f t="shared" si="45"/>
        <v>-0.94905062102267668</v>
      </c>
      <c r="U48" s="350">
        <f t="shared" si="45"/>
        <v>-0.94905062102267668</v>
      </c>
      <c r="V48" s="350">
        <f t="shared" si="45"/>
        <v>-0.94905062102267668</v>
      </c>
      <c r="W48" s="350">
        <f t="shared" si="45"/>
        <v>-0.94905062102267668</v>
      </c>
      <c r="X48" s="350">
        <f t="shared" si="45"/>
        <v>-0.94905062102267668</v>
      </c>
      <c r="Y48" s="350">
        <f t="shared" si="45"/>
        <v>-0.94905062102267668</v>
      </c>
      <c r="Z48" s="350">
        <f t="shared" si="45"/>
        <v>-0.94905062102267668</v>
      </c>
      <c r="AA48" s="350">
        <f t="shared" si="45"/>
        <v>-0.94905062102267668</v>
      </c>
      <c r="AB48" s="351">
        <f t="shared" si="45"/>
        <v>-0.94905062102267668</v>
      </c>
    </row>
    <row r="49" spans="2:30" ht="15" thickBot="1" x14ac:dyDescent="0.35">
      <c r="B49" s="142" t="s">
        <v>34</v>
      </c>
      <c r="C49" s="337"/>
      <c r="D49" s="337"/>
      <c r="E49" s="337"/>
      <c r="F49" s="337"/>
      <c r="G49" s="337"/>
      <c r="H49" s="337"/>
      <c r="I49" s="337"/>
      <c r="J49" s="337"/>
      <c r="K49" s="337"/>
      <c r="L49" s="337"/>
      <c r="M49" s="337"/>
      <c r="N49" s="337"/>
      <c r="O49" s="337"/>
      <c r="P49" s="337"/>
      <c r="Q49" s="337"/>
      <c r="R49" s="337"/>
      <c r="S49" s="337"/>
      <c r="T49" s="337"/>
      <c r="U49" s="337"/>
      <c r="V49" s="337"/>
      <c r="W49" s="337"/>
      <c r="X49" s="337"/>
      <c r="Y49" s="337"/>
      <c r="Z49" s="337"/>
      <c r="AA49" s="337"/>
      <c r="AB49" s="352"/>
      <c r="AD49" s="414"/>
    </row>
    <row r="50" spans="2:30" x14ac:dyDescent="0.3">
      <c r="B50" s="191" t="s">
        <v>2</v>
      </c>
      <c r="C50" s="469">
        <f>+COBERTURA_HACIA_TF!C10/1000</f>
        <v>3.0773897677795654E-2</v>
      </c>
      <c r="D50" s="469">
        <f>+COBERTURA_HACIA_TF!D10/1000</f>
        <v>3.2174712706273492E-2</v>
      </c>
      <c r="E50" s="469">
        <f>+COBERTURA_HACIA_TF!E10/1000</f>
        <v>3.3476282023602637E-2</v>
      </c>
      <c r="F50" s="469">
        <f>+COBERTURA_HACIA_TF!F10/1000</f>
        <v>3.3001894243294021E-2</v>
      </c>
      <c r="G50" s="469">
        <f>+COBERTURA_HACIA_TF!G10/1000</f>
        <v>3.2548648336331469E-2</v>
      </c>
      <c r="H50" s="469">
        <f>+COBERTURA_HACIA_TF!H10/1000</f>
        <v>2.2784394780612286E-2</v>
      </c>
      <c r="I50" s="469">
        <f>+COBERTURA_HACIA_TF!I10/1000</f>
        <v>1.3206956445635463E-2</v>
      </c>
      <c r="J50" s="469">
        <f>+COBERTURA_HACIA_TF!J10/1000</f>
        <v>1.8362594510925079E-2</v>
      </c>
      <c r="K50" s="470">
        <f>+COBERTURA_HACIA_TF!K10/1000</f>
        <v>2.3339643042368768E-2</v>
      </c>
      <c r="L50" s="470">
        <f>+COBERTURA_HACIA_TF!L10/1000</f>
        <v>8.9608328373776494E-4</v>
      </c>
      <c r="M50" s="470">
        <f>+COBERTURA_HACIA_TF!M10/1000</f>
        <v>8.9608328373776494E-4</v>
      </c>
      <c r="N50" s="470">
        <f>+COBERTURA_HACIA_TF!N10/1000</f>
        <v>5.3012924501930321E-3</v>
      </c>
      <c r="O50" s="470">
        <f>+COBERTURA_HACIA_TF!O10/1000</f>
        <v>5.3012924501930321E-3</v>
      </c>
      <c r="P50" s="469">
        <f>+COBERTURA_HACIA_TF!P10/1000</f>
        <v>5.3012924501930321E-3</v>
      </c>
      <c r="Q50" s="469">
        <f>+COBERTURA_HACIA_TF!Q10/1000</f>
        <v>5.3012924501930321E-3</v>
      </c>
      <c r="R50" s="469">
        <f>+COBERTURA_HACIA_TF!R10/1000</f>
        <v>5.3012924501930321E-3</v>
      </c>
      <c r="S50" s="469">
        <f>+COBERTURA_HACIA_TF!S10/1000</f>
        <v>5.3012924501930321E-3</v>
      </c>
      <c r="T50" s="469">
        <f>+COBERTURA_HACIA_TF!T10/1000</f>
        <v>5.3012924501930321E-3</v>
      </c>
      <c r="U50" s="469">
        <f>+COBERTURA_HACIA_TF!U10/1000</f>
        <v>5.3012924501930321E-3</v>
      </c>
      <c r="V50" s="469">
        <f>+COBERTURA_HACIA_TF!V10/1000</f>
        <v>5.3012924501930321E-3</v>
      </c>
      <c r="W50" s="469">
        <f>+COBERTURA_HACIA_TF!W10/1000</f>
        <v>5.3012924501930321E-3</v>
      </c>
      <c r="X50" s="469">
        <f>+COBERTURA_HACIA_TF!X10/1000</f>
        <v>5.3012924501930321E-3</v>
      </c>
      <c r="Y50" s="469">
        <f>+COBERTURA_HACIA_TF!Y10/1000</f>
        <v>5.3012924501930321E-3</v>
      </c>
      <c r="Z50" s="469">
        <f>+COBERTURA_HACIA_TF!Z10/1000</f>
        <v>5.3012924501930321E-3</v>
      </c>
      <c r="AA50" s="469">
        <f>+COBERTURA_HACIA_TF!AA10/1000</f>
        <v>5.3012924501930321E-3</v>
      </c>
      <c r="AB50" s="471">
        <f>+COBERTURA_HACIA_TF!AB10/1000</f>
        <v>5.3012924501930321E-3</v>
      </c>
    </row>
    <row r="51" spans="2:30" x14ac:dyDescent="0.3">
      <c r="B51" s="185" t="s">
        <v>4</v>
      </c>
      <c r="C51" s="472">
        <f>+COBERTURA_HACIA_TF!C11/1000</f>
        <v>0.30051283081230057</v>
      </c>
      <c r="D51" s="472">
        <f>+COBERTURA_HACIA_TF!D11/1000</f>
        <v>0.30299529603071712</v>
      </c>
      <c r="E51" s="472">
        <f>+COBERTURA_HACIA_TF!E11/1000</f>
        <v>0.30530188219230253</v>
      </c>
      <c r="F51" s="472">
        <f>+COBERTURA_HACIA_TF!F11/1000</f>
        <v>0.30776622082528537</v>
      </c>
      <c r="G51" s="472">
        <f>+COBERTURA_HACIA_TF!G11/1000</f>
        <v>0.31012073214520691</v>
      </c>
      <c r="H51" s="472">
        <f>+COBERTURA_HACIA_TF!H11/1000</f>
        <v>0.21618475562122003</v>
      </c>
      <c r="I51" s="472">
        <f>+COBERTURA_HACIA_TF!I11/1000</f>
        <v>0.12479097647891442</v>
      </c>
      <c r="J51" s="472">
        <f>+COBERTURA_HACIA_TF!J11/1000</f>
        <v>0.17375526466011662</v>
      </c>
      <c r="K51" s="473">
        <f>+COBERTURA_HACIA_TF!K11/1000</f>
        <v>0.22116803209759436</v>
      </c>
      <c r="L51" s="473">
        <f>+COBERTURA_HACIA_TF!L11/1000</f>
        <v>8.4913456516907248E-3</v>
      </c>
      <c r="M51" s="473">
        <f>+COBERTURA_HACIA_TF!M11/1000</f>
        <v>8.4913456516907248E-3</v>
      </c>
      <c r="N51" s="473">
        <f>+COBERTURA_HACIA_TF!N11/1000</f>
        <v>5.4193322292820395E-2</v>
      </c>
      <c r="O51" s="473">
        <f>+COBERTURA_HACIA_TF!O11/1000</f>
        <v>5.4193322292820395E-2</v>
      </c>
      <c r="P51" s="472">
        <f>+COBERTURA_HACIA_TF!P11/1000</f>
        <v>5.4193322292820395E-2</v>
      </c>
      <c r="Q51" s="472">
        <f>+COBERTURA_HACIA_TF!Q11/1000</f>
        <v>5.4193322292820395E-2</v>
      </c>
      <c r="R51" s="472">
        <f>+COBERTURA_HACIA_TF!R11/1000</f>
        <v>5.4193322292820395E-2</v>
      </c>
      <c r="S51" s="472">
        <f>+COBERTURA_HACIA_TF!S11/1000</f>
        <v>5.4193322292820395E-2</v>
      </c>
      <c r="T51" s="472">
        <f>+COBERTURA_HACIA_TF!T11/1000</f>
        <v>5.4193322292820395E-2</v>
      </c>
      <c r="U51" s="472">
        <f>+COBERTURA_HACIA_TF!U11/1000</f>
        <v>5.4193322292820395E-2</v>
      </c>
      <c r="V51" s="472">
        <f>+COBERTURA_HACIA_TF!V11/1000</f>
        <v>5.4193322292820395E-2</v>
      </c>
      <c r="W51" s="472">
        <f>+COBERTURA_HACIA_TF!W11/1000</f>
        <v>5.4193322292820395E-2</v>
      </c>
      <c r="X51" s="472">
        <f>+COBERTURA_HACIA_TF!X11/1000</f>
        <v>5.4193322292820395E-2</v>
      </c>
      <c r="Y51" s="472">
        <f>+COBERTURA_HACIA_TF!Y11/1000</f>
        <v>5.4193322292820395E-2</v>
      </c>
      <c r="Z51" s="472">
        <f>+COBERTURA_HACIA_TF!Z11/1000</f>
        <v>5.4193322292820395E-2</v>
      </c>
      <c r="AA51" s="472">
        <f>+COBERTURA_HACIA_TF!AA11/1000</f>
        <v>5.4193322292820395E-2</v>
      </c>
      <c r="AB51" s="474">
        <f>+COBERTURA_HACIA_TF!AB11/1000</f>
        <v>5.4193322292820395E-2</v>
      </c>
    </row>
    <row r="52" spans="2:30" x14ac:dyDescent="0.3">
      <c r="B52" s="185" t="s">
        <v>5</v>
      </c>
      <c r="C52" s="472">
        <f>+COBERTURA_HACIA_TF!C12/1000</f>
        <v>2.8735330814723605</v>
      </c>
      <c r="D52" s="472">
        <f>+COBERTURA_HACIA_TF!D12/1000</f>
        <v>2.7817094882088722</v>
      </c>
      <c r="E52" s="472">
        <f>+COBERTURA_HACIA_TF!E12/1000</f>
        <v>2.6963914632241348</v>
      </c>
      <c r="F52" s="472">
        <f>+COBERTURA_HACIA_TF!F12/1000</f>
        <v>2.7123204164013255</v>
      </c>
      <c r="G52" s="472">
        <f>+COBERTURA_HACIA_TF!G12/1000</f>
        <v>2.7275394695250412</v>
      </c>
      <c r="H52" s="472">
        <f>+COBERTURA_HACIA_TF!H12/1000</f>
        <v>1.9051370487338397</v>
      </c>
      <c r="I52" s="472">
        <f>+COBERTURA_HACIA_TF!I12/1000</f>
        <v>1.1019087611067027</v>
      </c>
      <c r="J52" s="472">
        <f>+COBERTURA_HACIA_TF!J12/1000</f>
        <v>1.5474546974880872</v>
      </c>
      <c r="K52" s="473">
        <f>+COBERTURA_HACIA_TF!K12/1000</f>
        <v>1.9864941283828652</v>
      </c>
      <c r="L52" s="473">
        <f>+COBERTURA_HACIA_TF!L12/1000</f>
        <v>7.6267840877246168E-2</v>
      </c>
      <c r="M52" s="473">
        <f>+COBERTURA_HACIA_TF!M12/1000</f>
        <v>7.6267840877246168E-2</v>
      </c>
      <c r="N52" s="473">
        <f>+COBERTURA_HACIA_TF!N12/1000</f>
        <v>0.48892340882888463</v>
      </c>
      <c r="O52" s="473">
        <f>+COBERTURA_HACIA_TF!O12/1000</f>
        <v>0.48892340882888463</v>
      </c>
      <c r="P52" s="472">
        <f>+COBERTURA_HACIA_TF!P12/1000</f>
        <v>0.48892340882888463</v>
      </c>
      <c r="Q52" s="472">
        <f>+COBERTURA_HACIA_TF!Q12/1000</f>
        <v>0.48892340882888463</v>
      </c>
      <c r="R52" s="472">
        <f>+COBERTURA_HACIA_TF!R12/1000</f>
        <v>0.48892340882888463</v>
      </c>
      <c r="S52" s="472">
        <f>+COBERTURA_HACIA_TF!S12/1000</f>
        <v>0.48892340882888463</v>
      </c>
      <c r="T52" s="472">
        <f>+COBERTURA_HACIA_TF!T12/1000</f>
        <v>0.48892340882888463</v>
      </c>
      <c r="U52" s="472">
        <f>+COBERTURA_HACIA_TF!U12/1000</f>
        <v>0.48892340882888463</v>
      </c>
      <c r="V52" s="472">
        <f>+COBERTURA_HACIA_TF!V12/1000</f>
        <v>0.48892340882888463</v>
      </c>
      <c r="W52" s="472">
        <f>+COBERTURA_HACIA_TF!W12/1000</f>
        <v>0.48892340882888463</v>
      </c>
      <c r="X52" s="472">
        <f>+COBERTURA_HACIA_TF!X12/1000</f>
        <v>0.48892340882888463</v>
      </c>
      <c r="Y52" s="472">
        <f>+COBERTURA_HACIA_TF!Y12/1000</f>
        <v>0.48892340882888463</v>
      </c>
      <c r="Z52" s="472">
        <f>+COBERTURA_HACIA_TF!Z12/1000</f>
        <v>0.48892340882888463</v>
      </c>
      <c r="AA52" s="472">
        <f>+COBERTURA_HACIA_TF!AA12/1000</f>
        <v>0.48892340882888463</v>
      </c>
      <c r="AB52" s="474">
        <f>+COBERTURA_HACIA_TF!AB12/1000</f>
        <v>0.48892340882888463</v>
      </c>
    </row>
    <row r="53" spans="2:30" x14ac:dyDescent="0.3">
      <c r="B53" s="185" t="s">
        <v>6</v>
      </c>
      <c r="C53" s="472">
        <f>+COBERTURA_HACIA_TF!C13/1000</f>
        <v>1.1680726668690256</v>
      </c>
      <c r="D53" s="472">
        <f>+COBERTURA_HACIA_TF!D13/1000</f>
        <v>1.127593851408575</v>
      </c>
      <c r="E53" s="472">
        <f>+COBERTURA_HACIA_TF!E13/1000</f>
        <v>1.0899829012587892</v>
      </c>
      <c r="F53" s="472">
        <f>+COBERTURA_HACIA_TF!F13/1000</f>
        <v>1.1064600286063433</v>
      </c>
      <c r="G53" s="472">
        <f>+COBERTURA_HACIA_TF!G13/1000</f>
        <v>1.1222028256149856</v>
      </c>
      <c r="H53" s="472">
        <f>+COBERTURA_HACIA_TF!H13/1000</f>
        <v>0.78239367258868597</v>
      </c>
      <c r="I53" s="472">
        <f>+COBERTURA_HACIA_TF!I13/1000</f>
        <v>0.45169292626599444</v>
      </c>
      <c r="J53" s="472">
        <f>+COBERTURA_HACIA_TF!J13/1000</f>
        <v>0.63939477902948816</v>
      </c>
      <c r="K53" s="473">
        <f>+COBERTURA_HACIA_TF!K13/1000</f>
        <v>0.82719151395057766</v>
      </c>
      <c r="L53" s="473">
        <f>+COBERTURA_HACIA_TF!L13/1000</f>
        <v>3.1758518618098718E-2</v>
      </c>
      <c r="M53" s="473">
        <f>+COBERTURA_HACIA_TF!M13/1000</f>
        <v>3.1758518618098718E-2</v>
      </c>
      <c r="N53" s="473">
        <f>+COBERTURA_HACIA_TF!N13/1000</f>
        <v>0.20028815533276417</v>
      </c>
      <c r="O53" s="473">
        <f>+COBERTURA_HACIA_TF!O13/1000</f>
        <v>0.20028815533276417</v>
      </c>
      <c r="P53" s="472">
        <f>+COBERTURA_HACIA_TF!P13/1000</f>
        <v>0.20028815533276417</v>
      </c>
      <c r="Q53" s="472">
        <f>+COBERTURA_HACIA_TF!Q13/1000</f>
        <v>0.20028815533276417</v>
      </c>
      <c r="R53" s="472">
        <f>+COBERTURA_HACIA_TF!R13/1000</f>
        <v>0.20028815533276417</v>
      </c>
      <c r="S53" s="472">
        <f>+COBERTURA_HACIA_TF!S13/1000</f>
        <v>0.20028815533276417</v>
      </c>
      <c r="T53" s="472">
        <f>+COBERTURA_HACIA_TF!T13/1000</f>
        <v>0.20028815533276417</v>
      </c>
      <c r="U53" s="472">
        <f>+COBERTURA_HACIA_TF!U13/1000</f>
        <v>0.20028815533276417</v>
      </c>
      <c r="V53" s="472">
        <f>+COBERTURA_HACIA_TF!V13/1000</f>
        <v>0.20028815533276417</v>
      </c>
      <c r="W53" s="472">
        <f>+COBERTURA_HACIA_TF!W13/1000</f>
        <v>0.20028815533276417</v>
      </c>
      <c r="X53" s="472">
        <f>+COBERTURA_HACIA_TF!X13/1000</f>
        <v>0.20028815533276417</v>
      </c>
      <c r="Y53" s="472">
        <f>+COBERTURA_HACIA_TF!Y13/1000</f>
        <v>0.20028815533276417</v>
      </c>
      <c r="Z53" s="472">
        <f>+COBERTURA_HACIA_TF!Z13/1000</f>
        <v>0.20028815533276417</v>
      </c>
      <c r="AA53" s="472">
        <f>+COBERTURA_HACIA_TF!AA13/1000</f>
        <v>0.20028815533276417</v>
      </c>
      <c r="AB53" s="474">
        <f>+COBERTURA_HACIA_TF!AB13/1000</f>
        <v>0.20028815533276417</v>
      </c>
    </row>
    <row r="54" spans="2:30" x14ac:dyDescent="0.3">
      <c r="B54" s="185" t="s">
        <v>7</v>
      </c>
      <c r="C54" s="472">
        <f>+COBERTURA_HACIA_TF!C14/1000</f>
        <v>0.8044213993886451</v>
      </c>
      <c r="D54" s="472">
        <f>+COBERTURA_HACIA_TF!D14/1000</f>
        <v>0.78109436835952017</v>
      </c>
      <c r="E54" s="472">
        <f>+COBERTURA_HACIA_TF!E14/1000</f>
        <v>0.75942002361402872</v>
      </c>
      <c r="F54" s="472">
        <f>+COBERTURA_HACIA_TF!F14/1000</f>
        <v>0.75477857387589598</v>
      </c>
      <c r="G54" s="472">
        <f>+COBERTURA_HACIA_TF!G14/1000</f>
        <v>0.7503439779956802</v>
      </c>
      <c r="H54" s="472">
        <f>+COBERTURA_HACIA_TF!H14/1000</f>
        <v>0.52532288967527063</v>
      </c>
      <c r="I54" s="472">
        <f>+COBERTURA_HACIA_TF!I14/1000</f>
        <v>0.30454578122246101</v>
      </c>
      <c r="J54" s="472">
        <f>+COBERTURA_HACIA_TF!J14/1000</f>
        <v>0.44471291668277629</v>
      </c>
      <c r="K54" s="473">
        <f>+COBERTURA_HACIA_TF!K14/1000</f>
        <v>0.59236821911262905</v>
      </c>
      <c r="L54" s="473">
        <f>+COBERTURA_HACIA_TF!L14/1000</f>
        <v>2.2742903908202352E-2</v>
      </c>
      <c r="M54" s="473">
        <f>+COBERTURA_HACIA_TF!M14/1000</f>
        <v>2.2742903908202352E-2</v>
      </c>
      <c r="N54" s="473">
        <f>+COBERTURA_HACIA_TF!N14/1000</f>
        <v>0.14584250162812309</v>
      </c>
      <c r="O54" s="473">
        <f>+COBERTURA_HACIA_TF!O14/1000</f>
        <v>0.14584250162812309</v>
      </c>
      <c r="P54" s="472">
        <f>+COBERTURA_HACIA_TF!P14/1000</f>
        <v>0.14584250162812309</v>
      </c>
      <c r="Q54" s="472">
        <f>+COBERTURA_HACIA_TF!Q14/1000</f>
        <v>0.14584250162812309</v>
      </c>
      <c r="R54" s="472">
        <f>+COBERTURA_HACIA_TF!R14/1000</f>
        <v>0.14584250162812309</v>
      </c>
      <c r="S54" s="472">
        <f>+COBERTURA_HACIA_TF!S14/1000</f>
        <v>0.14584250162812309</v>
      </c>
      <c r="T54" s="472">
        <f>+COBERTURA_HACIA_TF!T14/1000</f>
        <v>0.14584250162812309</v>
      </c>
      <c r="U54" s="472">
        <f>+COBERTURA_HACIA_TF!U14/1000</f>
        <v>0.14584250162812309</v>
      </c>
      <c r="V54" s="472">
        <f>+COBERTURA_HACIA_TF!V14/1000</f>
        <v>0.14584250162812309</v>
      </c>
      <c r="W54" s="472">
        <f>+COBERTURA_HACIA_TF!W14/1000</f>
        <v>0.14584250162812309</v>
      </c>
      <c r="X54" s="472">
        <f>+COBERTURA_HACIA_TF!X14/1000</f>
        <v>0.14584250162812309</v>
      </c>
      <c r="Y54" s="472">
        <f>+COBERTURA_HACIA_TF!Y14/1000</f>
        <v>0.14584250162812309</v>
      </c>
      <c r="Z54" s="472">
        <f>+COBERTURA_HACIA_TF!Z14/1000</f>
        <v>0.14584250162812309</v>
      </c>
      <c r="AA54" s="472">
        <f>+COBERTURA_HACIA_TF!AA14/1000</f>
        <v>0.14584250162812309</v>
      </c>
      <c r="AB54" s="474">
        <f>+COBERTURA_HACIA_TF!AB14/1000</f>
        <v>0.14584250162812309</v>
      </c>
    </row>
    <row r="55" spans="2:30" x14ac:dyDescent="0.3">
      <c r="B55" s="185" t="s">
        <v>8</v>
      </c>
      <c r="C55" s="472">
        <f>+COBERTURA_HACIA_TF!C15/1000</f>
        <v>5.886351300236611</v>
      </c>
      <c r="D55" s="472">
        <f>+COBERTURA_HACIA_TF!D15/1000</f>
        <v>6.0887211109079464</v>
      </c>
      <c r="E55" s="472">
        <f>+COBERTURA_HACIA_TF!E15/1000</f>
        <v>6.2767533142815308</v>
      </c>
      <c r="F55" s="472">
        <f>+COBERTURA_HACIA_TF!F15/1000</f>
        <v>6.2647842690427051</v>
      </c>
      <c r="G55" s="472">
        <f>+COBERTURA_HACIA_TF!G15/1000</f>
        <v>6.253348644033097</v>
      </c>
      <c r="H55" s="472">
        <f>+COBERTURA_HACIA_TF!H15/1000</f>
        <v>4.414282349665279</v>
      </c>
      <c r="I55" s="472">
        <f>+COBERTURA_HACIA_TF!I15/1000</f>
        <v>2.5799828018089448</v>
      </c>
      <c r="J55" s="472">
        <f>+COBERTURA_HACIA_TF!J15/1000</f>
        <v>3.6722124068108783</v>
      </c>
      <c r="K55" s="473">
        <f>+COBERTURA_HACIA_TF!K15/1000</f>
        <v>4.7759533715793889</v>
      </c>
      <c r="L55" s="473">
        <f>+COBERTURA_HACIA_TF!L15/1000</f>
        <v>0.18336407169614369</v>
      </c>
      <c r="M55" s="473">
        <f>+COBERTURA_HACIA_TF!M15/1000</f>
        <v>0.18336407169614369</v>
      </c>
      <c r="N55" s="473">
        <f>+COBERTURA_HACIA_TF!N15/1000</f>
        <v>1.1387502775288791</v>
      </c>
      <c r="O55" s="473">
        <f>+COBERTURA_HACIA_TF!O15/1000</f>
        <v>1.1387502775288791</v>
      </c>
      <c r="P55" s="472">
        <f>+COBERTURA_HACIA_TF!P15/1000</f>
        <v>1.1387502775288791</v>
      </c>
      <c r="Q55" s="472">
        <f>+COBERTURA_HACIA_TF!Q15/1000</f>
        <v>1.1387502775288791</v>
      </c>
      <c r="R55" s="472">
        <f>+COBERTURA_HACIA_TF!R15/1000</f>
        <v>1.1387502775288791</v>
      </c>
      <c r="S55" s="472">
        <f>+COBERTURA_HACIA_TF!S15/1000</f>
        <v>1.1387502775288791</v>
      </c>
      <c r="T55" s="472">
        <f>+COBERTURA_HACIA_TF!T15/1000</f>
        <v>1.1387502775288791</v>
      </c>
      <c r="U55" s="472">
        <f>+COBERTURA_HACIA_TF!U15/1000</f>
        <v>1.1387502775288791</v>
      </c>
      <c r="V55" s="472">
        <f>+COBERTURA_HACIA_TF!V15/1000</f>
        <v>1.1387502775288791</v>
      </c>
      <c r="W55" s="472">
        <f>+COBERTURA_HACIA_TF!W15/1000</f>
        <v>1.1387502775288791</v>
      </c>
      <c r="X55" s="472">
        <f>+COBERTURA_HACIA_TF!X15/1000</f>
        <v>1.1387502775288791</v>
      </c>
      <c r="Y55" s="472">
        <f>+COBERTURA_HACIA_TF!Y15/1000</f>
        <v>1.1387502775288791</v>
      </c>
      <c r="Z55" s="472">
        <f>+COBERTURA_HACIA_TF!Z15/1000</f>
        <v>1.1387502775288791</v>
      </c>
      <c r="AA55" s="472">
        <f>+COBERTURA_HACIA_TF!AA15/1000</f>
        <v>1.1387502775288791</v>
      </c>
      <c r="AB55" s="474">
        <f>+COBERTURA_HACIA_TF!AB15/1000</f>
        <v>1.1387502775288791</v>
      </c>
    </row>
    <row r="56" spans="2:30" x14ac:dyDescent="0.3">
      <c r="B56" s="185" t="s">
        <v>9</v>
      </c>
      <c r="C56" s="472">
        <f>+COBERTURA_HACIA_TF!C16/1000</f>
        <v>0.6521616920440515</v>
      </c>
      <c r="D56" s="472">
        <f>+COBERTURA_HACIA_TF!D16/1000</f>
        <v>0.63285923339184025</v>
      </c>
      <c r="E56" s="472">
        <f>+COBERTURA_HACIA_TF!E16/1000</f>
        <v>0.61492432591299018</v>
      </c>
      <c r="F56" s="472">
        <f>+COBERTURA_HACIA_TF!F16/1000</f>
        <v>0.6102804997548269</v>
      </c>
      <c r="G56" s="472">
        <f>+COBERTURA_HACIA_TF!G16/1000</f>
        <v>0.60584363336365654</v>
      </c>
      <c r="H56" s="472">
        <f>+COBERTURA_HACIA_TF!H16/1000</f>
        <v>0.41496539896444212</v>
      </c>
      <c r="I56" s="472">
        <f>+COBERTURA_HACIA_TF!I16/1000</f>
        <v>0.23527244977038292</v>
      </c>
      <c r="J56" s="472">
        <f>+COBERTURA_HACIA_TF!J16/1000</f>
        <v>0.32663938021811567</v>
      </c>
      <c r="K56" s="473">
        <f>+COBERTURA_HACIA_TF!K16/1000</f>
        <v>0.41456468043570904</v>
      </c>
      <c r="L56" s="473">
        <f>+COBERTURA_HACIA_TF!L16/1000</f>
        <v>1.5916459368815816E-2</v>
      </c>
      <c r="M56" s="473">
        <f>+COBERTURA_HACIA_TF!M16/1000</f>
        <v>1.5916459368815816E-2</v>
      </c>
      <c r="N56" s="473">
        <f>+COBERTURA_HACIA_TF!N16/1000</f>
        <v>9.3501424090177615E-2</v>
      </c>
      <c r="O56" s="473">
        <f>+COBERTURA_HACIA_TF!O16/1000</f>
        <v>9.3501424090177615E-2</v>
      </c>
      <c r="P56" s="472">
        <f>+COBERTURA_HACIA_TF!P16/1000</f>
        <v>9.3501424090177615E-2</v>
      </c>
      <c r="Q56" s="472">
        <f>+COBERTURA_HACIA_TF!Q16/1000</f>
        <v>9.3501424090177615E-2</v>
      </c>
      <c r="R56" s="472">
        <f>+COBERTURA_HACIA_TF!R16/1000</f>
        <v>9.3501424090177615E-2</v>
      </c>
      <c r="S56" s="472">
        <f>+COBERTURA_HACIA_TF!S16/1000</f>
        <v>9.3501424090177615E-2</v>
      </c>
      <c r="T56" s="472">
        <f>+COBERTURA_HACIA_TF!T16/1000</f>
        <v>9.3501424090177615E-2</v>
      </c>
      <c r="U56" s="472">
        <f>+COBERTURA_HACIA_TF!U16/1000</f>
        <v>9.3501424090177615E-2</v>
      </c>
      <c r="V56" s="472">
        <f>+COBERTURA_HACIA_TF!V16/1000</f>
        <v>9.3501424090177615E-2</v>
      </c>
      <c r="W56" s="472">
        <f>+COBERTURA_HACIA_TF!W16/1000</f>
        <v>9.3501424090177615E-2</v>
      </c>
      <c r="X56" s="472">
        <f>+COBERTURA_HACIA_TF!X16/1000</f>
        <v>9.3501424090177615E-2</v>
      </c>
      <c r="Y56" s="472">
        <f>+COBERTURA_HACIA_TF!Y16/1000</f>
        <v>9.3501424090177615E-2</v>
      </c>
      <c r="Z56" s="472">
        <f>+COBERTURA_HACIA_TF!Z16/1000</f>
        <v>9.3501424090177615E-2</v>
      </c>
      <c r="AA56" s="472">
        <f>+COBERTURA_HACIA_TF!AA16/1000</f>
        <v>9.3501424090177615E-2</v>
      </c>
      <c r="AB56" s="474">
        <f>+COBERTURA_HACIA_TF!AB16/1000</f>
        <v>9.3501424090177615E-2</v>
      </c>
    </row>
    <row r="57" spans="2:30" x14ac:dyDescent="0.3">
      <c r="B57" s="185" t="s">
        <v>10</v>
      </c>
      <c r="C57" s="472">
        <f>+COBERTURA_HACIA_TF!C17/1000</f>
        <v>0.16196574451012308</v>
      </c>
      <c r="D57" s="472">
        <f>+COBERTURA_HACIA_TF!D17/1000</f>
        <v>0.156845454303633</v>
      </c>
      <c r="E57" s="472">
        <f>+COBERTURA_HACIA_TF!E17/1000</f>
        <v>0.15208792922494355</v>
      </c>
      <c r="F57" s="472">
        <f>+COBERTURA_HACIA_TF!F17/1000</f>
        <v>0.14506136727991442</v>
      </c>
      <c r="G57" s="472">
        <f>+COBERTURA_HACIA_TF!G17/1000</f>
        <v>0.1383479556495994</v>
      </c>
      <c r="H57" s="472">
        <f>+COBERTURA_HACIA_TF!H17/1000</f>
        <v>0.10150905530492327</v>
      </c>
      <c r="I57" s="472">
        <f>+COBERTURA_HACIA_TF!I17/1000</f>
        <v>6.152724138135697E-2</v>
      </c>
      <c r="J57" s="472">
        <f>+COBERTURA_HACIA_TF!J17/1000</f>
        <v>8.5265014053552357E-2</v>
      </c>
      <c r="K57" s="473">
        <f>+COBERTURA_HACIA_TF!K17/1000</f>
        <v>0.10801764767897488</v>
      </c>
      <c r="L57" s="473">
        <f>+COBERTURA_HACIA_TF!L17/1000</f>
        <v>4.1471417646831822E-3</v>
      </c>
      <c r="M57" s="473">
        <f>+COBERTURA_HACIA_TF!M17/1000</f>
        <v>4.1471417646831822E-3</v>
      </c>
      <c r="N57" s="473">
        <f>+COBERTURA_HACIA_TF!N17/1000</f>
        <v>3.8136257613647521E-2</v>
      </c>
      <c r="O57" s="473">
        <f>+COBERTURA_HACIA_TF!O17/1000</f>
        <v>3.8136257613647521E-2</v>
      </c>
      <c r="P57" s="472">
        <f>+COBERTURA_HACIA_TF!P17/1000</f>
        <v>3.8136257613647521E-2</v>
      </c>
      <c r="Q57" s="472">
        <f>+COBERTURA_HACIA_TF!Q17/1000</f>
        <v>3.8136257613647521E-2</v>
      </c>
      <c r="R57" s="472">
        <f>+COBERTURA_HACIA_TF!R17/1000</f>
        <v>3.8136257613647521E-2</v>
      </c>
      <c r="S57" s="472">
        <f>+COBERTURA_HACIA_TF!S17/1000</f>
        <v>3.8136257613647521E-2</v>
      </c>
      <c r="T57" s="472">
        <f>+COBERTURA_HACIA_TF!T17/1000</f>
        <v>3.8136257613647521E-2</v>
      </c>
      <c r="U57" s="472">
        <f>+COBERTURA_HACIA_TF!U17/1000</f>
        <v>3.8136257613647521E-2</v>
      </c>
      <c r="V57" s="472">
        <f>+COBERTURA_HACIA_TF!V17/1000</f>
        <v>3.8136257613647521E-2</v>
      </c>
      <c r="W57" s="472">
        <f>+COBERTURA_HACIA_TF!W17/1000</f>
        <v>3.8136257613647521E-2</v>
      </c>
      <c r="X57" s="472">
        <f>+COBERTURA_HACIA_TF!X17/1000</f>
        <v>3.8136257613647521E-2</v>
      </c>
      <c r="Y57" s="472">
        <f>+COBERTURA_HACIA_TF!Y17/1000</f>
        <v>3.8136257613647521E-2</v>
      </c>
      <c r="Z57" s="472">
        <f>+COBERTURA_HACIA_TF!Z17/1000</f>
        <v>3.8136257613647521E-2</v>
      </c>
      <c r="AA57" s="472">
        <f>+COBERTURA_HACIA_TF!AA17/1000</f>
        <v>3.8136257613647521E-2</v>
      </c>
      <c r="AB57" s="474">
        <f>+COBERTURA_HACIA_TF!AB17/1000</f>
        <v>3.8136257613647521E-2</v>
      </c>
    </row>
    <row r="58" spans="2:30" x14ac:dyDescent="0.3">
      <c r="B58" s="185" t="s">
        <v>11</v>
      </c>
      <c r="C58" s="472">
        <f>+COBERTURA_HACIA_TF!C18/1000</f>
        <v>0.67731301934062504</v>
      </c>
      <c r="D58" s="472">
        <f>+COBERTURA_HACIA_TF!D18/1000</f>
        <v>0.65461549799162233</v>
      </c>
      <c r="E58" s="472">
        <f>+COBERTURA_HACIA_TF!E18/1000</f>
        <v>0.63352606307930048</v>
      </c>
      <c r="F58" s="472">
        <f>+COBERTURA_HACIA_TF!F18/1000</f>
        <v>0.62943103026981373</v>
      </c>
      <c r="G58" s="472">
        <f>+COBERTURA_HACIA_TF!G18/1000</f>
        <v>0.6255184993471794</v>
      </c>
      <c r="H58" s="472">
        <f>+COBERTURA_HACIA_TF!H18/1000</f>
        <v>0.44685694743119042</v>
      </c>
      <c r="I58" s="472">
        <f>+COBERTURA_HACIA_TF!I18/1000</f>
        <v>0.26419918864408365</v>
      </c>
      <c r="J58" s="472">
        <f>+COBERTURA_HACIA_TF!J18/1000</f>
        <v>0.37040811732439671</v>
      </c>
      <c r="K58" s="473">
        <f>+COBERTURA_HACIA_TF!K18/1000</f>
        <v>0.47472028418631868</v>
      </c>
      <c r="L58" s="473">
        <f>+COBERTURA_HACIA_TF!L18/1000</f>
        <v>1.8226024722759776E-2</v>
      </c>
      <c r="M58" s="473">
        <f>+COBERTURA_HACIA_TF!M18/1000</f>
        <v>1.8226024722759776E-2</v>
      </c>
      <c r="N58" s="473">
        <f>+COBERTURA_HACIA_TF!N18/1000</f>
        <v>0.10608300265183852</v>
      </c>
      <c r="O58" s="473">
        <f>+COBERTURA_HACIA_TF!O18/1000</f>
        <v>0.10608300265183852</v>
      </c>
      <c r="P58" s="472">
        <f>+COBERTURA_HACIA_TF!P18/1000</f>
        <v>0.10608300265183852</v>
      </c>
      <c r="Q58" s="472">
        <f>+COBERTURA_HACIA_TF!Q18/1000</f>
        <v>0.10608300265183852</v>
      </c>
      <c r="R58" s="472">
        <f>+COBERTURA_HACIA_TF!R18/1000</f>
        <v>0.10608300265183852</v>
      </c>
      <c r="S58" s="472">
        <f>+COBERTURA_HACIA_TF!S18/1000</f>
        <v>0.10608300265183852</v>
      </c>
      <c r="T58" s="472">
        <f>+COBERTURA_HACIA_TF!T18/1000</f>
        <v>0.10608300265183852</v>
      </c>
      <c r="U58" s="472">
        <f>+COBERTURA_HACIA_TF!U18/1000</f>
        <v>0.10608300265183852</v>
      </c>
      <c r="V58" s="472">
        <f>+COBERTURA_HACIA_TF!V18/1000</f>
        <v>0.10608300265183852</v>
      </c>
      <c r="W58" s="472">
        <f>+COBERTURA_HACIA_TF!W18/1000</f>
        <v>0.10608300265183852</v>
      </c>
      <c r="X58" s="472">
        <f>+COBERTURA_HACIA_TF!X18/1000</f>
        <v>0.10608300265183852</v>
      </c>
      <c r="Y58" s="472">
        <f>+COBERTURA_HACIA_TF!Y18/1000</f>
        <v>0.10608300265183852</v>
      </c>
      <c r="Z58" s="472">
        <f>+COBERTURA_HACIA_TF!Z18/1000</f>
        <v>0.10608300265183852</v>
      </c>
      <c r="AA58" s="472">
        <f>+COBERTURA_HACIA_TF!AA18/1000</f>
        <v>0.10608300265183852</v>
      </c>
      <c r="AB58" s="474">
        <f>+COBERTURA_HACIA_TF!AB18/1000</f>
        <v>0.10608300265183852</v>
      </c>
    </row>
    <row r="59" spans="2:30" ht="15" thickBot="1" x14ac:dyDescent="0.35">
      <c r="B59" s="186" t="s">
        <v>12</v>
      </c>
      <c r="C59" s="475">
        <f>+COBERTURA_HACIA_TF!C19/1000</f>
        <v>9.5394367648465081E-2</v>
      </c>
      <c r="D59" s="475">
        <f>+COBERTURA_HACIA_TF!D19/1000</f>
        <v>9.1890986691000168E-2</v>
      </c>
      <c r="E59" s="475">
        <f>+COBERTURA_HACIA_TF!E19/1000</f>
        <v>8.8635815188373962E-2</v>
      </c>
      <c r="F59" s="475">
        <f>+COBERTURA_HACIA_TF!F19/1000</f>
        <v>8.6615699700598042E-2</v>
      </c>
      <c r="G59" s="475">
        <f>+COBERTURA_HACIA_TF!G19/1000</f>
        <v>8.4685613989219852E-2</v>
      </c>
      <c r="H59" s="475">
        <f>+COBERTURA_HACIA_TF!H19/1000</f>
        <v>0.11206348723453627</v>
      </c>
      <c r="I59" s="475">
        <f>+COBERTURA_HACIA_TF!I19/1000</f>
        <v>9.5372916875522878E-2</v>
      </c>
      <c r="J59" s="475">
        <f>+COBERTURA_HACIA_TF!J19/1000</f>
        <v>0.12665482922166388</v>
      </c>
      <c r="K59" s="476">
        <f>+COBERTURA_HACIA_TF!K19/1000</f>
        <v>0.15340247953357397</v>
      </c>
      <c r="L59" s="476">
        <f>+COBERTURA_HACIA_TF!L19/1000</f>
        <v>5.8896101086218285E-3</v>
      </c>
      <c r="M59" s="476">
        <f>+COBERTURA_HACIA_TF!M19/1000</f>
        <v>5.8896101086218285E-3</v>
      </c>
      <c r="N59" s="476">
        <f>+COBERTURA_HACIA_TF!N19/1000</f>
        <v>4.477035758267163E-2</v>
      </c>
      <c r="O59" s="476">
        <f>+COBERTURA_HACIA_TF!O19/1000</f>
        <v>4.477035758267163E-2</v>
      </c>
      <c r="P59" s="475">
        <f>+COBERTURA_HACIA_TF!P19/1000</f>
        <v>4.477035758267163E-2</v>
      </c>
      <c r="Q59" s="475">
        <f>+COBERTURA_HACIA_TF!Q19/1000</f>
        <v>4.477035758267163E-2</v>
      </c>
      <c r="R59" s="475">
        <f>+COBERTURA_HACIA_TF!R19/1000</f>
        <v>4.477035758267163E-2</v>
      </c>
      <c r="S59" s="475">
        <f>+COBERTURA_HACIA_TF!S19/1000</f>
        <v>4.477035758267163E-2</v>
      </c>
      <c r="T59" s="475">
        <f>+COBERTURA_HACIA_TF!T19/1000</f>
        <v>4.477035758267163E-2</v>
      </c>
      <c r="U59" s="475">
        <f>+COBERTURA_HACIA_TF!U19/1000</f>
        <v>4.477035758267163E-2</v>
      </c>
      <c r="V59" s="475">
        <f>+COBERTURA_HACIA_TF!V19/1000</f>
        <v>4.477035758267163E-2</v>
      </c>
      <c r="W59" s="475">
        <f>+COBERTURA_HACIA_TF!W19/1000</f>
        <v>4.477035758267163E-2</v>
      </c>
      <c r="X59" s="475">
        <f>+COBERTURA_HACIA_TF!X19/1000</f>
        <v>4.477035758267163E-2</v>
      </c>
      <c r="Y59" s="475">
        <f>+COBERTURA_HACIA_TF!Y19/1000</f>
        <v>4.477035758267163E-2</v>
      </c>
      <c r="Z59" s="475">
        <f>+COBERTURA_HACIA_TF!Z19/1000</f>
        <v>4.477035758267163E-2</v>
      </c>
      <c r="AA59" s="475">
        <f>+COBERTURA_HACIA_TF!AA19/1000</f>
        <v>4.477035758267163E-2</v>
      </c>
      <c r="AB59" s="477">
        <f>+COBERTURA_HACIA_TF!AB19/1000</f>
        <v>4.477035758267163E-2</v>
      </c>
    </row>
    <row r="60" spans="2:30" ht="15" thickBot="1" x14ac:dyDescent="0.35">
      <c r="B60" s="142" t="s">
        <v>35</v>
      </c>
      <c r="C60" s="337"/>
      <c r="D60" s="337"/>
      <c r="E60" s="337"/>
      <c r="F60" s="337"/>
      <c r="G60" s="337"/>
      <c r="H60" s="337"/>
      <c r="I60" s="337"/>
      <c r="J60" s="337"/>
      <c r="K60" s="337"/>
      <c r="L60" s="337"/>
      <c r="M60" s="337"/>
      <c r="N60" s="337"/>
      <c r="O60" s="337"/>
      <c r="P60" s="337"/>
      <c r="Q60" s="337"/>
      <c r="R60" s="337"/>
      <c r="S60" s="337"/>
      <c r="T60" s="337"/>
      <c r="U60" s="337"/>
      <c r="V60" s="337"/>
      <c r="W60" s="337"/>
      <c r="X60" s="337"/>
      <c r="Y60" s="337"/>
      <c r="Z60" s="337"/>
      <c r="AA60" s="337"/>
      <c r="AB60" s="352"/>
      <c r="AD60" s="417" t="s">
        <v>232</v>
      </c>
    </row>
    <row r="61" spans="2:30" x14ac:dyDescent="0.3">
      <c r="B61" s="191" t="s">
        <v>2</v>
      </c>
      <c r="C61" s="361">
        <f t="shared" ref="C61:O61" si="46">+C39/C50</f>
        <v>-21.198191666666666</v>
      </c>
      <c r="D61" s="361">
        <f t="shared" si="46"/>
        <v>-21.198191666666659</v>
      </c>
      <c r="E61" s="361">
        <f t="shared" si="46"/>
        <v>-21.198191666666663</v>
      </c>
      <c r="F61" s="361">
        <f t="shared" si="46"/>
        <v>-21.198191666666659</v>
      </c>
      <c r="G61" s="361">
        <f t="shared" si="46"/>
        <v>-21.198191666666663</v>
      </c>
      <c r="H61" s="361">
        <f t="shared" si="46"/>
        <v>-21.198191666666663</v>
      </c>
      <c r="I61" s="361">
        <f t="shared" si="46"/>
        <v>-21.198191666666666</v>
      </c>
      <c r="J61" s="361">
        <f t="shared" si="46"/>
        <v>-21.198191666666663</v>
      </c>
      <c r="K61" s="371">
        <f t="shared" si="46"/>
        <v>-21.198191666666663</v>
      </c>
      <c r="L61" s="371">
        <f t="shared" si="46"/>
        <v>-21.198191666666666</v>
      </c>
      <c r="M61" s="371">
        <f t="shared" si="46"/>
        <v>-21.198191666666666</v>
      </c>
      <c r="N61" s="371">
        <f t="shared" si="46"/>
        <v>-21.198191666666666</v>
      </c>
      <c r="O61" s="371">
        <f t="shared" si="46"/>
        <v>-21.198191666666666</v>
      </c>
      <c r="P61" s="340">
        <f>IF(AD61="CONSTANTE",O61,AVERAGE(C61:O61))</f>
        <v>-21.198191666666666</v>
      </c>
      <c r="Q61" s="340">
        <f t="shared" ref="Q61:AB61" si="47">+P61</f>
        <v>-21.198191666666666</v>
      </c>
      <c r="R61" s="340">
        <f t="shared" si="47"/>
        <v>-21.198191666666666</v>
      </c>
      <c r="S61" s="340">
        <f t="shared" si="47"/>
        <v>-21.198191666666666</v>
      </c>
      <c r="T61" s="340">
        <f t="shared" si="47"/>
        <v>-21.198191666666666</v>
      </c>
      <c r="U61" s="340">
        <f t="shared" si="47"/>
        <v>-21.198191666666666</v>
      </c>
      <c r="V61" s="340">
        <f t="shared" si="47"/>
        <v>-21.198191666666666</v>
      </c>
      <c r="W61" s="340">
        <f t="shared" si="47"/>
        <v>-21.198191666666666</v>
      </c>
      <c r="X61" s="340">
        <f t="shared" si="47"/>
        <v>-21.198191666666666</v>
      </c>
      <c r="Y61" s="340">
        <f t="shared" si="47"/>
        <v>-21.198191666666666</v>
      </c>
      <c r="Z61" s="340">
        <f t="shared" si="47"/>
        <v>-21.198191666666666</v>
      </c>
      <c r="AA61" s="340">
        <f t="shared" si="47"/>
        <v>-21.198191666666666</v>
      </c>
      <c r="AB61" s="353">
        <f t="shared" si="47"/>
        <v>-21.198191666666666</v>
      </c>
      <c r="AD61" s="418" t="s">
        <v>234</v>
      </c>
    </row>
    <row r="62" spans="2:30" x14ac:dyDescent="0.3">
      <c r="B62" s="185" t="s">
        <v>4</v>
      </c>
      <c r="C62" s="363">
        <f t="shared" ref="C62:O62" si="48">+C40/C51</f>
        <v>-21.198191666666663</v>
      </c>
      <c r="D62" s="363">
        <f t="shared" si="48"/>
        <v>-21.198191666666659</v>
      </c>
      <c r="E62" s="363">
        <f t="shared" si="48"/>
        <v>-21.198191666666659</v>
      </c>
      <c r="F62" s="363">
        <f t="shared" si="48"/>
        <v>-21.198191666666663</v>
      </c>
      <c r="G62" s="363">
        <f t="shared" si="48"/>
        <v>-21.198191666666659</v>
      </c>
      <c r="H62" s="363">
        <f t="shared" si="48"/>
        <v>-21.198191666666666</v>
      </c>
      <c r="I62" s="363">
        <f t="shared" si="48"/>
        <v>-21.198191666666666</v>
      </c>
      <c r="J62" s="363">
        <f t="shared" si="48"/>
        <v>-21.198191666666663</v>
      </c>
      <c r="K62" s="372">
        <f t="shared" si="48"/>
        <v>-21.198191666666663</v>
      </c>
      <c r="L62" s="372">
        <f t="shared" si="48"/>
        <v>-21.19819166666667</v>
      </c>
      <c r="M62" s="372">
        <f t="shared" si="48"/>
        <v>-21.19819166666667</v>
      </c>
      <c r="N62" s="372">
        <f t="shared" si="48"/>
        <v>-21.198191666666666</v>
      </c>
      <c r="O62" s="372">
        <f t="shared" si="48"/>
        <v>-21.198191666666666</v>
      </c>
      <c r="P62" s="376">
        <f t="shared" ref="P62:P70" si="49">IF(AD62="CONSTANTE",O62,AVERAGE(C62:O62))</f>
        <v>-21.198191666666666</v>
      </c>
      <c r="Q62" s="344">
        <f t="shared" ref="Q62:AB70" si="50">+P62</f>
        <v>-21.198191666666666</v>
      </c>
      <c r="R62" s="344">
        <f t="shared" si="50"/>
        <v>-21.198191666666666</v>
      </c>
      <c r="S62" s="344">
        <f t="shared" si="50"/>
        <v>-21.198191666666666</v>
      </c>
      <c r="T62" s="344">
        <f t="shared" si="50"/>
        <v>-21.198191666666666</v>
      </c>
      <c r="U62" s="344">
        <f t="shared" si="50"/>
        <v>-21.198191666666666</v>
      </c>
      <c r="V62" s="344">
        <f t="shared" si="50"/>
        <v>-21.198191666666666</v>
      </c>
      <c r="W62" s="344">
        <f t="shared" si="50"/>
        <v>-21.198191666666666</v>
      </c>
      <c r="X62" s="344">
        <f t="shared" si="50"/>
        <v>-21.198191666666666</v>
      </c>
      <c r="Y62" s="344">
        <f t="shared" si="50"/>
        <v>-21.198191666666666</v>
      </c>
      <c r="Z62" s="344">
        <f t="shared" si="50"/>
        <v>-21.198191666666666</v>
      </c>
      <c r="AA62" s="344">
        <f t="shared" si="50"/>
        <v>-21.198191666666666</v>
      </c>
      <c r="AB62" s="354">
        <f t="shared" si="50"/>
        <v>-21.198191666666666</v>
      </c>
      <c r="AD62" s="418" t="s">
        <v>234</v>
      </c>
    </row>
    <row r="63" spans="2:30" x14ac:dyDescent="0.3">
      <c r="B63" s="185" t="s">
        <v>5</v>
      </c>
      <c r="C63" s="363">
        <f t="shared" ref="C63:O63" si="51">+C41/C52</f>
        <v>-21.198191666666663</v>
      </c>
      <c r="D63" s="363">
        <f t="shared" si="51"/>
        <v>-21.198191666666659</v>
      </c>
      <c r="E63" s="363">
        <f t="shared" si="51"/>
        <v>-21.198191666666663</v>
      </c>
      <c r="F63" s="363">
        <f t="shared" si="51"/>
        <v>-21.198191666666663</v>
      </c>
      <c r="G63" s="363">
        <f t="shared" si="51"/>
        <v>-21.198191666666663</v>
      </c>
      <c r="H63" s="363">
        <f t="shared" si="51"/>
        <v>-21.198191666666663</v>
      </c>
      <c r="I63" s="363">
        <f t="shared" si="51"/>
        <v>-21.198191666666666</v>
      </c>
      <c r="J63" s="363">
        <f t="shared" si="51"/>
        <v>-21.198191666666663</v>
      </c>
      <c r="K63" s="372">
        <f t="shared" si="51"/>
        <v>-21.198191666666666</v>
      </c>
      <c r="L63" s="372">
        <f t="shared" si="51"/>
        <v>-21.19819166666667</v>
      </c>
      <c r="M63" s="372">
        <f t="shared" si="51"/>
        <v>-21.19819166666667</v>
      </c>
      <c r="N63" s="372">
        <f t="shared" si="51"/>
        <v>-21.198191666666666</v>
      </c>
      <c r="O63" s="372">
        <f t="shared" si="51"/>
        <v>-21.198191666666666</v>
      </c>
      <c r="P63" s="376">
        <f t="shared" si="49"/>
        <v>-21.198191666666666</v>
      </c>
      <c r="Q63" s="344">
        <f t="shared" si="50"/>
        <v>-21.198191666666666</v>
      </c>
      <c r="R63" s="344">
        <f t="shared" si="50"/>
        <v>-21.198191666666666</v>
      </c>
      <c r="S63" s="344">
        <f t="shared" si="50"/>
        <v>-21.198191666666666</v>
      </c>
      <c r="T63" s="344">
        <f t="shared" si="50"/>
        <v>-21.198191666666666</v>
      </c>
      <c r="U63" s="344">
        <f t="shared" si="50"/>
        <v>-21.198191666666666</v>
      </c>
      <c r="V63" s="344">
        <f t="shared" si="50"/>
        <v>-21.198191666666666</v>
      </c>
      <c r="W63" s="344">
        <f t="shared" si="50"/>
        <v>-21.198191666666666</v>
      </c>
      <c r="X63" s="344">
        <f t="shared" si="50"/>
        <v>-21.198191666666666</v>
      </c>
      <c r="Y63" s="344">
        <f t="shared" si="50"/>
        <v>-21.198191666666666</v>
      </c>
      <c r="Z63" s="344">
        <f t="shared" si="50"/>
        <v>-21.198191666666666</v>
      </c>
      <c r="AA63" s="344">
        <f t="shared" si="50"/>
        <v>-21.198191666666666</v>
      </c>
      <c r="AB63" s="354">
        <f t="shared" si="50"/>
        <v>-21.198191666666666</v>
      </c>
      <c r="AD63" s="418" t="s">
        <v>234</v>
      </c>
    </row>
    <row r="64" spans="2:30" x14ac:dyDescent="0.3">
      <c r="B64" s="185" t="s">
        <v>6</v>
      </c>
      <c r="C64" s="363">
        <f t="shared" ref="C64:O64" si="52">+C42/C53</f>
        <v>-21.198191666666666</v>
      </c>
      <c r="D64" s="363">
        <f t="shared" si="52"/>
        <v>-21.198191666666663</v>
      </c>
      <c r="E64" s="363">
        <f t="shared" si="52"/>
        <v>-21.198191666666663</v>
      </c>
      <c r="F64" s="363">
        <f t="shared" si="52"/>
        <v>-21.198191666666659</v>
      </c>
      <c r="G64" s="363">
        <f t="shared" si="52"/>
        <v>-21.198191666666659</v>
      </c>
      <c r="H64" s="363">
        <f t="shared" si="52"/>
        <v>-21.198191666666663</v>
      </c>
      <c r="I64" s="363">
        <f t="shared" si="52"/>
        <v>-21.198191666666666</v>
      </c>
      <c r="J64" s="363">
        <f t="shared" si="52"/>
        <v>-21.198191666666663</v>
      </c>
      <c r="K64" s="372">
        <f t="shared" si="52"/>
        <v>-21.198191666666659</v>
      </c>
      <c r="L64" s="372">
        <f t="shared" si="52"/>
        <v>-21.19819166666667</v>
      </c>
      <c r="M64" s="372">
        <f t="shared" si="52"/>
        <v>-21.19819166666667</v>
      </c>
      <c r="N64" s="372">
        <f t="shared" si="52"/>
        <v>-21.198191666666663</v>
      </c>
      <c r="O64" s="372">
        <f t="shared" si="52"/>
        <v>-21.198191666666663</v>
      </c>
      <c r="P64" s="376">
        <f t="shared" si="49"/>
        <v>-21.198191666666666</v>
      </c>
      <c r="Q64" s="344">
        <f t="shared" si="50"/>
        <v>-21.198191666666666</v>
      </c>
      <c r="R64" s="344">
        <f t="shared" si="50"/>
        <v>-21.198191666666666</v>
      </c>
      <c r="S64" s="344">
        <f t="shared" si="50"/>
        <v>-21.198191666666666</v>
      </c>
      <c r="T64" s="344">
        <f t="shared" si="50"/>
        <v>-21.198191666666666</v>
      </c>
      <c r="U64" s="344">
        <f t="shared" si="50"/>
        <v>-21.198191666666666</v>
      </c>
      <c r="V64" s="344">
        <f t="shared" si="50"/>
        <v>-21.198191666666666</v>
      </c>
      <c r="W64" s="344">
        <f t="shared" si="50"/>
        <v>-21.198191666666666</v>
      </c>
      <c r="X64" s="344">
        <f t="shared" si="50"/>
        <v>-21.198191666666666</v>
      </c>
      <c r="Y64" s="344">
        <f t="shared" si="50"/>
        <v>-21.198191666666666</v>
      </c>
      <c r="Z64" s="344">
        <f t="shared" si="50"/>
        <v>-21.198191666666666</v>
      </c>
      <c r="AA64" s="344">
        <f t="shared" si="50"/>
        <v>-21.198191666666666</v>
      </c>
      <c r="AB64" s="354">
        <f t="shared" si="50"/>
        <v>-21.198191666666666</v>
      </c>
      <c r="AD64" s="418" t="s">
        <v>234</v>
      </c>
    </row>
    <row r="65" spans="2:30" x14ac:dyDescent="0.3">
      <c r="B65" s="185" t="s">
        <v>7</v>
      </c>
      <c r="C65" s="363">
        <f t="shared" ref="C65:O65" si="53">+C43/C54</f>
        <v>-21.198191666666666</v>
      </c>
      <c r="D65" s="363">
        <f t="shared" si="53"/>
        <v>-21.198191666666666</v>
      </c>
      <c r="E65" s="363">
        <f t="shared" si="53"/>
        <v>-21.198191666666663</v>
      </c>
      <c r="F65" s="363">
        <f t="shared" si="53"/>
        <v>-21.198191666666663</v>
      </c>
      <c r="G65" s="363">
        <f t="shared" si="53"/>
        <v>-21.198191666666663</v>
      </c>
      <c r="H65" s="363">
        <f t="shared" si="53"/>
        <v>-21.198191666666666</v>
      </c>
      <c r="I65" s="363">
        <f t="shared" si="53"/>
        <v>-21.198191666666666</v>
      </c>
      <c r="J65" s="363">
        <f t="shared" si="53"/>
        <v>-21.198191666666663</v>
      </c>
      <c r="K65" s="372">
        <f t="shared" si="53"/>
        <v>-21.198191666666663</v>
      </c>
      <c r="L65" s="372">
        <f t="shared" si="53"/>
        <v>-21.198191666666666</v>
      </c>
      <c r="M65" s="372">
        <f t="shared" si="53"/>
        <v>-21.198191666666666</v>
      </c>
      <c r="N65" s="372">
        <f t="shared" si="53"/>
        <v>-21.198191666666663</v>
      </c>
      <c r="O65" s="372">
        <f t="shared" si="53"/>
        <v>-21.198191666666663</v>
      </c>
      <c r="P65" s="376">
        <f t="shared" si="49"/>
        <v>-21.19819166666667</v>
      </c>
      <c r="Q65" s="344">
        <f t="shared" si="50"/>
        <v>-21.19819166666667</v>
      </c>
      <c r="R65" s="344">
        <f t="shared" si="50"/>
        <v>-21.19819166666667</v>
      </c>
      <c r="S65" s="344">
        <f t="shared" si="50"/>
        <v>-21.19819166666667</v>
      </c>
      <c r="T65" s="344">
        <f t="shared" si="50"/>
        <v>-21.19819166666667</v>
      </c>
      <c r="U65" s="344">
        <f t="shared" si="50"/>
        <v>-21.19819166666667</v>
      </c>
      <c r="V65" s="344">
        <f t="shared" si="50"/>
        <v>-21.19819166666667</v>
      </c>
      <c r="W65" s="344">
        <f t="shared" si="50"/>
        <v>-21.19819166666667</v>
      </c>
      <c r="X65" s="344">
        <f t="shared" si="50"/>
        <v>-21.19819166666667</v>
      </c>
      <c r="Y65" s="344">
        <f t="shared" si="50"/>
        <v>-21.19819166666667</v>
      </c>
      <c r="Z65" s="344">
        <f t="shared" si="50"/>
        <v>-21.19819166666667</v>
      </c>
      <c r="AA65" s="344">
        <f t="shared" si="50"/>
        <v>-21.19819166666667</v>
      </c>
      <c r="AB65" s="354">
        <f t="shared" si="50"/>
        <v>-21.19819166666667</v>
      </c>
      <c r="AD65" s="418" t="s">
        <v>234</v>
      </c>
    </row>
    <row r="66" spans="2:30" x14ac:dyDescent="0.3">
      <c r="B66" s="185" t="s">
        <v>8</v>
      </c>
      <c r="C66" s="363">
        <f t="shared" ref="C66:O66" si="54">+C44/C55</f>
        <v>-21.198191666666659</v>
      </c>
      <c r="D66" s="363">
        <f t="shared" si="54"/>
        <v>-21.198191666666663</v>
      </c>
      <c r="E66" s="363">
        <f t="shared" si="54"/>
        <v>-21.198191666666663</v>
      </c>
      <c r="F66" s="363">
        <f t="shared" si="54"/>
        <v>-21.198191666666663</v>
      </c>
      <c r="G66" s="363">
        <f t="shared" si="54"/>
        <v>-21.198191666666666</v>
      </c>
      <c r="H66" s="363">
        <f t="shared" si="54"/>
        <v>-21.198191666666666</v>
      </c>
      <c r="I66" s="363">
        <f t="shared" si="54"/>
        <v>-21.198191666666666</v>
      </c>
      <c r="J66" s="363">
        <f t="shared" si="54"/>
        <v>-21.198191666666663</v>
      </c>
      <c r="K66" s="372">
        <f t="shared" si="54"/>
        <v>-21.198191666666663</v>
      </c>
      <c r="L66" s="372">
        <f t="shared" si="54"/>
        <v>-21.19819166666667</v>
      </c>
      <c r="M66" s="372">
        <f t="shared" si="54"/>
        <v>-21.19819166666667</v>
      </c>
      <c r="N66" s="372">
        <f t="shared" si="54"/>
        <v>-21.198191666666666</v>
      </c>
      <c r="O66" s="372">
        <f t="shared" si="54"/>
        <v>-21.198191666666666</v>
      </c>
      <c r="P66" s="376">
        <f t="shared" si="49"/>
        <v>-21.19819166666667</v>
      </c>
      <c r="Q66" s="344">
        <f t="shared" si="50"/>
        <v>-21.19819166666667</v>
      </c>
      <c r="R66" s="344">
        <f t="shared" si="50"/>
        <v>-21.19819166666667</v>
      </c>
      <c r="S66" s="344">
        <f t="shared" si="50"/>
        <v>-21.19819166666667</v>
      </c>
      <c r="T66" s="344">
        <f t="shared" si="50"/>
        <v>-21.19819166666667</v>
      </c>
      <c r="U66" s="344">
        <f t="shared" si="50"/>
        <v>-21.19819166666667</v>
      </c>
      <c r="V66" s="344">
        <f t="shared" si="50"/>
        <v>-21.19819166666667</v>
      </c>
      <c r="W66" s="344">
        <f t="shared" si="50"/>
        <v>-21.19819166666667</v>
      </c>
      <c r="X66" s="344">
        <f t="shared" si="50"/>
        <v>-21.19819166666667</v>
      </c>
      <c r="Y66" s="344">
        <f t="shared" si="50"/>
        <v>-21.19819166666667</v>
      </c>
      <c r="Z66" s="344">
        <f t="shared" si="50"/>
        <v>-21.19819166666667</v>
      </c>
      <c r="AA66" s="344">
        <f t="shared" si="50"/>
        <v>-21.19819166666667</v>
      </c>
      <c r="AB66" s="354">
        <f t="shared" si="50"/>
        <v>-21.19819166666667</v>
      </c>
      <c r="AD66" s="418" t="s">
        <v>234</v>
      </c>
    </row>
    <row r="67" spans="2:30" x14ac:dyDescent="0.3">
      <c r="B67" s="185" t="s">
        <v>9</v>
      </c>
      <c r="C67" s="363">
        <f t="shared" ref="C67:O67" si="55">+C45/C56</f>
        <v>-21.198191666666659</v>
      </c>
      <c r="D67" s="363">
        <f t="shared" si="55"/>
        <v>-21.198191666666663</v>
      </c>
      <c r="E67" s="363">
        <f t="shared" si="55"/>
        <v>-21.198191666666663</v>
      </c>
      <c r="F67" s="363">
        <f t="shared" si="55"/>
        <v>-21.198191666666663</v>
      </c>
      <c r="G67" s="363">
        <f t="shared" si="55"/>
        <v>-21.198191666666663</v>
      </c>
      <c r="H67" s="363">
        <f t="shared" si="55"/>
        <v>-21.198191666666659</v>
      </c>
      <c r="I67" s="363">
        <f t="shared" si="55"/>
        <v>-21.198191666666663</v>
      </c>
      <c r="J67" s="363">
        <f t="shared" si="55"/>
        <v>-21.198191666666663</v>
      </c>
      <c r="K67" s="372">
        <f t="shared" si="55"/>
        <v>-21.198191666666659</v>
      </c>
      <c r="L67" s="372">
        <f t="shared" si="55"/>
        <v>-21.198191666666666</v>
      </c>
      <c r="M67" s="372">
        <f t="shared" si="55"/>
        <v>-21.198191666666666</v>
      </c>
      <c r="N67" s="372">
        <f t="shared" si="55"/>
        <v>-21.198191666666666</v>
      </c>
      <c r="O67" s="372">
        <f t="shared" si="55"/>
        <v>-21.198191666666666</v>
      </c>
      <c r="P67" s="376">
        <f t="shared" si="49"/>
        <v>-21.198191666666666</v>
      </c>
      <c r="Q67" s="344">
        <f t="shared" si="50"/>
        <v>-21.198191666666666</v>
      </c>
      <c r="R67" s="344">
        <f t="shared" si="50"/>
        <v>-21.198191666666666</v>
      </c>
      <c r="S67" s="344">
        <f t="shared" si="50"/>
        <v>-21.198191666666666</v>
      </c>
      <c r="T67" s="344">
        <f t="shared" si="50"/>
        <v>-21.198191666666666</v>
      </c>
      <c r="U67" s="344">
        <f t="shared" si="50"/>
        <v>-21.198191666666666</v>
      </c>
      <c r="V67" s="344">
        <f t="shared" si="50"/>
        <v>-21.198191666666666</v>
      </c>
      <c r="W67" s="344">
        <f t="shared" si="50"/>
        <v>-21.198191666666666</v>
      </c>
      <c r="X67" s="344">
        <f t="shared" si="50"/>
        <v>-21.198191666666666</v>
      </c>
      <c r="Y67" s="344">
        <f t="shared" si="50"/>
        <v>-21.198191666666666</v>
      </c>
      <c r="Z67" s="344">
        <f t="shared" si="50"/>
        <v>-21.198191666666666</v>
      </c>
      <c r="AA67" s="344">
        <f t="shared" si="50"/>
        <v>-21.198191666666666</v>
      </c>
      <c r="AB67" s="354">
        <f t="shared" si="50"/>
        <v>-21.198191666666666</v>
      </c>
      <c r="AD67" s="418" t="s">
        <v>234</v>
      </c>
    </row>
    <row r="68" spans="2:30" x14ac:dyDescent="0.3">
      <c r="B68" s="185" t="s">
        <v>10</v>
      </c>
      <c r="C68" s="363">
        <f t="shared" ref="C68:O68" si="56">+C46/C57</f>
        <v>-21.198191666666659</v>
      </c>
      <c r="D68" s="363">
        <f t="shared" si="56"/>
        <v>-21.198191666666663</v>
      </c>
      <c r="E68" s="363">
        <f t="shared" si="56"/>
        <v>-21.198191666666663</v>
      </c>
      <c r="F68" s="363">
        <f t="shared" si="56"/>
        <v>-21.198191666666666</v>
      </c>
      <c r="G68" s="363">
        <f t="shared" si="56"/>
        <v>-21.198191666666663</v>
      </c>
      <c r="H68" s="363">
        <f t="shared" si="56"/>
        <v>-21.198191666666663</v>
      </c>
      <c r="I68" s="363">
        <f t="shared" si="56"/>
        <v>-21.198191666666666</v>
      </c>
      <c r="J68" s="363">
        <f t="shared" si="56"/>
        <v>-21.198191666666666</v>
      </c>
      <c r="K68" s="372">
        <f t="shared" si="56"/>
        <v>-21.198191666666659</v>
      </c>
      <c r="L68" s="372">
        <f t="shared" si="56"/>
        <v>-21.198191666666666</v>
      </c>
      <c r="M68" s="372">
        <f t="shared" si="56"/>
        <v>-21.198191666666666</v>
      </c>
      <c r="N68" s="372">
        <f t="shared" si="56"/>
        <v>-21.198191666666666</v>
      </c>
      <c r="O68" s="372">
        <f t="shared" si="56"/>
        <v>-21.198191666666666</v>
      </c>
      <c r="P68" s="376">
        <f t="shared" si="49"/>
        <v>-21.198191666666666</v>
      </c>
      <c r="Q68" s="344">
        <f t="shared" si="50"/>
        <v>-21.198191666666666</v>
      </c>
      <c r="R68" s="344">
        <f t="shared" si="50"/>
        <v>-21.198191666666666</v>
      </c>
      <c r="S68" s="344">
        <f t="shared" si="50"/>
        <v>-21.198191666666666</v>
      </c>
      <c r="T68" s="344">
        <f t="shared" si="50"/>
        <v>-21.198191666666666</v>
      </c>
      <c r="U68" s="344">
        <f t="shared" si="50"/>
        <v>-21.198191666666666</v>
      </c>
      <c r="V68" s="344">
        <f t="shared" si="50"/>
        <v>-21.198191666666666</v>
      </c>
      <c r="W68" s="344">
        <f t="shared" si="50"/>
        <v>-21.198191666666666</v>
      </c>
      <c r="X68" s="344">
        <f t="shared" si="50"/>
        <v>-21.198191666666666</v>
      </c>
      <c r="Y68" s="344">
        <f t="shared" si="50"/>
        <v>-21.198191666666666</v>
      </c>
      <c r="Z68" s="344">
        <f t="shared" si="50"/>
        <v>-21.198191666666666</v>
      </c>
      <c r="AA68" s="344">
        <f t="shared" si="50"/>
        <v>-21.198191666666666</v>
      </c>
      <c r="AB68" s="354">
        <f t="shared" si="50"/>
        <v>-21.198191666666666</v>
      </c>
      <c r="AD68" s="418" t="s">
        <v>234</v>
      </c>
    </row>
    <row r="69" spans="2:30" x14ac:dyDescent="0.3">
      <c r="B69" s="185" t="s">
        <v>11</v>
      </c>
      <c r="C69" s="363">
        <f t="shared" ref="C69:O69" si="57">+C47/C58</f>
        <v>-21.198191666666663</v>
      </c>
      <c r="D69" s="363">
        <f t="shared" si="57"/>
        <v>-21.198191666666659</v>
      </c>
      <c r="E69" s="363">
        <f t="shared" si="57"/>
        <v>-21.198191666666659</v>
      </c>
      <c r="F69" s="363">
        <f t="shared" si="57"/>
        <v>-21.198191666666663</v>
      </c>
      <c r="G69" s="363">
        <f t="shared" si="57"/>
        <v>-21.198191666666663</v>
      </c>
      <c r="H69" s="363">
        <f t="shared" si="57"/>
        <v>-21.198191666666663</v>
      </c>
      <c r="I69" s="363">
        <f t="shared" si="57"/>
        <v>-21.19819166666667</v>
      </c>
      <c r="J69" s="363">
        <f t="shared" si="57"/>
        <v>-21.198191666666663</v>
      </c>
      <c r="K69" s="372">
        <f t="shared" si="57"/>
        <v>-21.198191666666659</v>
      </c>
      <c r="L69" s="372">
        <f t="shared" si="57"/>
        <v>-21.198191666666666</v>
      </c>
      <c r="M69" s="372">
        <f t="shared" si="57"/>
        <v>-21.198191666666666</v>
      </c>
      <c r="N69" s="372">
        <f t="shared" si="57"/>
        <v>-21.198191666666666</v>
      </c>
      <c r="O69" s="372">
        <f t="shared" si="57"/>
        <v>-21.198191666666666</v>
      </c>
      <c r="P69" s="376">
        <f t="shared" si="49"/>
        <v>-21.198191666666666</v>
      </c>
      <c r="Q69" s="344">
        <f t="shared" si="50"/>
        <v>-21.198191666666666</v>
      </c>
      <c r="R69" s="344">
        <f t="shared" si="50"/>
        <v>-21.198191666666666</v>
      </c>
      <c r="S69" s="344">
        <f t="shared" si="50"/>
        <v>-21.198191666666666</v>
      </c>
      <c r="T69" s="344">
        <f t="shared" si="50"/>
        <v>-21.198191666666666</v>
      </c>
      <c r="U69" s="344">
        <f t="shared" si="50"/>
        <v>-21.198191666666666</v>
      </c>
      <c r="V69" s="344">
        <f t="shared" si="50"/>
        <v>-21.198191666666666</v>
      </c>
      <c r="W69" s="344">
        <f t="shared" si="50"/>
        <v>-21.198191666666666</v>
      </c>
      <c r="X69" s="344">
        <f t="shared" si="50"/>
        <v>-21.198191666666666</v>
      </c>
      <c r="Y69" s="344">
        <f t="shared" si="50"/>
        <v>-21.198191666666666</v>
      </c>
      <c r="Z69" s="344">
        <f t="shared" si="50"/>
        <v>-21.198191666666666</v>
      </c>
      <c r="AA69" s="344">
        <f t="shared" si="50"/>
        <v>-21.198191666666666</v>
      </c>
      <c r="AB69" s="354">
        <f t="shared" si="50"/>
        <v>-21.198191666666666</v>
      </c>
      <c r="AD69" s="418" t="s">
        <v>234</v>
      </c>
    </row>
    <row r="70" spans="2:30" ht="15" thickBot="1" x14ac:dyDescent="0.35">
      <c r="B70" s="186" t="s">
        <v>12</v>
      </c>
      <c r="C70" s="365">
        <f t="shared" ref="C70:O70" si="58">+C48/C59</f>
        <v>-21.198191666666663</v>
      </c>
      <c r="D70" s="365">
        <f t="shared" si="58"/>
        <v>-21.198191666666663</v>
      </c>
      <c r="E70" s="365">
        <f t="shared" si="58"/>
        <v>-21.198191666666666</v>
      </c>
      <c r="F70" s="365">
        <f t="shared" si="58"/>
        <v>-21.198191666666666</v>
      </c>
      <c r="G70" s="365">
        <f t="shared" si="58"/>
        <v>-21.198191666666659</v>
      </c>
      <c r="H70" s="365">
        <f t="shared" si="58"/>
        <v>-21.198191666666663</v>
      </c>
      <c r="I70" s="365">
        <f t="shared" si="58"/>
        <v>-21.198191666666666</v>
      </c>
      <c r="J70" s="365">
        <f t="shared" si="58"/>
        <v>-21.198191666666663</v>
      </c>
      <c r="K70" s="373">
        <f t="shared" si="58"/>
        <v>-21.198191666666659</v>
      </c>
      <c r="L70" s="373">
        <f t="shared" si="58"/>
        <v>-21.198191666666666</v>
      </c>
      <c r="M70" s="373">
        <f t="shared" si="58"/>
        <v>-21.198191666666666</v>
      </c>
      <c r="N70" s="373">
        <f t="shared" si="58"/>
        <v>-21.198191666666663</v>
      </c>
      <c r="O70" s="373">
        <f t="shared" si="58"/>
        <v>-21.198191666666663</v>
      </c>
      <c r="P70" s="383">
        <f t="shared" si="49"/>
        <v>-21.19819166666667</v>
      </c>
      <c r="Q70" s="348">
        <f t="shared" si="50"/>
        <v>-21.19819166666667</v>
      </c>
      <c r="R70" s="348">
        <f t="shared" si="50"/>
        <v>-21.19819166666667</v>
      </c>
      <c r="S70" s="348">
        <f t="shared" si="50"/>
        <v>-21.19819166666667</v>
      </c>
      <c r="T70" s="348">
        <f t="shared" si="50"/>
        <v>-21.19819166666667</v>
      </c>
      <c r="U70" s="348">
        <f t="shared" si="50"/>
        <v>-21.19819166666667</v>
      </c>
      <c r="V70" s="348">
        <f t="shared" si="50"/>
        <v>-21.19819166666667</v>
      </c>
      <c r="W70" s="348">
        <f t="shared" si="50"/>
        <v>-21.19819166666667</v>
      </c>
      <c r="X70" s="348">
        <f t="shared" si="50"/>
        <v>-21.19819166666667</v>
      </c>
      <c r="Y70" s="348">
        <f t="shared" si="50"/>
        <v>-21.19819166666667</v>
      </c>
      <c r="Z70" s="348">
        <f t="shared" si="50"/>
        <v>-21.19819166666667</v>
      </c>
      <c r="AA70" s="348">
        <f t="shared" si="50"/>
        <v>-21.19819166666667</v>
      </c>
      <c r="AB70" s="355">
        <f t="shared" si="50"/>
        <v>-21.19819166666667</v>
      </c>
      <c r="AD70" s="418" t="s">
        <v>234</v>
      </c>
    </row>
    <row r="71" spans="2:30" x14ac:dyDescent="0.3">
      <c r="C71" s="356"/>
      <c r="D71" s="356"/>
      <c r="E71" s="356"/>
      <c r="F71" s="356"/>
      <c r="G71" s="356"/>
      <c r="H71" s="356"/>
      <c r="I71" s="356"/>
      <c r="J71" s="356"/>
      <c r="K71" s="356"/>
      <c r="L71" s="356"/>
      <c r="M71" s="356"/>
      <c r="N71" s="356"/>
      <c r="O71" s="356"/>
      <c r="P71" s="356"/>
      <c r="Q71" s="356"/>
      <c r="R71" s="356"/>
      <c r="S71" s="356"/>
      <c r="T71" s="356"/>
      <c r="U71" s="356"/>
      <c r="V71" s="356"/>
      <c r="W71" s="356"/>
      <c r="X71" s="356"/>
      <c r="Y71" s="356"/>
      <c r="Z71" s="356"/>
      <c r="AA71" s="356"/>
      <c r="AB71" s="356"/>
    </row>
    <row r="72" spans="2:30" ht="15" thickBot="1" x14ac:dyDescent="0.35">
      <c r="B72" s="131" t="s">
        <v>168</v>
      </c>
      <c r="C72" s="357"/>
      <c r="D72" s="357"/>
      <c r="E72" s="357"/>
      <c r="F72" s="357"/>
      <c r="G72" s="357"/>
      <c r="H72" s="357"/>
      <c r="I72" s="357"/>
      <c r="J72" s="357"/>
      <c r="K72" s="357"/>
      <c r="L72" s="357"/>
      <c r="M72" s="357"/>
      <c r="N72" s="357"/>
      <c r="O72" s="357"/>
      <c r="P72" s="357"/>
      <c r="Q72" s="357"/>
      <c r="R72" s="357"/>
      <c r="S72" s="357"/>
      <c r="T72" s="357"/>
      <c r="U72" s="357"/>
      <c r="V72" s="357"/>
      <c r="W72" s="357"/>
      <c r="X72" s="357"/>
      <c r="Y72" s="357"/>
      <c r="Z72" s="357"/>
      <c r="AA72" s="357"/>
      <c r="AB72" s="357"/>
    </row>
    <row r="73" spans="2:30" ht="15" thickBot="1" x14ac:dyDescent="0.35">
      <c r="B73" s="142" t="s">
        <v>166</v>
      </c>
      <c r="C73" s="337">
        <f>+DATOS_INGEI!C5/1000</f>
        <v>-38.403915914833334</v>
      </c>
      <c r="D73" s="337">
        <f>+DATOS_INGEI!D5/1000</f>
        <v>-38.403915914833334</v>
      </c>
      <c r="E73" s="337">
        <f>+DATOS_INGEI!E5/1000</f>
        <v>-38.403915914833334</v>
      </c>
      <c r="F73" s="337">
        <f>+DATOS_INGEI!F5/1000</f>
        <v>-38.403915914833334</v>
      </c>
      <c r="G73" s="337">
        <f>+DATOS_INGEI!G5/1000</f>
        <v>-38.403915914833334</v>
      </c>
      <c r="H73" s="337">
        <f>+DATOS_INGEI!H5/1000</f>
        <v>-52.355929724083339</v>
      </c>
      <c r="I73" s="337">
        <f>+DATOS_INGEI!I5/1000</f>
        <v>-66.307943533333344</v>
      </c>
      <c r="J73" s="337">
        <f>+DATOS_INGEI!J5/1000</f>
        <v>-62.503186102041667</v>
      </c>
      <c r="K73" s="337">
        <f>+DATOS_INGEI!K5/1000</f>
        <v>-58.698428670749998</v>
      </c>
      <c r="L73" s="337">
        <f>+DATOS_INGEI!L5/1000</f>
        <v>-1.5014679157499997</v>
      </c>
      <c r="M73" s="337">
        <f>+DATOS_INGEI!M5/1000</f>
        <v>-1.5014679157499997</v>
      </c>
      <c r="N73" s="337">
        <f>+DATOS_INGEI!N5/1000</f>
        <v>-1.1981217930000001</v>
      </c>
      <c r="O73" s="337">
        <f>+DATOS_INGEI!O5/1000</f>
        <v>-1.1981217930000001</v>
      </c>
      <c r="P73" s="338">
        <f>+SUM(P74:P83)</f>
        <v>-1.1981217930000003</v>
      </c>
      <c r="Q73" s="338">
        <f t="shared" ref="Q73:AB73" si="59">+SUM(Q74:Q83)</f>
        <v>-1.1981217930000003</v>
      </c>
      <c r="R73" s="338">
        <f t="shared" si="59"/>
        <v>-1.1981217930000003</v>
      </c>
      <c r="S73" s="338">
        <f t="shared" si="59"/>
        <v>-1.1981217930000003</v>
      </c>
      <c r="T73" s="338">
        <f t="shared" si="59"/>
        <v>-1.1981217930000003</v>
      </c>
      <c r="U73" s="338">
        <f t="shared" si="59"/>
        <v>-1.1981217930000003</v>
      </c>
      <c r="V73" s="338">
        <f t="shared" si="59"/>
        <v>-1.1981217930000003</v>
      </c>
      <c r="W73" s="338">
        <f t="shared" si="59"/>
        <v>-1.1981217930000003</v>
      </c>
      <c r="X73" s="338">
        <f t="shared" si="59"/>
        <v>-1.1981217930000003</v>
      </c>
      <c r="Y73" s="338">
        <f t="shared" si="59"/>
        <v>-1.1981217930000003</v>
      </c>
      <c r="Z73" s="338">
        <f t="shared" si="59"/>
        <v>-1.1981217930000003</v>
      </c>
      <c r="AA73" s="338">
        <f t="shared" si="59"/>
        <v>-1.1981217930000003</v>
      </c>
      <c r="AB73" s="339">
        <f t="shared" si="59"/>
        <v>-1.1981217930000003</v>
      </c>
    </row>
    <row r="74" spans="2:30" x14ac:dyDescent="0.3">
      <c r="B74" s="191" t="s">
        <v>2</v>
      </c>
      <c r="C74" s="340">
        <f>+C$73*COBERTURA_BOSQUE!C35</f>
        <v>-9.3422250408264434E-2</v>
      </c>
      <c r="D74" s="340">
        <f>+D$73*COBERTURA_BOSQUE!D35</f>
        <v>-9.7674792407861089E-2</v>
      </c>
      <c r="E74" s="340">
        <f>+E$73*COBERTURA_BOSQUE!E35</f>
        <v>-0.10162604798037092</v>
      </c>
      <c r="F74" s="340">
        <f>+F$73*COBERTURA_BOSQUE!F35</f>
        <v>-0.10018591925613105</v>
      </c>
      <c r="G74" s="340">
        <f>+G$73*COBERTURA_BOSQUE!G35</f>
        <v>-9.8809972242200186E-2</v>
      </c>
      <c r="H74" s="340">
        <f>+H$73*COBERTURA_BOSQUE!H35</f>
        <v>-0.13341141552754102</v>
      </c>
      <c r="I74" s="340">
        <f>+I$73*COBERTURA_BOSQUE!I35</f>
        <v>-0.16736285183839256</v>
      </c>
      <c r="J74" s="340">
        <f>+J$73*COBERTURA_BOSQUE!J35</f>
        <v>-0.15499559235862378</v>
      </c>
      <c r="K74" s="358">
        <f>+K$73*COBERTURA_BOSQUE!K35</f>
        <v>-0.14304781265578631</v>
      </c>
      <c r="L74" s="358">
        <f>+L$73*COBERTURA_BOSQUE!L35</f>
        <v>-3.6590707108299088E-3</v>
      </c>
      <c r="M74" s="358">
        <f>+M$73*COBERTURA_BOSQUE!M35</f>
        <v>-3.6590707108299088E-3</v>
      </c>
      <c r="N74" s="358">
        <f>+N$73*COBERTURA_BOSQUE!N35</f>
        <v>-2.7427331561336045E-3</v>
      </c>
      <c r="O74" s="358">
        <f>+O$73*COBERTURA_BOSQUE!P35</f>
        <v>-2.7427331561336045E-3</v>
      </c>
      <c r="P74" s="342">
        <f t="shared" ref="P74:AB74" si="60">+P85*P96</f>
        <v>-2.742733156133605E-3</v>
      </c>
      <c r="Q74" s="342">
        <f t="shared" si="60"/>
        <v>-2.742733156133605E-3</v>
      </c>
      <c r="R74" s="342">
        <f t="shared" si="60"/>
        <v>-2.742733156133605E-3</v>
      </c>
      <c r="S74" s="342">
        <f t="shared" si="60"/>
        <v>-2.742733156133605E-3</v>
      </c>
      <c r="T74" s="342">
        <f t="shared" si="60"/>
        <v>-2.742733156133605E-3</v>
      </c>
      <c r="U74" s="342">
        <f t="shared" si="60"/>
        <v>-2.742733156133605E-3</v>
      </c>
      <c r="V74" s="342">
        <f t="shared" si="60"/>
        <v>-2.742733156133605E-3</v>
      </c>
      <c r="W74" s="342">
        <f t="shared" si="60"/>
        <v>-2.742733156133605E-3</v>
      </c>
      <c r="X74" s="342">
        <f t="shared" si="60"/>
        <v>-2.742733156133605E-3</v>
      </c>
      <c r="Y74" s="342">
        <f t="shared" si="60"/>
        <v>-2.742733156133605E-3</v>
      </c>
      <c r="Z74" s="342">
        <f t="shared" si="60"/>
        <v>-2.742733156133605E-3</v>
      </c>
      <c r="AA74" s="342">
        <f t="shared" si="60"/>
        <v>-2.742733156133605E-3</v>
      </c>
      <c r="AB74" s="343">
        <f t="shared" si="60"/>
        <v>-2.742733156133605E-3</v>
      </c>
    </row>
    <row r="75" spans="2:30" x14ac:dyDescent="0.3">
      <c r="B75" s="185" t="s">
        <v>4</v>
      </c>
      <c r="C75" s="344">
        <f>+C$73*COBERTURA_BOSQUE!C36</f>
        <v>-0.9122856397647624</v>
      </c>
      <c r="D75" s="344">
        <f>+D$73*COBERTURA_BOSQUE!D36</f>
        <v>-0.91982181505503291</v>
      </c>
      <c r="E75" s="344">
        <f>+E$73*COBERTURA_BOSQUE!E36</f>
        <v>-0.92682406326655364</v>
      </c>
      <c r="F75" s="344">
        <f>+F$73*COBERTURA_BOSQUE!F36</f>
        <v>-0.93430521054506044</v>
      </c>
      <c r="G75" s="344">
        <f>+G$73*COBERTURA_BOSQUE!G36</f>
        <v>-0.94145294816418923</v>
      </c>
      <c r="H75" s="344">
        <f>+H$73*COBERTURA_BOSQUE!H36</f>
        <v>-1.2658450900545464</v>
      </c>
      <c r="I75" s="344">
        <f>+I$73*COBERTURA_BOSQUE!I36</f>
        <v>-1.5813918818601791</v>
      </c>
      <c r="J75" s="344">
        <f>+J$73*COBERTURA_BOSQUE!J36</f>
        <v>-1.4666391590470007</v>
      </c>
      <c r="K75" s="359">
        <f>+K$73*COBERTURA_BOSQUE!K36</f>
        <v>-1.355530723563914</v>
      </c>
      <c r="L75" s="359">
        <f>+L$73*COBERTURA_BOSQUE!L36</f>
        <v>-3.4673600918022567E-2</v>
      </c>
      <c r="M75" s="359">
        <f>+M$73*COBERTURA_BOSQUE!M36</f>
        <v>-3.4673600918022567E-2</v>
      </c>
      <c r="N75" s="359">
        <f>+N$73*COBERTURA_BOSQUE!N36</f>
        <v>-2.8038034741535652E-2</v>
      </c>
      <c r="O75" s="359">
        <f>+O$73*COBERTURA_BOSQUE!P36</f>
        <v>-2.8038034741535652E-2</v>
      </c>
      <c r="P75" s="346">
        <f t="shared" ref="P75:AB75" si="61">+P86*P97</f>
        <v>-2.8038034741535656E-2</v>
      </c>
      <c r="Q75" s="346">
        <f t="shared" si="61"/>
        <v>-2.8038034741535656E-2</v>
      </c>
      <c r="R75" s="346">
        <f t="shared" si="61"/>
        <v>-2.8038034741535656E-2</v>
      </c>
      <c r="S75" s="346">
        <f t="shared" si="61"/>
        <v>-2.8038034741535656E-2</v>
      </c>
      <c r="T75" s="346">
        <f t="shared" si="61"/>
        <v>-2.8038034741535656E-2</v>
      </c>
      <c r="U75" s="346">
        <f t="shared" si="61"/>
        <v>-2.8038034741535656E-2</v>
      </c>
      <c r="V75" s="346">
        <f t="shared" si="61"/>
        <v>-2.8038034741535656E-2</v>
      </c>
      <c r="W75" s="346">
        <f t="shared" si="61"/>
        <v>-2.8038034741535656E-2</v>
      </c>
      <c r="X75" s="346">
        <f t="shared" si="61"/>
        <v>-2.8038034741535656E-2</v>
      </c>
      <c r="Y75" s="346">
        <f t="shared" si="61"/>
        <v>-2.8038034741535656E-2</v>
      </c>
      <c r="Z75" s="346">
        <f t="shared" si="61"/>
        <v>-2.8038034741535656E-2</v>
      </c>
      <c r="AA75" s="346">
        <f t="shared" si="61"/>
        <v>-2.8038034741535656E-2</v>
      </c>
      <c r="AB75" s="347">
        <f t="shared" si="61"/>
        <v>-2.8038034741535656E-2</v>
      </c>
    </row>
    <row r="76" spans="2:30" x14ac:dyDescent="0.3">
      <c r="B76" s="185" t="s">
        <v>5</v>
      </c>
      <c r="C76" s="344">
        <f>+C$73*COBERTURA_BOSQUE!C37</f>
        <v>-8.7233645183476121</v>
      </c>
      <c r="D76" s="344">
        <f>+D$73*COBERTURA_BOSQUE!D37</f>
        <v>-8.4446098798203693</v>
      </c>
      <c r="E76" s="344">
        <f>+E$73*COBERTURA_BOSQUE!E37</f>
        <v>-8.1856046027535747</v>
      </c>
      <c r="F76" s="344">
        <f>+F$73*COBERTURA_BOSQUE!F37</f>
        <v>-8.2339611245059281</v>
      </c>
      <c r="G76" s="344">
        <f>+G$73*COBERTURA_BOSQUE!G37</f>
        <v>-8.2801625581620328</v>
      </c>
      <c r="H76" s="344">
        <f>+H$73*COBERTURA_BOSQUE!H37</f>
        <v>-11.155311909439853</v>
      </c>
      <c r="I76" s="344">
        <f>+I$73*COBERTURA_BOSQUE!I37</f>
        <v>-13.963746566717353</v>
      </c>
      <c r="J76" s="344">
        <f>+J$73*COBERTURA_BOSQUE!J37</f>
        <v>-13.061806562389634</v>
      </c>
      <c r="K76" s="359">
        <f>+K$73*COBERTURA_BOSQUE!K37</f>
        <v>-12.175149354378966</v>
      </c>
      <c r="L76" s="359">
        <f>+L$73*COBERTURA_BOSQUE!L37</f>
        <v>-0.31143246146508419</v>
      </c>
      <c r="M76" s="359">
        <f>+M$73*COBERTURA_BOSQUE!M37</f>
        <v>-0.31143246146508419</v>
      </c>
      <c r="N76" s="359">
        <f>+N$73*COBERTURA_BOSQUE!N37</f>
        <v>-0.25295462508506183</v>
      </c>
      <c r="O76" s="359">
        <f>+O$73*COBERTURA_BOSQUE!P37</f>
        <v>-0.25295462508506183</v>
      </c>
      <c r="P76" s="346">
        <f t="shared" ref="P76:AB76" si="62">+P87*P98</f>
        <v>-0.25295462508506189</v>
      </c>
      <c r="Q76" s="346">
        <f t="shared" si="62"/>
        <v>-0.25295462508506189</v>
      </c>
      <c r="R76" s="346">
        <f t="shared" si="62"/>
        <v>-0.25295462508506189</v>
      </c>
      <c r="S76" s="346">
        <f t="shared" si="62"/>
        <v>-0.25295462508506189</v>
      </c>
      <c r="T76" s="346">
        <f t="shared" si="62"/>
        <v>-0.25295462508506189</v>
      </c>
      <c r="U76" s="346">
        <f t="shared" si="62"/>
        <v>-0.25295462508506189</v>
      </c>
      <c r="V76" s="346">
        <f t="shared" si="62"/>
        <v>-0.25295462508506189</v>
      </c>
      <c r="W76" s="346">
        <f t="shared" si="62"/>
        <v>-0.25295462508506189</v>
      </c>
      <c r="X76" s="346">
        <f t="shared" si="62"/>
        <v>-0.25295462508506189</v>
      </c>
      <c r="Y76" s="346">
        <f t="shared" si="62"/>
        <v>-0.25295462508506189</v>
      </c>
      <c r="Z76" s="346">
        <f t="shared" si="62"/>
        <v>-0.25295462508506189</v>
      </c>
      <c r="AA76" s="346">
        <f t="shared" si="62"/>
        <v>-0.25295462508506189</v>
      </c>
      <c r="AB76" s="347">
        <f t="shared" si="62"/>
        <v>-0.25295462508506189</v>
      </c>
    </row>
    <row r="77" spans="2:30" x14ac:dyDescent="0.3">
      <c r="B77" s="185" t="s">
        <v>6</v>
      </c>
      <c r="C77" s="344">
        <f>+C$73*COBERTURA_BOSQUE!C38</f>
        <v>-3.5459914217503807</v>
      </c>
      <c r="D77" s="344">
        <f>+D$73*COBERTURA_BOSQUE!D38</f>
        <v>-3.4231073440241881</v>
      </c>
      <c r="E77" s="344">
        <f>+E$73*COBERTURA_BOSQUE!E38</f>
        <v>-3.3089294248091874</v>
      </c>
      <c r="F77" s="344">
        <f>+F$73*COBERTURA_BOSQUE!F38</f>
        <v>-3.3589500732557678</v>
      </c>
      <c r="G77" s="344">
        <f>+G$73*COBERTURA_BOSQUE!G38</f>
        <v>-3.4067414690570552</v>
      </c>
      <c r="H77" s="344">
        <f>+H$73*COBERTURA_BOSQUE!H38</f>
        <v>-4.5812165899033399</v>
      </c>
      <c r="I77" s="344">
        <f>+I$73*COBERTURA_BOSQUE!I38</f>
        <v>-5.7239998182994096</v>
      </c>
      <c r="J77" s="344">
        <f>+J$73*COBERTURA_BOSQUE!J38</f>
        <v>-5.3970245036845945</v>
      </c>
      <c r="K77" s="359">
        <f>+K$73*COBERTURA_BOSQUE!K38</f>
        <v>-5.0698263252465425</v>
      </c>
      <c r="L77" s="359">
        <f>+L$73*COBERTURA_BOSQUE!L38</f>
        <v>-0.12968288484314455</v>
      </c>
      <c r="M77" s="359">
        <f>+M$73*COBERTURA_BOSQUE!M38</f>
        <v>-0.12968288484314455</v>
      </c>
      <c r="N77" s="359">
        <f>+N$73*COBERTURA_BOSQUE!N38</f>
        <v>-0.10362321444688592</v>
      </c>
      <c r="O77" s="359">
        <f>+O$73*COBERTURA_BOSQUE!P38</f>
        <v>-0.10362321444688592</v>
      </c>
      <c r="P77" s="346">
        <f t="shared" ref="P77:AB77" si="63">+P88*P99</f>
        <v>-0.10362321444688592</v>
      </c>
      <c r="Q77" s="346">
        <f t="shared" si="63"/>
        <v>-0.10362321444688592</v>
      </c>
      <c r="R77" s="346">
        <f t="shared" si="63"/>
        <v>-0.10362321444688592</v>
      </c>
      <c r="S77" s="346">
        <f t="shared" si="63"/>
        <v>-0.10362321444688592</v>
      </c>
      <c r="T77" s="346">
        <f t="shared" si="63"/>
        <v>-0.10362321444688592</v>
      </c>
      <c r="U77" s="346">
        <f t="shared" si="63"/>
        <v>-0.10362321444688592</v>
      </c>
      <c r="V77" s="346">
        <f t="shared" si="63"/>
        <v>-0.10362321444688592</v>
      </c>
      <c r="W77" s="346">
        <f t="shared" si="63"/>
        <v>-0.10362321444688592</v>
      </c>
      <c r="X77" s="346">
        <f t="shared" si="63"/>
        <v>-0.10362321444688592</v>
      </c>
      <c r="Y77" s="346">
        <f t="shared" si="63"/>
        <v>-0.10362321444688592</v>
      </c>
      <c r="Z77" s="346">
        <f t="shared" si="63"/>
        <v>-0.10362321444688592</v>
      </c>
      <c r="AA77" s="346">
        <f t="shared" si="63"/>
        <v>-0.10362321444688592</v>
      </c>
      <c r="AB77" s="347">
        <f t="shared" si="63"/>
        <v>-0.10362321444688592</v>
      </c>
    </row>
    <row r="78" spans="2:30" x14ac:dyDescent="0.3">
      <c r="B78" s="185" t="s">
        <v>7</v>
      </c>
      <c r="C78" s="344">
        <f>+C$73*COBERTURA_BOSQUE!C39</f>
        <v>-2.4420324716188366</v>
      </c>
      <c r="D78" s="344">
        <f>+D$73*COBERTURA_BOSQUE!D39</f>
        <v>-2.3712171411429486</v>
      </c>
      <c r="E78" s="344">
        <f>+E$73*COBERTURA_BOSQUE!E39</f>
        <v>-2.3054189740258413</v>
      </c>
      <c r="F78" s="344">
        <f>+F$73*COBERTURA_BOSQUE!F39</f>
        <v>-2.2913286340814771</v>
      </c>
      <c r="G78" s="344">
        <f>+G$73*COBERTURA_BOSQUE!G39</f>
        <v>-2.2778662533613421</v>
      </c>
      <c r="H78" s="344">
        <f>+H$73*COBERTURA_BOSQUE!H39</f>
        <v>-3.0759680472281894</v>
      </c>
      <c r="I78" s="344">
        <f>+I$73*COBERTURA_BOSQUE!I39</f>
        <v>-3.8593032899405322</v>
      </c>
      <c r="J78" s="344">
        <f>+J$73*COBERTURA_BOSQUE!J39</f>
        <v>-3.7537474298508435</v>
      </c>
      <c r="K78" s="359">
        <f>+K$73*COBERTURA_BOSQUE!K39</f>
        <v>-3.630602999242146</v>
      </c>
      <c r="L78" s="359">
        <f>+L$73*COBERTURA_BOSQUE!L39</f>
        <v>-9.286848117800138E-2</v>
      </c>
      <c r="M78" s="359">
        <f>+M$73*COBERTURA_BOSQUE!M39</f>
        <v>-9.286848117800138E-2</v>
      </c>
      <c r="N78" s="359">
        <f>+N$73*COBERTURA_BOSQUE!N39</f>
        <v>-7.5454630837119202E-2</v>
      </c>
      <c r="O78" s="359">
        <f>+O$73*COBERTURA_BOSQUE!P39</f>
        <v>-7.5454630837119202E-2</v>
      </c>
      <c r="P78" s="346">
        <f t="shared" ref="P78:AB78" si="64">+P89*P100</f>
        <v>-7.5454630837119216E-2</v>
      </c>
      <c r="Q78" s="346">
        <f t="shared" si="64"/>
        <v>-7.5454630837119216E-2</v>
      </c>
      <c r="R78" s="346">
        <f t="shared" si="64"/>
        <v>-7.5454630837119216E-2</v>
      </c>
      <c r="S78" s="346">
        <f t="shared" si="64"/>
        <v>-7.5454630837119216E-2</v>
      </c>
      <c r="T78" s="346">
        <f t="shared" si="64"/>
        <v>-7.5454630837119216E-2</v>
      </c>
      <c r="U78" s="346">
        <f t="shared" si="64"/>
        <v>-7.5454630837119216E-2</v>
      </c>
      <c r="V78" s="346">
        <f t="shared" si="64"/>
        <v>-7.5454630837119216E-2</v>
      </c>
      <c r="W78" s="346">
        <f t="shared" si="64"/>
        <v>-7.5454630837119216E-2</v>
      </c>
      <c r="X78" s="346">
        <f t="shared" si="64"/>
        <v>-7.5454630837119216E-2</v>
      </c>
      <c r="Y78" s="346">
        <f t="shared" si="64"/>
        <v>-7.5454630837119216E-2</v>
      </c>
      <c r="Z78" s="346">
        <f t="shared" si="64"/>
        <v>-7.5454630837119216E-2</v>
      </c>
      <c r="AA78" s="346">
        <f t="shared" si="64"/>
        <v>-7.5454630837119216E-2</v>
      </c>
      <c r="AB78" s="347">
        <f t="shared" si="64"/>
        <v>-7.5454630837119216E-2</v>
      </c>
    </row>
    <row r="79" spans="2:30" x14ac:dyDescent="0.3">
      <c r="B79" s="185" t="s">
        <v>8</v>
      </c>
      <c r="C79" s="344">
        <f>+C$73*COBERTURA_BOSQUE!C40</f>
        <v>-17.869565659812391</v>
      </c>
      <c r="D79" s="344">
        <f>+D$73*COBERTURA_BOSQUE!D40</f>
        <v>-18.483912380710596</v>
      </c>
      <c r="E79" s="344">
        <f>+E$73*COBERTURA_BOSQUE!E40</f>
        <v>-19.054733528304759</v>
      </c>
      <c r="F79" s="344">
        <f>+F$73*COBERTURA_BOSQUE!F40</f>
        <v>-19.018398347329089</v>
      </c>
      <c r="G79" s="344">
        <f>+G$73*COBERTURA_BOSQUE!G40</f>
        <v>-18.983682503583584</v>
      </c>
      <c r="H79" s="344">
        <f>+H$73*COBERTURA_BOSQUE!H40</f>
        <v>-25.847324999310725</v>
      </c>
      <c r="I79" s="344">
        <f>+I$73*COBERTURA_BOSQUE!I40</f>
        <v>-32.694382023758941</v>
      </c>
      <c r="J79" s="344">
        <f>+J$73*COBERTURA_BOSQUE!J40</f>
        <v>-30.996531395479007</v>
      </c>
      <c r="K79" s="359">
        <f>+K$73*COBERTURA_BOSQUE!K40</f>
        <v>-29.271642325902583</v>
      </c>
      <c r="L79" s="359">
        <f>+L$73*COBERTURA_BOSQUE!L40</f>
        <v>-0.74874971594517925</v>
      </c>
      <c r="M79" s="359">
        <f>+M$73*COBERTURA_BOSQUE!M40</f>
        <v>-0.74874971594517925</v>
      </c>
      <c r="N79" s="359">
        <f>+N$73*COBERTURA_BOSQUE!N40</f>
        <v>-0.58915597886343263</v>
      </c>
      <c r="O79" s="359">
        <f>+O$73*COBERTURA_BOSQUE!P40</f>
        <v>-0.58915597886343263</v>
      </c>
      <c r="P79" s="346">
        <f t="shared" ref="P79:AB79" si="65">+P90*P101</f>
        <v>-0.58915597886343274</v>
      </c>
      <c r="Q79" s="346">
        <f t="shared" si="65"/>
        <v>-0.58915597886343274</v>
      </c>
      <c r="R79" s="346">
        <f t="shared" si="65"/>
        <v>-0.58915597886343274</v>
      </c>
      <c r="S79" s="346">
        <f t="shared" si="65"/>
        <v>-0.58915597886343274</v>
      </c>
      <c r="T79" s="346">
        <f t="shared" si="65"/>
        <v>-0.58915597886343274</v>
      </c>
      <c r="U79" s="346">
        <f t="shared" si="65"/>
        <v>-0.58915597886343274</v>
      </c>
      <c r="V79" s="346">
        <f t="shared" si="65"/>
        <v>-0.58915597886343274</v>
      </c>
      <c r="W79" s="346">
        <f t="shared" si="65"/>
        <v>-0.58915597886343274</v>
      </c>
      <c r="X79" s="346">
        <f t="shared" si="65"/>
        <v>-0.58915597886343274</v>
      </c>
      <c r="Y79" s="346">
        <f t="shared" si="65"/>
        <v>-0.58915597886343274</v>
      </c>
      <c r="Z79" s="346">
        <f t="shared" si="65"/>
        <v>-0.58915597886343274</v>
      </c>
      <c r="AA79" s="346">
        <f t="shared" si="65"/>
        <v>-0.58915597886343274</v>
      </c>
      <c r="AB79" s="347">
        <f t="shared" si="65"/>
        <v>-0.58915597886343274</v>
      </c>
    </row>
    <row r="80" spans="2:30" x14ac:dyDescent="0.3">
      <c r="B80" s="185" t="s">
        <v>9</v>
      </c>
      <c r="C80" s="344">
        <f>+C$73*COBERTURA_BOSQUE!C41</f>
        <v>-1.9798081328117612</v>
      </c>
      <c r="D80" s="344">
        <f>+D$73*COBERTURA_BOSQUE!D41</f>
        <v>-1.9212104490024993</v>
      </c>
      <c r="E80" s="344">
        <f>+E$73*COBERTURA_BOSQUE!E41</f>
        <v>-1.8667643260225322</v>
      </c>
      <c r="F80" s="344">
        <f>+F$73*COBERTURA_BOSQUE!F41</f>
        <v>-1.8526667718309031</v>
      </c>
      <c r="G80" s="344">
        <f>+G$73*COBERTURA_BOSQUE!G41</f>
        <v>-1.8391974983783235</v>
      </c>
      <c r="H80" s="344">
        <f>+H$73*COBERTURA_BOSQUE!H41</f>
        <v>-2.4297823928992379</v>
      </c>
      <c r="I80" s="344">
        <f>+I$73*COBERTURA_BOSQUE!I41</f>
        <v>-2.9814490806160641</v>
      </c>
      <c r="J80" s="344">
        <f>+J$73*COBERTURA_BOSQUE!J41</f>
        <v>-2.7571084355448221</v>
      </c>
      <c r="K80" s="359">
        <f>+K$73*COBERTURA_BOSQUE!K41</f>
        <v>-2.5408516588287346</v>
      </c>
      <c r="L80" s="359">
        <f>+L$73*COBERTURA_BOSQUE!L41</f>
        <v>-6.4993345321227747E-2</v>
      </c>
      <c r="M80" s="359">
        <f>+M$73*COBERTURA_BOSQUE!M41</f>
        <v>-6.4993345321227747E-2</v>
      </c>
      <c r="N80" s="359">
        <f>+N$73*COBERTURA_BOSQUE!N41</f>
        <v>-4.83748931807189E-2</v>
      </c>
      <c r="O80" s="359">
        <f>+O$73*COBERTURA_BOSQUE!P41</f>
        <v>-4.83748931807189E-2</v>
      </c>
      <c r="P80" s="346">
        <f t="shared" ref="P80:AB80" si="66">+P91*P102</f>
        <v>-4.8374893180718907E-2</v>
      </c>
      <c r="Q80" s="346">
        <f t="shared" si="66"/>
        <v>-4.8374893180718907E-2</v>
      </c>
      <c r="R80" s="346">
        <f t="shared" si="66"/>
        <v>-4.8374893180718907E-2</v>
      </c>
      <c r="S80" s="346">
        <f t="shared" si="66"/>
        <v>-4.8374893180718907E-2</v>
      </c>
      <c r="T80" s="346">
        <f t="shared" si="66"/>
        <v>-4.8374893180718907E-2</v>
      </c>
      <c r="U80" s="346">
        <f t="shared" si="66"/>
        <v>-4.8374893180718907E-2</v>
      </c>
      <c r="V80" s="346">
        <f t="shared" si="66"/>
        <v>-4.8374893180718907E-2</v>
      </c>
      <c r="W80" s="346">
        <f t="shared" si="66"/>
        <v>-4.8374893180718907E-2</v>
      </c>
      <c r="X80" s="346">
        <f t="shared" si="66"/>
        <v>-4.8374893180718907E-2</v>
      </c>
      <c r="Y80" s="346">
        <f t="shared" si="66"/>
        <v>-4.8374893180718907E-2</v>
      </c>
      <c r="Z80" s="346">
        <f t="shared" si="66"/>
        <v>-4.8374893180718907E-2</v>
      </c>
      <c r="AA80" s="346">
        <f t="shared" si="66"/>
        <v>-4.8374893180718907E-2</v>
      </c>
      <c r="AB80" s="347">
        <f t="shared" si="66"/>
        <v>-4.8374893180718907E-2</v>
      </c>
    </row>
    <row r="81" spans="2:30" x14ac:dyDescent="0.3">
      <c r="B81" s="185" t="s">
        <v>10</v>
      </c>
      <c r="C81" s="344">
        <f>+C$73*COBERTURA_BOSQUE!C42</f>
        <v>-0.49168956430577015</v>
      </c>
      <c r="D81" s="344">
        <f>+D$73*COBERTURA_BOSQUE!D42</f>
        <v>-0.47614557833291615</v>
      </c>
      <c r="E81" s="344">
        <f>+E$73*COBERTURA_BOSQUE!E42</f>
        <v>-0.46170286120041537</v>
      </c>
      <c r="F81" s="344">
        <f>+F$73*COBERTURA_BOSQUE!F42</f>
        <v>-0.44037188660595156</v>
      </c>
      <c r="G81" s="344">
        <f>+G$73*COBERTURA_BOSQUE!G42</f>
        <v>-0.41999156205338178</v>
      </c>
      <c r="H81" s="344">
        <f>+H$73*COBERTURA_BOSQUE!H42</f>
        <v>-0.59437465368256459</v>
      </c>
      <c r="I81" s="344">
        <f>+I$73*COBERTURA_BOSQUE!I42</f>
        <v>-0.77969323407105373</v>
      </c>
      <c r="J81" s="344">
        <f>+J$73*COBERTURA_BOSQUE!J42</f>
        <v>-0.71970773807774646</v>
      </c>
      <c r="K81" s="359">
        <f>+K$73*COBERTURA_BOSQUE!K42</f>
        <v>-0.66203618455736746</v>
      </c>
      <c r="L81" s="359">
        <f>+L$73*COBERTURA_BOSQUE!L42</f>
        <v>-1.6934458258739824E-2</v>
      </c>
      <c r="M81" s="359">
        <f>+M$73*COBERTURA_BOSQUE!M42</f>
        <v>-1.6934458258739824E-2</v>
      </c>
      <c r="N81" s="359">
        <f>+N$73*COBERTURA_BOSQUE!N42</f>
        <v>-1.9730580644347403E-2</v>
      </c>
      <c r="O81" s="359">
        <f>+O$73*COBERTURA_BOSQUE!P42</f>
        <v>-1.9730580644347403E-2</v>
      </c>
      <c r="P81" s="346">
        <f t="shared" ref="P81:AB81" si="67">+P92*P103</f>
        <v>-1.9730580644347406E-2</v>
      </c>
      <c r="Q81" s="346">
        <f t="shared" si="67"/>
        <v>-1.9730580644347406E-2</v>
      </c>
      <c r="R81" s="346">
        <f t="shared" si="67"/>
        <v>-1.9730580644347406E-2</v>
      </c>
      <c r="S81" s="346">
        <f t="shared" si="67"/>
        <v>-1.9730580644347406E-2</v>
      </c>
      <c r="T81" s="346">
        <f t="shared" si="67"/>
        <v>-1.9730580644347406E-2</v>
      </c>
      <c r="U81" s="346">
        <f t="shared" si="67"/>
        <v>-1.9730580644347406E-2</v>
      </c>
      <c r="V81" s="346">
        <f t="shared" si="67"/>
        <v>-1.9730580644347406E-2</v>
      </c>
      <c r="W81" s="346">
        <f t="shared" si="67"/>
        <v>-1.9730580644347406E-2</v>
      </c>
      <c r="X81" s="346">
        <f t="shared" si="67"/>
        <v>-1.9730580644347406E-2</v>
      </c>
      <c r="Y81" s="346">
        <f t="shared" si="67"/>
        <v>-1.9730580644347406E-2</v>
      </c>
      <c r="Z81" s="346">
        <f t="shared" si="67"/>
        <v>-1.9730580644347406E-2</v>
      </c>
      <c r="AA81" s="346">
        <f t="shared" si="67"/>
        <v>-1.9730580644347406E-2</v>
      </c>
      <c r="AB81" s="347">
        <f t="shared" si="67"/>
        <v>-1.9730580644347406E-2</v>
      </c>
    </row>
    <row r="82" spans="2:30" x14ac:dyDescent="0.3">
      <c r="B82" s="185" t="s">
        <v>11</v>
      </c>
      <c r="C82" s="344">
        <f>+C$73*COBERTURA_BOSQUE!C43</f>
        <v>-2.0561615938325954</v>
      </c>
      <c r="D82" s="344">
        <f>+D$73*COBERTURA_BOSQUE!D43</f>
        <v>-1.9872573053568643</v>
      </c>
      <c r="E82" s="344">
        <f>+E$73*COBERTURA_BOSQUE!E43</f>
        <v>-1.9232347856885383</v>
      </c>
      <c r="F82" s="344">
        <f>+F$73*COBERTURA_BOSQUE!F43</f>
        <v>-1.9108032378695576</v>
      </c>
      <c r="G82" s="344">
        <f>+G$73*COBERTURA_BOSQUE!G43</f>
        <v>-1.8989257224696103</v>
      </c>
      <c r="H82" s="344">
        <f>+H$73*COBERTURA_BOSQUE!H43</f>
        <v>-2.616519704347795</v>
      </c>
      <c r="I82" s="344">
        <f>+I$73*COBERTURA_BOSQUE!I43</f>
        <v>-3.3480181332373409</v>
      </c>
      <c r="J82" s="344">
        <f>+J$73*COBERTURA_BOSQUE!J43</f>
        <v>-3.1265530328505404</v>
      </c>
      <c r="K82" s="359">
        <f>+K$73*COBERTURA_BOSQUE!K43</f>
        <v>-2.9095431388094664</v>
      </c>
      <c r="L82" s="359">
        <f>+L$73*COBERTURA_BOSQUE!L43</f>
        <v>-7.4424235389964885E-2</v>
      </c>
      <c r="M82" s="359">
        <f>+M$73*COBERTURA_BOSQUE!M43</f>
        <v>-7.4424235389964885E-2</v>
      </c>
      <c r="N82" s="359">
        <f>+N$73*COBERTURA_BOSQUE!N43</f>
        <v>-5.4884232743057253E-2</v>
      </c>
      <c r="O82" s="359">
        <f>+O$73*COBERTURA_BOSQUE!P43</f>
        <v>-5.4884232743057253E-2</v>
      </c>
      <c r="P82" s="346">
        <f t="shared" ref="P82:AB82" si="68">+P93*P104</f>
        <v>-5.488423274305726E-2</v>
      </c>
      <c r="Q82" s="346">
        <f t="shared" si="68"/>
        <v>-5.488423274305726E-2</v>
      </c>
      <c r="R82" s="346">
        <f t="shared" si="68"/>
        <v>-5.488423274305726E-2</v>
      </c>
      <c r="S82" s="346">
        <f t="shared" si="68"/>
        <v>-5.488423274305726E-2</v>
      </c>
      <c r="T82" s="346">
        <f t="shared" si="68"/>
        <v>-5.488423274305726E-2</v>
      </c>
      <c r="U82" s="346">
        <f t="shared" si="68"/>
        <v>-5.488423274305726E-2</v>
      </c>
      <c r="V82" s="346">
        <f t="shared" si="68"/>
        <v>-5.488423274305726E-2</v>
      </c>
      <c r="W82" s="346">
        <f t="shared" si="68"/>
        <v>-5.488423274305726E-2</v>
      </c>
      <c r="X82" s="346">
        <f t="shared" si="68"/>
        <v>-5.488423274305726E-2</v>
      </c>
      <c r="Y82" s="346">
        <f t="shared" si="68"/>
        <v>-5.488423274305726E-2</v>
      </c>
      <c r="Z82" s="346">
        <f t="shared" si="68"/>
        <v>-5.488423274305726E-2</v>
      </c>
      <c r="AA82" s="346">
        <f t="shared" si="68"/>
        <v>-5.488423274305726E-2</v>
      </c>
      <c r="AB82" s="347">
        <f t="shared" si="68"/>
        <v>-5.488423274305726E-2</v>
      </c>
    </row>
    <row r="83" spans="2:30" ht="15" thickBot="1" x14ac:dyDescent="0.35">
      <c r="B83" s="186" t="s">
        <v>12</v>
      </c>
      <c r="C83" s="348">
        <f>+C$73*COBERTURA_BOSQUE!C44</f>
        <v>-0.28959466218096913</v>
      </c>
      <c r="D83" s="348">
        <f>+D$73*COBERTURA_BOSQUE!D44</f>
        <v>-0.2789592289800592</v>
      </c>
      <c r="E83" s="348">
        <f>+E$73*COBERTURA_BOSQUE!E44</f>
        <v>-0.26907730078155184</v>
      </c>
      <c r="F83" s="348">
        <f>+F$73*COBERTURA_BOSQUE!F44</f>
        <v>-0.26294470955347393</v>
      </c>
      <c r="G83" s="348">
        <f>+G$73*COBERTURA_BOSQUE!G44</f>
        <v>-0.25708542736160883</v>
      </c>
      <c r="H83" s="348">
        <f>+H$73*COBERTURA_BOSQUE!H44</f>
        <v>-0.65617492168954772</v>
      </c>
      <c r="I83" s="348">
        <f>+I$73*COBERTURA_BOSQUE!I44</f>
        <v>-1.208596652994069</v>
      </c>
      <c r="J83" s="348">
        <f>+J$73*COBERTURA_BOSQUE!J44</f>
        <v>-1.0690722527588588</v>
      </c>
      <c r="K83" s="360">
        <f>+K$73*COBERTURA_BOSQUE!K44</f>
        <v>-0.94019814756449971</v>
      </c>
      <c r="L83" s="360">
        <f>+L$73*COBERTURA_BOSQUE!L44</f>
        <v>-2.4049661719805673E-2</v>
      </c>
      <c r="M83" s="360">
        <f>+M$73*COBERTURA_BOSQUE!M44</f>
        <v>-2.4049661719805673E-2</v>
      </c>
      <c r="N83" s="360">
        <f>+N$73*COBERTURA_BOSQUE!N44</f>
        <v>-2.3162869301707703E-2</v>
      </c>
      <c r="O83" s="360">
        <f>+O$73*COBERTURA_BOSQUE!P44</f>
        <v>-2.3162869301707703E-2</v>
      </c>
      <c r="P83" s="350">
        <f t="shared" ref="P83:AB83" si="69">+P94*P105</f>
        <v>-2.3162869301707703E-2</v>
      </c>
      <c r="Q83" s="350">
        <f t="shared" si="69"/>
        <v>-2.3162869301707703E-2</v>
      </c>
      <c r="R83" s="350">
        <f t="shared" si="69"/>
        <v>-2.3162869301707703E-2</v>
      </c>
      <c r="S83" s="350">
        <f t="shared" si="69"/>
        <v>-2.3162869301707703E-2</v>
      </c>
      <c r="T83" s="350">
        <f t="shared" si="69"/>
        <v>-2.3162869301707703E-2</v>
      </c>
      <c r="U83" s="350">
        <f t="shared" si="69"/>
        <v>-2.3162869301707703E-2</v>
      </c>
      <c r="V83" s="350">
        <f t="shared" si="69"/>
        <v>-2.3162869301707703E-2</v>
      </c>
      <c r="W83" s="350">
        <f t="shared" si="69"/>
        <v>-2.3162869301707703E-2</v>
      </c>
      <c r="X83" s="350">
        <f t="shared" si="69"/>
        <v>-2.3162869301707703E-2</v>
      </c>
      <c r="Y83" s="350">
        <f t="shared" si="69"/>
        <v>-2.3162869301707703E-2</v>
      </c>
      <c r="Z83" s="350">
        <f t="shared" si="69"/>
        <v>-2.3162869301707703E-2</v>
      </c>
      <c r="AA83" s="350">
        <f t="shared" si="69"/>
        <v>-2.3162869301707703E-2</v>
      </c>
      <c r="AB83" s="351">
        <f t="shared" si="69"/>
        <v>-2.3162869301707703E-2</v>
      </c>
    </row>
    <row r="84" spans="2:30" ht="15" thickBot="1" x14ac:dyDescent="0.35">
      <c r="B84" s="142" t="s">
        <v>34</v>
      </c>
      <c r="C84" s="337"/>
      <c r="D84" s="337"/>
      <c r="E84" s="337"/>
      <c r="F84" s="337"/>
      <c r="G84" s="337"/>
      <c r="H84" s="337"/>
      <c r="I84" s="337"/>
      <c r="J84" s="337"/>
      <c r="K84" s="337"/>
      <c r="L84" s="337"/>
      <c r="M84" s="337"/>
      <c r="N84" s="337"/>
      <c r="O84" s="337"/>
      <c r="P84" s="337"/>
      <c r="Q84" s="337"/>
      <c r="R84" s="337"/>
      <c r="S84" s="337"/>
      <c r="T84" s="337"/>
      <c r="U84" s="337"/>
      <c r="V84" s="337"/>
      <c r="W84" s="337"/>
      <c r="X84" s="337"/>
      <c r="Y84" s="337"/>
      <c r="Z84" s="337"/>
      <c r="AA84" s="337"/>
      <c r="AB84" s="352"/>
      <c r="AD84" s="414"/>
    </row>
    <row r="85" spans="2:30" x14ac:dyDescent="0.3">
      <c r="B85" s="191" t="s">
        <v>2</v>
      </c>
      <c r="C85" s="469">
        <f>+COBERTURA_HACIA_TF!C23/1000</f>
        <v>4.4070858437971058E-3</v>
      </c>
      <c r="D85" s="469">
        <f>+COBERTURA_HACIA_TF!D23/1000</f>
        <v>4.607694559222753E-3</v>
      </c>
      <c r="E85" s="469">
        <f>+COBERTURA_HACIA_TF!E23/1000</f>
        <v>4.7940904383921542E-3</v>
      </c>
      <c r="F85" s="469">
        <f>+COBERTURA_HACIA_TF!F23/1000</f>
        <v>4.7261540433031143E-3</v>
      </c>
      <c r="G85" s="469">
        <f>+COBERTURA_HACIA_TF!G23/1000</f>
        <v>4.6612453456383752E-3</v>
      </c>
      <c r="H85" s="469">
        <f>+COBERTURA_HACIA_TF!H23/1000</f>
        <v>6.2935281285018884E-3</v>
      </c>
      <c r="I85" s="469">
        <f>+COBERTURA_HACIA_TF!I23/1000</f>
        <v>7.8951475894787817E-3</v>
      </c>
      <c r="J85" s="469">
        <f>+COBERTURA_HACIA_TF!J23/1000</f>
        <v>7.3117365290336703E-3</v>
      </c>
      <c r="K85" s="470">
        <f>+COBERTURA_HACIA_TF!K23/1000</f>
        <v>6.7481139384508657E-3</v>
      </c>
      <c r="L85" s="470">
        <f>+COBERTURA_HACIA_TF!L23/1000</f>
        <v>1.7261239865962982E-4</v>
      </c>
      <c r="M85" s="470">
        <f>+COBERTURA_HACIA_TF!M23/1000</f>
        <v>1.7261239865962982E-4</v>
      </c>
      <c r="N85" s="470">
        <f>+COBERTURA_HACIA_TF!N23/1000</f>
        <v>1.2938524187638354E-4</v>
      </c>
      <c r="O85" s="470">
        <f>+COBERTURA_HACIA_TF!O23/1000</f>
        <v>1.2938524187638354E-4</v>
      </c>
      <c r="P85" s="470">
        <f>+COBERTURA_HACIA_TF!P23/1000</f>
        <v>1.2938524187638354E-4</v>
      </c>
      <c r="Q85" s="470">
        <f>+COBERTURA_HACIA_TF!Q23/1000</f>
        <v>1.2938524187638354E-4</v>
      </c>
      <c r="R85" s="470">
        <f>+COBERTURA_HACIA_TF!R23/1000</f>
        <v>1.2938524187638354E-4</v>
      </c>
      <c r="S85" s="470">
        <f>+COBERTURA_HACIA_TF!S23/1000</f>
        <v>1.2938524187638354E-4</v>
      </c>
      <c r="T85" s="470">
        <f>+COBERTURA_HACIA_TF!T23/1000</f>
        <v>1.2938524187638354E-4</v>
      </c>
      <c r="U85" s="470">
        <f>+COBERTURA_HACIA_TF!U23/1000</f>
        <v>1.2938524187638354E-4</v>
      </c>
      <c r="V85" s="470">
        <f>+COBERTURA_HACIA_TF!V23/1000</f>
        <v>1.2938524187638354E-4</v>
      </c>
      <c r="W85" s="470">
        <f>+COBERTURA_HACIA_TF!W23/1000</f>
        <v>1.2938524187638354E-4</v>
      </c>
      <c r="X85" s="470">
        <f>+COBERTURA_HACIA_TF!X23/1000</f>
        <v>1.2938524187638354E-4</v>
      </c>
      <c r="Y85" s="470">
        <f>+COBERTURA_HACIA_TF!Y23/1000</f>
        <v>1.2938524187638354E-4</v>
      </c>
      <c r="Z85" s="470">
        <f>+COBERTURA_HACIA_TF!Z23/1000</f>
        <v>1.2938524187638354E-4</v>
      </c>
      <c r="AA85" s="470">
        <f>+COBERTURA_HACIA_TF!AA23/1000</f>
        <v>1.2938524187638354E-4</v>
      </c>
      <c r="AB85" s="470">
        <f>+COBERTURA_HACIA_TF!AB23/1000</f>
        <v>1.2938524187638354E-4</v>
      </c>
    </row>
    <row r="86" spans="2:30" x14ac:dyDescent="0.3">
      <c r="B86" s="185" t="s">
        <v>4</v>
      </c>
      <c r="C86" s="472">
        <f>+COBERTURA_HACIA_TF!C24/1000</f>
        <v>4.3036012416063592E-2</v>
      </c>
      <c r="D86" s="472">
        <f>+COBERTURA_HACIA_TF!D24/1000</f>
        <v>4.3391522707166431E-2</v>
      </c>
      <c r="E86" s="472">
        <f>+COBERTURA_HACIA_TF!E24/1000</f>
        <v>4.3721845610253093E-2</v>
      </c>
      <c r="F86" s="472">
        <f>+COBERTURA_HACIA_TF!F24/1000</f>
        <v>4.4074760018998183E-2</v>
      </c>
      <c r="G86" s="472">
        <f>+COBERTURA_HACIA_TF!G24/1000</f>
        <v>4.4411946215421168E-2</v>
      </c>
      <c r="H86" s="472">
        <f>+COBERTURA_HACIA_TF!H24/1000</f>
        <v>5.9714767653744651E-2</v>
      </c>
      <c r="I86" s="472">
        <f>+COBERTURA_HACIA_TF!I24/1000</f>
        <v>7.4600320004977405E-2</v>
      </c>
      <c r="J86" s="472">
        <f>+COBERTURA_HACIA_TF!J24/1000</f>
        <v>6.9186993971435504E-2</v>
      </c>
      <c r="K86" s="473">
        <f>+COBERTURA_HACIA_TF!K24/1000</f>
        <v>6.3945582947786711E-2</v>
      </c>
      <c r="L86" s="473">
        <f>+COBERTURA_HACIA_TF!L24/1000</f>
        <v>1.6356867351353117E-3</v>
      </c>
      <c r="M86" s="473">
        <f>+COBERTURA_HACIA_TF!M24/1000</f>
        <v>1.6356867351353117E-3</v>
      </c>
      <c r="N86" s="473">
        <f>+COBERTURA_HACIA_TF!N24/1000</f>
        <v>1.3226616299363107E-3</v>
      </c>
      <c r="O86" s="473">
        <f>+COBERTURA_HACIA_TF!O24/1000</f>
        <v>1.3226616299363107E-3</v>
      </c>
      <c r="P86" s="473">
        <f>+COBERTURA_HACIA_TF!P24/1000</f>
        <v>1.3226616299363107E-3</v>
      </c>
      <c r="Q86" s="473">
        <f>+COBERTURA_HACIA_TF!Q24/1000</f>
        <v>1.3226616299363107E-3</v>
      </c>
      <c r="R86" s="473">
        <f>+COBERTURA_HACIA_TF!R24/1000</f>
        <v>1.3226616299363107E-3</v>
      </c>
      <c r="S86" s="473">
        <f>+COBERTURA_HACIA_TF!S24/1000</f>
        <v>1.3226616299363107E-3</v>
      </c>
      <c r="T86" s="473">
        <f>+COBERTURA_HACIA_TF!T24/1000</f>
        <v>1.3226616299363107E-3</v>
      </c>
      <c r="U86" s="473">
        <f>+COBERTURA_HACIA_TF!U24/1000</f>
        <v>1.3226616299363107E-3</v>
      </c>
      <c r="V86" s="473">
        <f>+COBERTURA_HACIA_TF!V24/1000</f>
        <v>1.3226616299363107E-3</v>
      </c>
      <c r="W86" s="473">
        <f>+COBERTURA_HACIA_TF!W24/1000</f>
        <v>1.3226616299363107E-3</v>
      </c>
      <c r="X86" s="473">
        <f>+COBERTURA_HACIA_TF!X24/1000</f>
        <v>1.3226616299363107E-3</v>
      </c>
      <c r="Y86" s="473">
        <f>+COBERTURA_HACIA_TF!Y24/1000</f>
        <v>1.3226616299363107E-3</v>
      </c>
      <c r="Z86" s="473">
        <f>+COBERTURA_HACIA_TF!Z24/1000</f>
        <v>1.3226616299363107E-3</v>
      </c>
      <c r="AA86" s="473">
        <f>+COBERTURA_HACIA_TF!AA24/1000</f>
        <v>1.3226616299363107E-3</v>
      </c>
      <c r="AB86" s="473">
        <f>+COBERTURA_HACIA_TF!AB24/1000</f>
        <v>1.3226616299363107E-3</v>
      </c>
    </row>
    <row r="87" spans="2:30" x14ac:dyDescent="0.3">
      <c r="B87" s="185" t="s">
        <v>5</v>
      </c>
      <c r="C87" s="472">
        <f>+COBERTURA_HACIA_TF!C25/1000</f>
        <v>0.41151456008697024</v>
      </c>
      <c r="D87" s="472">
        <f>+COBERTURA_HACIA_TF!D25/1000</f>
        <v>0.39836463471076128</v>
      </c>
      <c r="E87" s="472">
        <f>+COBERTURA_HACIA_TF!E25/1000</f>
        <v>0.38614636245718642</v>
      </c>
      <c r="F87" s="472">
        <f>+COBERTURA_HACIA_TF!F25/1000</f>
        <v>0.38842752504467215</v>
      </c>
      <c r="G87" s="472">
        <f>+COBERTURA_HACIA_TF!G25/1000</f>
        <v>0.3906070238614866</v>
      </c>
      <c r="H87" s="472">
        <f>+COBERTURA_HACIA_TF!H25/1000</f>
        <v>0.52623884550403166</v>
      </c>
      <c r="I87" s="472">
        <f>+COBERTURA_HACIA_TF!I25/1000</f>
        <v>0.65872347916708385</v>
      </c>
      <c r="J87" s="472">
        <f>+COBERTURA_HACIA_TF!J25/1000</f>
        <v>0.61617551005205884</v>
      </c>
      <c r="K87" s="473">
        <f>+COBERTURA_HACIA_TF!K25/1000</f>
        <v>0.57434848905172964</v>
      </c>
      <c r="L87" s="473">
        <f>+COBERTURA_HACIA_TF!L25/1000</f>
        <v>1.4691463609832327E-2</v>
      </c>
      <c r="M87" s="473">
        <f>+COBERTURA_HACIA_TF!M25/1000</f>
        <v>1.4691463609832327E-2</v>
      </c>
      <c r="N87" s="473">
        <f>+COBERTURA_HACIA_TF!N25/1000</f>
        <v>1.1932839794199198E-2</v>
      </c>
      <c r="O87" s="473">
        <f>+COBERTURA_HACIA_TF!O25/1000</f>
        <v>1.1932839794199198E-2</v>
      </c>
      <c r="P87" s="473">
        <f>+COBERTURA_HACIA_TF!P25/1000</f>
        <v>1.1932839794199198E-2</v>
      </c>
      <c r="Q87" s="473">
        <f>+COBERTURA_HACIA_TF!Q25/1000</f>
        <v>1.1932839794199198E-2</v>
      </c>
      <c r="R87" s="473">
        <f>+COBERTURA_HACIA_TF!R25/1000</f>
        <v>1.1932839794199198E-2</v>
      </c>
      <c r="S87" s="473">
        <f>+COBERTURA_HACIA_TF!S25/1000</f>
        <v>1.1932839794199198E-2</v>
      </c>
      <c r="T87" s="473">
        <f>+COBERTURA_HACIA_TF!T25/1000</f>
        <v>1.1932839794199198E-2</v>
      </c>
      <c r="U87" s="473">
        <f>+COBERTURA_HACIA_TF!U25/1000</f>
        <v>1.1932839794199198E-2</v>
      </c>
      <c r="V87" s="473">
        <f>+COBERTURA_HACIA_TF!V25/1000</f>
        <v>1.1932839794199198E-2</v>
      </c>
      <c r="W87" s="473">
        <f>+COBERTURA_HACIA_TF!W25/1000</f>
        <v>1.1932839794199198E-2</v>
      </c>
      <c r="X87" s="473">
        <f>+COBERTURA_HACIA_TF!X25/1000</f>
        <v>1.1932839794199198E-2</v>
      </c>
      <c r="Y87" s="473">
        <f>+COBERTURA_HACIA_TF!Y25/1000</f>
        <v>1.1932839794199198E-2</v>
      </c>
      <c r="Z87" s="473">
        <f>+COBERTURA_HACIA_TF!Z25/1000</f>
        <v>1.1932839794199198E-2</v>
      </c>
      <c r="AA87" s="473">
        <f>+COBERTURA_HACIA_TF!AA25/1000</f>
        <v>1.1932839794199198E-2</v>
      </c>
      <c r="AB87" s="473">
        <f>+COBERTURA_HACIA_TF!AB25/1000</f>
        <v>1.1932839794199198E-2</v>
      </c>
    </row>
    <row r="88" spans="2:30" x14ac:dyDescent="0.3">
      <c r="B88" s="185" t="s">
        <v>6</v>
      </c>
      <c r="C88" s="472">
        <f>+COBERTURA_HACIA_TF!C26/1000</f>
        <v>0.16727801491323974</v>
      </c>
      <c r="D88" s="472">
        <f>+COBERTURA_HACIA_TF!D26/1000</f>
        <v>0.16148110168316349</v>
      </c>
      <c r="E88" s="472">
        <f>+COBERTURA_HACIA_TF!E26/1000</f>
        <v>0.15609489133982832</v>
      </c>
      <c r="F88" s="472">
        <f>+COBERTURA_HACIA_TF!F26/1000</f>
        <v>0.15845455716572213</v>
      </c>
      <c r="G88" s="472">
        <f>+COBERTURA_HACIA_TF!G26/1000</f>
        <v>0.16070906059473103</v>
      </c>
      <c r="H88" s="472">
        <f>+COBERTURA_HACIA_TF!H26/1000</f>
        <v>0.21611355637977006</v>
      </c>
      <c r="I88" s="472">
        <f>+COBERTURA_HACIA_TF!I26/1000</f>
        <v>0.27002302405351758</v>
      </c>
      <c r="J88" s="472">
        <f>+COBERTURA_HACIA_TF!J26/1000</f>
        <v>0.25459834445082441</v>
      </c>
      <c r="K88" s="473">
        <f>+COBERTURA_HACIA_TF!K26/1000</f>
        <v>0.23916315150686404</v>
      </c>
      <c r="L88" s="473">
        <f>+COBERTURA_HACIA_TF!L26/1000</f>
        <v>6.1176390364969602E-3</v>
      </c>
      <c r="M88" s="473">
        <f>+COBERTURA_HACIA_TF!M26/1000</f>
        <v>6.1176390364969602E-3</v>
      </c>
      <c r="N88" s="473">
        <f>+COBERTURA_HACIA_TF!N26/1000</f>
        <v>4.888304440129645E-3</v>
      </c>
      <c r="O88" s="473">
        <f>+COBERTURA_HACIA_TF!O26/1000</f>
        <v>4.888304440129645E-3</v>
      </c>
      <c r="P88" s="473">
        <f>+COBERTURA_HACIA_TF!P26/1000</f>
        <v>4.888304440129645E-3</v>
      </c>
      <c r="Q88" s="473">
        <f>+COBERTURA_HACIA_TF!Q26/1000</f>
        <v>4.888304440129645E-3</v>
      </c>
      <c r="R88" s="473">
        <f>+COBERTURA_HACIA_TF!R26/1000</f>
        <v>4.888304440129645E-3</v>
      </c>
      <c r="S88" s="473">
        <f>+COBERTURA_HACIA_TF!S26/1000</f>
        <v>4.888304440129645E-3</v>
      </c>
      <c r="T88" s="473">
        <f>+COBERTURA_HACIA_TF!T26/1000</f>
        <v>4.888304440129645E-3</v>
      </c>
      <c r="U88" s="473">
        <f>+COBERTURA_HACIA_TF!U26/1000</f>
        <v>4.888304440129645E-3</v>
      </c>
      <c r="V88" s="473">
        <f>+COBERTURA_HACIA_TF!V26/1000</f>
        <v>4.888304440129645E-3</v>
      </c>
      <c r="W88" s="473">
        <f>+COBERTURA_HACIA_TF!W26/1000</f>
        <v>4.888304440129645E-3</v>
      </c>
      <c r="X88" s="473">
        <f>+COBERTURA_HACIA_TF!X26/1000</f>
        <v>4.888304440129645E-3</v>
      </c>
      <c r="Y88" s="473">
        <f>+COBERTURA_HACIA_TF!Y26/1000</f>
        <v>4.888304440129645E-3</v>
      </c>
      <c r="Z88" s="473">
        <f>+COBERTURA_HACIA_TF!Z26/1000</f>
        <v>4.888304440129645E-3</v>
      </c>
      <c r="AA88" s="473">
        <f>+COBERTURA_HACIA_TF!AA26/1000</f>
        <v>4.888304440129645E-3</v>
      </c>
      <c r="AB88" s="473">
        <f>+COBERTURA_HACIA_TF!AB26/1000</f>
        <v>4.888304440129645E-3</v>
      </c>
    </row>
    <row r="89" spans="2:30" x14ac:dyDescent="0.3">
      <c r="B89" s="185" t="s">
        <v>7</v>
      </c>
      <c r="C89" s="472">
        <f>+COBERTURA_HACIA_TF!C27/1000</f>
        <v>0.11520003734369653</v>
      </c>
      <c r="D89" s="472">
        <f>+COBERTURA_HACIA_TF!D27/1000</f>
        <v>0.11185940661493288</v>
      </c>
      <c r="E89" s="472">
        <f>+COBERTURA_HACIA_TF!E27/1000</f>
        <v>0.10875545472357546</v>
      </c>
      <c r="F89" s="472">
        <f>+COBERTURA_HACIA_TF!F27/1000</f>
        <v>0.10809075934927519</v>
      </c>
      <c r="G89" s="472">
        <f>+COBERTURA_HACIA_TF!G27/1000</f>
        <v>0.10745568721992443</v>
      </c>
      <c r="H89" s="472">
        <f>+COBERTURA_HACIA_TF!H27/1000</f>
        <v>0.14510520970828983</v>
      </c>
      <c r="I89" s="472">
        <f>+COBERTURA_HACIA_TF!I27/1000</f>
        <v>0.18205813734617451</v>
      </c>
      <c r="J89" s="472">
        <f>+COBERTURA_HACIA_TF!J27/1000</f>
        <v>0.1770786625990115</v>
      </c>
      <c r="K89" s="473">
        <f>+COBERTURA_HACIA_TF!K27/1000</f>
        <v>0.17126946752496483</v>
      </c>
      <c r="L89" s="473">
        <f>+COBERTURA_HACIA_TF!L27/1000</f>
        <v>4.380962425395628E-3</v>
      </c>
      <c r="M89" s="473">
        <f>+COBERTURA_HACIA_TF!M27/1000</f>
        <v>4.380962425395628E-3</v>
      </c>
      <c r="N89" s="473">
        <f>+COBERTURA_HACIA_TF!N27/1000</f>
        <v>3.5594843193992192E-3</v>
      </c>
      <c r="O89" s="473">
        <f>+COBERTURA_HACIA_TF!O27/1000</f>
        <v>3.5594843193992192E-3</v>
      </c>
      <c r="P89" s="473">
        <f>+COBERTURA_HACIA_TF!P27/1000</f>
        <v>3.5594843193992192E-3</v>
      </c>
      <c r="Q89" s="473">
        <f>+COBERTURA_HACIA_TF!Q27/1000</f>
        <v>3.5594843193992192E-3</v>
      </c>
      <c r="R89" s="473">
        <f>+COBERTURA_HACIA_TF!R27/1000</f>
        <v>3.5594843193992192E-3</v>
      </c>
      <c r="S89" s="473">
        <f>+COBERTURA_HACIA_TF!S27/1000</f>
        <v>3.5594843193992192E-3</v>
      </c>
      <c r="T89" s="473">
        <f>+COBERTURA_HACIA_TF!T27/1000</f>
        <v>3.5594843193992192E-3</v>
      </c>
      <c r="U89" s="473">
        <f>+COBERTURA_HACIA_TF!U27/1000</f>
        <v>3.5594843193992192E-3</v>
      </c>
      <c r="V89" s="473">
        <f>+COBERTURA_HACIA_TF!V27/1000</f>
        <v>3.5594843193992192E-3</v>
      </c>
      <c r="W89" s="473">
        <f>+COBERTURA_HACIA_TF!W27/1000</f>
        <v>3.5594843193992192E-3</v>
      </c>
      <c r="X89" s="473">
        <f>+COBERTURA_HACIA_TF!X27/1000</f>
        <v>3.5594843193992192E-3</v>
      </c>
      <c r="Y89" s="473">
        <f>+COBERTURA_HACIA_TF!Y27/1000</f>
        <v>3.5594843193992192E-3</v>
      </c>
      <c r="Z89" s="473">
        <f>+COBERTURA_HACIA_TF!Z27/1000</f>
        <v>3.5594843193992192E-3</v>
      </c>
      <c r="AA89" s="473">
        <f>+COBERTURA_HACIA_TF!AA27/1000</f>
        <v>3.5594843193992192E-3</v>
      </c>
      <c r="AB89" s="473">
        <f>+COBERTURA_HACIA_TF!AB27/1000</f>
        <v>3.5594843193992192E-3</v>
      </c>
    </row>
    <row r="90" spans="2:30" x14ac:dyDescent="0.3">
      <c r="B90" s="185" t="s">
        <v>8</v>
      </c>
      <c r="C90" s="472">
        <f>+COBERTURA_HACIA_TF!C28/1000</f>
        <v>0.84297594534497911</v>
      </c>
      <c r="D90" s="472">
        <f>+COBERTURA_HACIA_TF!D28/1000</f>
        <v>0.87195703630587651</v>
      </c>
      <c r="E90" s="472">
        <f>+COBERTURA_HACIA_TF!E28/1000</f>
        <v>0.8988848590451981</v>
      </c>
      <c r="F90" s="472">
        <f>+COBERTURA_HACIA_TF!F28/1000</f>
        <v>0.89717078920626914</v>
      </c>
      <c r="G90" s="472">
        <f>+COBERTURA_HACIA_TF!G28/1000</f>
        <v>0.89553310971495204</v>
      </c>
      <c r="H90" s="472">
        <f>+COBERTURA_HACIA_TF!H28/1000</f>
        <v>1.2193174496084322</v>
      </c>
      <c r="I90" s="472">
        <f>+COBERTURA_HACIA_TF!I28/1000</f>
        <v>1.5423193892132592</v>
      </c>
      <c r="J90" s="472">
        <f>+COBERTURA_HACIA_TF!J28/1000</f>
        <v>1.462225263498294</v>
      </c>
      <c r="K90" s="473">
        <f>+COBERTURA_HACIA_TF!K28/1000</f>
        <v>1.3808556308098254</v>
      </c>
      <c r="L90" s="473">
        <f>+COBERTURA_HACIA_TF!L28/1000</f>
        <v>3.5321395698226433E-2</v>
      </c>
      <c r="M90" s="473">
        <f>+COBERTURA_HACIA_TF!M28/1000</f>
        <v>3.5321395698226433E-2</v>
      </c>
      <c r="N90" s="473">
        <f>+COBERTURA_HACIA_TF!N28/1000</f>
        <v>2.7792747047846421E-2</v>
      </c>
      <c r="O90" s="473">
        <f>+COBERTURA_HACIA_TF!O28/1000</f>
        <v>2.7792747047846421E-2</v>
      </c>
      <c r="P90" s="473">
        <f>+COBERTURA_HACIA_TF!P28/1000</f>
        <v>2.7792747047846421E-2</v>
      </c>
      <c r="Q90" s="473">
        <f>+COBERTURA_HACIA_TF!Q28/1000</f>
        <v>2.7792747047846421E-2</v>
      </c>
      <c r="R90" s="473">
        <f>+COBERTURA_HACIA_TF!R28/1000</f>
        <v>2.7792747047846421E-2</v>
      </c>
      <c r="S90" s="473">
        <f>+COBERTURA_HACIA_TF!S28/1000</f>
        <v>2.7792747047846421E-2</v>
      </c>
      <c r="T90" s="473">
        <f>+COBERTURA_HACIA_TF!T28/1000</f>
        <v>2.7792747047846421E-2</v>
      </c>
      <c r="U90" s="473">
        <f>+COBERTURA_HACIA_TF!U28/1000</f>
        <v>2.7792747047846421E-2</v>
      </c>
      <c r="V90" s="473">
        <f>+COBERTURA_HACIA_TF!V28/1000</f>
        <v>2.7792747047846421E-2</v>
      </c>
      <c r="W90" s="473">
        <f>+COBERTURA_HACIA_TF!W28/1000</f>
        <v>2.7792747047846421E-2</v>
      </c>
      <c r="X90" s="473">
        <f>+COBERTURA_HACIA_TF!X28/1000</f>
        <v>2.7792747047846421E-2</v>
      </c>
      <c r="Y90" s="473">
        <f>+COBERTURA_HACIA_TF!Y28/1000</f>
        <v>2.7792747047846421E-2</v>
      </c>
      <c r="Z90" s="473">
        <f>+COBERTURA_HACIA_TF!Z28/1000</f>
        <v>2.7792747047846421E-2</v>
      </c>
      <c r="AA90" s="473">
        <f>+COBERTURA_HACIA_TF!AA28/1000</f>
        <v>2.7792747047846421E-2</v>
      </c>
      <c r="AB90" s="473">
        <f>+COBERTURA_HACIA_TF!AB28/1000</f>
        <v>2.7792747047846421E-2</v>
      </c>
    </row>
    <row r="91" spans="2:30" x14ac:dyDescent="0.3">
      <c r="B91" s="185" t="s">
        <v>9</v>
      </c>
      <c r="C91" s="472">
        <f>+COBERTURA_HACIA_TF!C29/1000</f>
        <v>9.3395142564209041E-2</v>
      </c>
      <c r="D91" s="472">
        <f>+COBERTURA_HACIA_TF!D29/1000</f>
        <v>9.0630865085701076E-2</v>
      </c>
      <c r="E91" s="472">
        <f>+COBERTURA_HACIA_TF!E29/1000</f>
        <v>8.8062432653533682E-2</v>
      </c>
      <c r="F91" s="472">
        <f>+COBERTURA_HACIA_TF!F29/1000</f>
        <v>8.73973969555219E-2</v>
      </c>
      <c r="G91" s="472">
        <f>+COBERTURA_HACIA_TF!G29/1000</f>
        <v>8.6761999669546827E-2</v>
      </c>
      <c r="H91" s="472">
        <f>+COBERTURA_HACIA_TF!H29/1000</f>
        <v>0.11462215414911904</v>
      </c>
      <c r="I91" s="472">
        <f>+COBERTURA_HACIA_TF!I29/1000</f>
        <v>0.14064638755504208</v>
      </c>
      <c r="J91" s="472">
        <f>+COBERTURA_HACIA_TF!J29/1000</f>
        <v>0.13006337893813219</v>
      </c>
      <c r="K91" s="473">
        <f>+COBERTURA_HACIA_TF!K29/1000</f>
        <v>0.11986171739470239</v>
      </c>
      <c r="L91" s="473">
        <f>+COBERTURA_HACIA_TF!L29/1000</f>
        <v>3.0659853606016434E-3</v>
      </c>
      <c r="M91" s="473">
        <f>+COBERTURA_HACIA_TF!M29/1000</f>
        <v>3.0659853606016434E-3</v>
      </c>
      <c r="N91" s="473">
        <f>+COBERTURA_HACIA_TF!N29/1000</f>
        <v>2.2820292382197175E-3</v>
      </c>
      <c r="O91" s="473">
        <f>+COBERTURA_HACIA_TF!O29/1000</f>
        <v>2.2820292382197175E-3</v>
      </c>
      <c r="P91" s="473">
        <f>+COBERTURA_HACIA_TF!P29/1000</f>
        <v>2.2820292382197175E-3</v>
      </c>
      <c r="Q91" s="473">
        <f>+COBERTURA_HACIA_TF!Q29/1000</f>
        <v>2.2820292382197175E-3</v>
      </c>
      <c r="R91" s="473">
        <f>+COBERTURA_HACIA_TF!R29/1000</f>
        <v>2.2820292382197175E-3</v>
      </c>
      <c r="S91" s="473">
        <f>+COBERTURA_HACIA_TF!S29/1000</f>
        <v>2.2820292382197175E-3</v>
      </c>
      <c r="T91" s="473">
        <f>+COBERTURA_HACIA_TF!T29/1000</f>
        <v>2.2820292382197175E-3</v>
      </c>
      <c r="U91" s="473">
        <f>+COBERTURA_HACIA_TF!U29/1000</f>
        <v>2.2820292382197175E-3</v>
      </c>
      <c r="V91" s="473">
        <f>+COBERTURA_HACIA_TF!V29/1000</f>
        <v>2.2820292382197175E-3</v>
      </c>
      <c r="W91" s="473">
        <f>+COBERTURA_HACIA_TF!W29/1000</f>
        <v>2.2820292382197175E-3</v>
      </c>
      <c r="X91" s="473">
        <f>+COBERTURA_HACIA_TF!X29/1000</f>
        <v>2.2820292382197175E-3</v>
      </c>
      <c r="Y91" s="473">
        <f>+COBERTURA_HACIA_TF!Y29/1000</f>
        <v>2.2820292382197175E-3</v>
      </c>
      <c r="Z91" s="473">
        <f>+COBERTURA_HACIA_TF!Z29/1000</f>
        <v>2.2820292382197175E-3</v>
      </c>
      <c r="AA91" s="473">
        <f>+COBERTURA_HACIA_TF!AA29/1000</f>
        <v>2.2820292382197175E-3</v>
      </c>
      <c r="AB91" s="473">
        <f>+COBERTURA_HACIA_TF!AB29/1000</f>
        <v>2.2820292382197175E-3</v>
      </c>
    </row>
    <row r="92" spans="2:30" x14ac:dyDescent="0.3">
      <c r="B92" s="185" t="s">
        <v>10</v>
      </c>
      <c r="C92" s="472">
        <f>+COBERTURA_HACIA_TF!C30/1000</f>
        <v>2.3194882470986094E-2</v>
      </c>
      <c r="D92" s="472">
        <f>+COBERTURA_HACIA_TF!D30/1000</f>
        <v>2.2461613038513874E-2</v>
      </c>
      <c r="E92" s="472">
        <f>+COBERTURA_HACIA_TF!E30/1000</f>
        <v>2.1780294680815875E-2</v>
      </c>
      <c r="F92" s="472">
        <f>+COBERTURA_HACIA_TF!F30/1000</f>
        <v>2.0774030800863982E-2</v>
      </c>
      <c r="G92" s="472">
        <f>+COBERTURA_HACIA_TF!G30/1000</f>
        <v>1.9812612729311351E-2</v>
      </c>
      <c r="H92" s="472">
        <f>+COBERTURA_HACIA_TF!H30/1000</f>
        <v>2.8038931953672047E-2</v>
      </c>
      <c r="I92" s="472">
        <f>+COBERTURA_HACIA_TF!I30/1000</f>
        <v>3.6781120122481532E-2</v>
      </c>
      <c r="J92" s="472">
        <f>+COBERTURA_HACIA_TF!J30/1000</f>
        <v>3.3951374220729358E-2</v>
      </c>
      <c r="K92" s="473">
        <f>+COBERTURA_HACIA_TF!K30/1000</f>
        <v>3.1230785859833212E-2</v>
      </c>
      <c r="L92" s="473">
        <f>+COBERTURA_HACIA_TF!L30/1000</f>
        <v>7.9886334292224585E-4</v>
      </c>
      <c r="M92" s="473">
        <f>+COBERTURA_HACIA_TF!M30/1000</f>
        <v>7.9886334292224585E-4</v>
      </c>
      <c r="N92" s="473">
        <f>+COBERTURA_HACIA_TF!N30/1000</f>
        <v>9.3076715951073208E-4</v>
      </c>
      <c r="O92" s="473">
        <f>+COBERTURA_HACIA_TF!O30/1000</f>
        <v>9.3076715951073208E-4</v>
      </c>
      <c r="P92" s="473">
        <f>+COBERTURA_HACIA_TF!P30/1000</f>
        <v>9.3076715951073208E-4</v>
      </c>
      <c r="Q92" s="473">
        <f>+COBERTURA_HACIA_TF!Q30/1000</f>
        <v>9.3076715951073208E-4</v>
      </c>
      <c r="R92" s="473">
        <f>+COBERTURA_HACIA_TF!R30/1000</f>
        <v>9.3076715951073208E-4</v>
      </c>
      <c r="S92" s="473">
        <f>+COBERTURA_HACIA_TF!S30/1000</f>
        <v>9.3076715951073208E-4</v>
      </c>
      <c r="T92" s="473">
        <f>+COBERTURA_HACIA_TF!T30/1000</f>
        <v>9.3076715951073208E-4</v>
      </c>
      <c r="U92" s="473">
        <f>+COBERTURA_HACIA_TF!U30/1000</f>
        <v>9.3076715951073208E-4</v>
      </c>
      <c r="V92" s="473">
        <f>+COBERTURA_HACIA_TF!V30/1000</f>
        <v>9.3076715951073208E-4</v>
      </c>
      <c r="W92" s="473">
        <f>+COBERTURA_HACIA_TF!W30/1000</f>
        <v>9.3076715951073208E-4</v>
      </c>
      <c r="X92" s="473">
        <f>+COBERTURA_HACIA_TF!X30/1000</f>
        <v>9.3076715951073208E-4</v>
      </c>
      <c r="Y92" s="473">
        <f>+COBERTURA_HACIA_TF!Y30/1000</f>
        <v>9.3076715951073208E-4</v>
      </c>
      <c r="Z92" s="473">
        <f>+COBERTURA_HACIA_TF!Z30/1000</f>
        <v>9.3076715951073208E-4</v>
      </c>
      <c r="AA92" s="473">
        <f>+COBERTURA_HACIA_TF!AA30/1000</f>
        <v>9.3076715951073208E-4</v>
      </c>
      <c r="AB92" s="473">
        <f>+COBERTURA_HACIA_TF!AB30/1000</f>
        <v>9.3076715951073208E-4</v>
      </c>
    </row>
    <row r="93" spans="2:30" x14ac:dyDescent="0.3">
      <c r="B93" s="185" t="s">
        <v>11</v>
      </c>
      <c r="C93" s="472">
        <f>+COBERTURA_HACIA_TF!C31/1000</f>
        <v>9.6997028150558232E-2</v>
      </c>
      <c r="D93" s="472">
        <f>+COBERTURA_HACIA_TF!D31/1000</f>
        <v>9.3746548602150315E-2</v>
      </c>
      <c r="E93" s="472">
        <f>+COBERTURA_HACIA_TF!E31/1000</f>
        <v>9.0726360810896453E-2</v>
      </c>
      <c r="F93" s="472">
        <f>+COBERTURA_HACIA_TF!F31/1000</f>
        <v>9.0139917022932753E-2</v>
      </c>
      <c r="G93" s="472">
        <f>+COBERTURA_HACIA_TF!G31/1000</f>
        <v>8.957960906899419E-2</v>
      </c>
      <c r="H93" s="472">
        <f>+COBERTURA_HACIA_TF!H31/1000</f>
        <v>0.12343126930313449</v>
      </c>
      <c r="I93" s="472">
        <f>+COBERTURA_HACIA_TF!I31/1000</f>
        <v>0.15793885562899068</v>
      </c>
      <c r="J93" s="472">
        <f>+COBERTURA_HACIA_TF!J31/1000</f>
        <v>0.14749149748310483</v>
      </c>
      <c r="K93" s="473">
        <f>+COBERTURA_HACIA_TF!K31/1000</f>
        <v>0.13725430850710771</v>
      </c>
      <c r="L93" s="473">
        <f>+COBERTURA_HACIA_TF!L31/1000</f>
        <v>3.5108766143950908E-3</v>
      </c>
      <c r="M93" s="473">
        <f>+COBERTURA_HACIA_TF!M31/1000</f>
        <v>3.5108766143950908E-3</v>
      </c>
      <c r="N93" s="473">
        <f>+COBERTURA_HACIA_TF!N31/1000</f>
        <v>2.5890997499263381E-3</v>
      </c>
      <c r="O93" s="473">
        <f>+COBERTURA_HACIA_TF!O31/1000</f>
        <v>2.5890997499263381E-3</v>
      </c>
      <c r="P93" s="473">
        <f>+COBERTURA_HACIA_TF!P31/1000</f>
        <v>2.5890997499263381E-3</v>
      </c>
      <c r="Q93" s="473">
        <f>+COBERTURA_HACIA_TF!Q31/1000</f>
        <v>2.5890997499263381E-3</v>
      </c>
      <c r="R93" s="473">
        <f>+COBERTURA_HACIA_TF!R31/1000</f>
        <v>2.5890997499263381E-3</v>
      </c>
      <c r="S93" s="473">
        <f>+COBERTURA_HACIA_TF!S31/1000</f>
        <v>2.5890997499263381E-3</v>
      </c>
      <c r="T93" s="473">
        <f>+COBERTURA_HACIA_TF!T31/1000</f>
        <v>2.5890997499263381E-3</v>
      </c>
      <c r="U93" s="473">
        <f>+COBERTURA_HACIA_TF!U31/1000</f>
        <v>2.5890997499263381E-3</v>
      </c>
      <c r="V93" s="473">
        <f>+COBERTURA_HACIA_TF!V31/1000</f>
        <v>2.5890997499263381E-3</v>
      </c>
      <c r="W93" s="473">
        <f>+COBERTURA_HACIA_TF!W31/1000</f>
        <v>2.5890997499263381E-3</v>
      </c>
      <c r="X93" s="473">
        <f>+COBERTURA_HACIA_TF!X31/1000</f>
        <v>2.5890997499263381E-3</v>
      </c>
      <c r="Y93" s="473">
        <f>+COBERTURA_HACIA_TF!Y31/1000</f>
        <v>2.5890997499263381E-3</v>
      </c>
      <c r="Z93" s="473">
        <f>+COBERTURA_HACIA_TF!Z31/1000</f>
        <v>2.5890997499263381E-3</v>
      </c>
      <c r="AA93" s="473">
        <f>+COBERTURA_HACIA_TF!AA31/1000</f>
        <v>2.5890997499263381E-3</v>
      </c>
      <c r="AB93" s="473">
        <f>+COBERTURA_HACIA_TF!AB31/1000</f>
        <v>2.5890997499263381E-3</v>
      </c>
    </row>
    <row r="94" spans="2:30" ht="15" thickBot="1" x14ac:dyDescent="0.35">
      <c r="B94" s="186" t="s">
        <v>12</v>
      </c>
      <c r="C94" s="475">
        <f>+COBERTURA_HACIA_TF!C32/1000</f>
        <v>1.3661290865500829E-2</v>
      </c>
      <c r="D94" s="475">
        <f>+COBERTURA_HACIA_TF!D32/1000</f>
        <v>1.3159576692511549E-2</v>
      </c>
      <c r="E94" s="475">
        <f>+COBERTURA_HACIA_TF!E32/1000</f>
        <v>1.2693408240320114E-2</v>
      </c>
      <c r="F94" s="475">
        <f>+COBERTURA_HACIA_TF!F32/1000</f>
        <v>1.2404110392441839E-2</v>
      </c>
      <c r="G94" s="475">
        <f>+COBERTURA_HACIA_TF!G32/1000</f>
        <v>1.2127705579993679E-2</v>
      </c>
      <c r="H94" s="475">
        <f>+COBERTURA_HACIA_TF!H32/1000</f>
        <v>3.0954287611303997E-2</v>
      </c>
      <c r="I94" s="475">
        <f>+COBERTURA_HACIA_TF!I32/1000</f>
        <v>5.7014139318993899E-2</v>
      </c>
      <c r="J94" s="475">
        <f>+COBERTURA_HACIA_TF!J32/1000</f>
        <v>5.0432238257376139E-2</v>
      </c>
      <c r="K94" s="476">
        <f>+COBERTURA_HACIA_TF!K32/1000</f>
        <v>4.4352752458735663E-2</v>
      </c>
      <c r="L94" s="476">
        <f>+COBERTURA_HACIA_TF!L32/1000</f>
        <v>1.1345147783347407E-3</v>
      </c>
      <c r="M94" s="476">
        <f>+COBERTURA_HACIA_TF!M32/1000</f>
        <v>1.1345147783347407E-3</v>
      </c>
      <c r="N94" s="476">
        <f>+COBERTURA_HACIA_TF!N32/1000</f>
        <v>1.0926813789560368E-3</v>
      </c>
      <c r="O94" s="476">
        <f>+COBERTURA_HACIA_TF!O32/1000</f>
        <v>1.0926813789560368E-3</v>
      </c>
      <c r="P94" s="476">
        <f>+COBERTURA_HACIA_TF!P32/1000</f>
        <v>1.0926813789560368E-3</v>
      </c>
      <c r="Q94" s="476">
        <f>+COBERTURA_HACIA_TF!Q32/1000</f>
        <v>1.0926813789560368E-3</v>
      </c>
      <c r="R94" s="476">
        <f>+COBERTURA_HACIA_TF!R32/1000</f>
        <v>1.0926813789560368E-3</v>
      </c>
      <c r="S94" s="476">
        <f>+COBERTURA_HACIA_TF!S32/1000</f>
        <v>1.0926813789560368E-3</v>
      </c>
      <c r="T94" s="476">
        <f>+COBERTURA_HACIA_TF!T32/1000</f>
        <v>1.0926813789560368E-3</v>
      </c>
      <c r="U94" s="476">
        <f>+COBERTURA_HACIA_TF!U32/1000</f>
        <v>1.0926813789560368E-3</v>
      </c>
      <c r="V94" s="476">
        <f>+COBERTURA_HACIA_TF!V32/1000</f>
        <v>1.0926813789560368E-3</v>
      </c>
      <c r="W94" s="476">
        <f>+COBERTURA_HACIA_TF!W32/1000</f>
        <v>1.0926813789560368E-3</v>
      </c>
      <c r="X94" s="476">
        <f>+COBERTURA_HACIA_TF!X32/1000</f>
        <v>1.0926813789560368E-3</v>
      </c>
      <c r="Y94" s="476">
        <f>+COBERTURA_HACIA_TF!Y32/1000</f>
        <v>1.0926813789560368E-3</v>
      </c>
      <c r="Z94" s="476">
        <f>+COBERTURA_HACIA_TF!Z32/1000</f>
        <v>1.0926813789560368E-3</v>
      </c>
      <c r="AA94" s="476">
        <f>+COBERTURA_HACIA_TF!AA32/1000</f>
        <v>1.0926813789560368E-3</v>
      </c>
      <c r="AB94" s="476">
        <f>+COBERTURA_HACIA_TF!AB32/1000</f>
        <v>1.0926813789560368E-3</v>
      </c>
    </row>
    <row r="95" spans="2:30" ht="15" thickBot="1" x14ac:dyDescent="0.35">
      <c r="B95" s="142" t="s">
        <v>35</v>
      </c>
      <c r="C95" s="337"/>
      <c r="D95" s="337"/>
      <c r="E95" s="337"/>
      <c r="F95" s="337"/>
      <c r="G95" s="337"/>
      <c r="H95" s="337"/>
      <c r="I95" s="337"/>
      <c r="J95" s="337"/>
      <c r="K95" s="337"/>
      <c r="L95" s="337"/>
      <c r="M95" s="337"/>
      <c r="N95" s="337"/>
      <c r="O95" s="337"/>
      <c r="P95" s="337"/>
      <c r="Q95" s="337"/>
      <c r="R95" s="337"/>
      <c r="S95" s="337"/>
      <c r="T95" s="337"/>
      <c r="U95" s="337"/>
      <c r="V95" s="337"/>
      <c r="W95" s="337"/>
      <c r="X95" s="337"/>
      <c r="Y95" s="337"/>
      <c r="Z95" s="337"/>
      <c r="AA95" s="337"/>
      <c r="AB95" s="352"/>
      <c r="AD95" s="417" t="s">
        <v>232</v>
      </c>
    </row>
    <row r="96" spans="2:30" x14ac:dyDescent="0.3">
      <c r="B96" s="191" t="s">
        <v>2</v>
      </c>
      <c r="C96" s="361">
        <f t="shared" ref="C96:O96" si="70">+C74/C85</f>
        <v>-21.198191666666666</v>
      </c>
      <c r="D96" s="361">
        <f t="shared" si="70"/>
        <v>-21.198191666666663</v>
      </c>
      <c r="E96" s="361">
        <f t="shared" si="70"/>
        <v>-21.19819166666667</v>
      </c>
      <c r="F96" s="361">
        <f t="shared" si="70"/>
        <v>-21.198191666666666</v>
      </c>
      <c r="G96" s="361">
        <f t="shared" si="70"/>
        <v>-21.198191666666666</v>
      </c>
      <c r="H96" s="361">
        <f t="shared" si="70"/>
        <v>-21.19819166666667</v>
      </c>
      <c r="I96" s="361">
        <f t="shared" si="70"/>
        <v>-21.19819166666667</v>
      </c>
      <c r="J96" s="361">
        <f t="shared" si="70"/>
        <v>-21.198191666666663</v>
      </c>
      <c r="K96" s="371">
        <f t="shared" si="70"/>
        <v>-21.198191666666666</v>
      </c>
      <c r="L96" s="371">
        <f t="shared" si="70"/>
        <v>-21.198191666666663</v>
      </c>
      <c r="M96" s="371">
        <f t="shared" si="70"/>
        <v>-21.198191666666663</v>
      </c>
      <c r="N96" s="371">
        <f t="shared" si="70"/>
        <v>-21.198191666666666</v>
      </c>
      <c r="O96" s="371">
        <f t="shared" si="70"/>
        <v>-21.198191666666666</v>
      </c>
      <c r="P96" s="340">
        <f>IF(AD96="CONSTANTE",O96,AVERAGE(C96:O96))</f>
        <v>-21.19819166666667</v>
      </c>
      <c r="Q96" s="340">
        <f t="shared" ref="Q96:AB96" si="71">+P96</f>
        <v>-21.19819166666667</v>
      </c>
      <c r="R96" s="340">
        <f t="shared" si="71"/>
        <v>-21.19819166666667</v>
      </c>
      <c r="S96" s="340">
        <f t="shared" si="71"/>
        <v>-21.19819166666667</v>
      </c>
      <c r="T96" s="340">
        <f t="shared" si="71"/>
        <v>-21.19819166666667</v>
      </c>
      <c r="U96" s="340">
        <f t="shared" si="71"/>
        <v>-21.19819166666667</v>
      </c>
      <c r="V96" s="340">
        <f t="shared" si="71"/>
        <v>-21.19819166666667</v>
      </c>
      <c r="W96" s="340">
        <f t="shared" si="71"/>
        <v>-21.19819166666667</v>
      </c>
      <c r="X96" s="340">
        <f t="shared" si="71"/>
        <v>-21.19819166666667</v>
      </c>
      <c r="Y96" s="340">
        <f t="shared" si="71"/>
        <v>-21.19819166666667</v>
      </c>
      <c r="Z96" s="340">
        <f t="shared" si="71"/>
        <v>-21.19819166666667</v>
      </c>
      <c r="AA96" s="340">
        <f t="shared" si="71"/>
        <v>-21.19819166666667</v>
      </c>
      <c r="AB96" s="353">
        <f t="shared" si="71"/>
        <v>-21.19819166666667</v>
      </c>
      <c r="AD96" s="418" t="s">
        <v>234</v>
      </c>
    </row>
    <row r="97" spans="2:30" x14ac:dyDescent="0.3">
      <c r="B97" s="185" t="s">
        <v>4</v>
      </c>
      <c r="C97" s="363">
        <f t="shared" ref="C97:O97" si="72">+C75/C86</f>
        <v>-21.198191666666666</v>
      </c>
      <c r="D97" s="363">
        <f t="shared" si="72"/>
        <v>-21.198191666666666</v>
      </c>
      <c r="E97" s="363">
        <f t="shared" si="72"/>
        <v>-21.198191666666666</v>
      </c>
      <c r="F97" s="363">
        <f t="shared" si="72"/>
        <v>-21.198191666666666</v>
      </c>
      <c r="G97" s="363">
        <f t="shared" si="72"/>
        <v>-21.198191666666666</v>
      </c>
      <c r="H97" s="363">
        <f t="shared" si="72"/>
        <v>-21.198191666666673</v>
      </c>
      <c r="I97" s="363">
        <f t="shared" si="72"/>
        <v>-21.198191666666673</v>
      </c>
      <c r="J97" s="363">
        <f t="shared" si="72"/>
        <v>-21.198191666666663</v>
      </c>
      <c r="K97" s="372">
        <f t="shared" si="72"/>
        <v>-21.198191666666663</v>
      </c>
      <c r="L97" s="372">
        <f t="shared" si="72"/>
        <v>-21.198191666666663</v>
      </c>
      <c r="M97" s="372">
        <f t="shared" si="72"/>
        <v>-21.198191666666663</v>
      </c>
      <c r="N97" s="372">
        <f t="shared" si="72"/>
        <v>-21.198191666666666</v>
      </c>
      <c r="O97" s="372">
        <f t="shared" si="72"/>
        <v>-21.198191666666666</v>
      </c>
      <c r="P97" s="376">
        <f t="shared" ref="P97:P105" si="73">IF(AD97="CONSTANTE",O97,AVERAGE(C97:O97))</f>
        <v>-21.19819166666667</v>
      </c>
      <c r="Q97" s="344">
        <f t="shared" ref="Q97:AB105" si="74">+P97</f>
        <v>-21.19819166666667</v>
      </c>
      <c r="R97" s="344">
        <f t="shared" si="74"/>
        <v>-21.19819166666667</v>
      </c>
      <c r="S97" s="344">
        <f t="shared" si="74"/>
        <v>-21.19819166666667</v>
      </c>
      <c r="T97" s="344">
        <f t="shared" si="74"/>
        <v>-21.19819166666667</v>
      </c>
      <c r="U97" s="344">
        <f t="shared" si="74"/>
        <v>-21.19819166666667</v>
      </c>
      <c r="V97" s="344">
        <f t="shared" si="74"/>
        <v>-21.19819166666667</v>
      </c>
      <c r="W97" s="344">
        <f t="shared" si="74"/>
        <v>-21.19819166666667</v>
      </c>
      <c r="X97" s="344">
        <f t="shared" si="74"/>
        <v>-21.19819166666667</v>
      </c>
      <c r="Y97" s="344">
        <f t="shared" si="74"/>
        <v>-21.19819166666667</v>
      </c>
      <c r="Z97" s="344">
        <f t="shared" si="74"/>
        <v>-21.19819166666667</v>
      </c>
      <c r="AA97" s="344">
        <f t="shared" si="74"/>
        <v>-21.19819166666667</v>
      </c>
      <c r="AB97" s="354">
        <f t="shared" si="74"/>
        <v>-21.19819166666667</v>
      </c>
      <c r="AD97" s="418" t="s">
        <v>234</v>
      </c>
    </row>
    <row r="98" spans="2:30" x14ac:dyDescent="0.3">
      <c r="B98" s="185" t="s">
        <v>5</v>
      </c>
      <c r="C98" s="363">
        <f t="shared" ref="C98:O98" si="75">+C76/C87</f>
        <v>-21.198191666666666</v>
      </c>
      <c r="D98" s="363">
        <f t="shared" si="75"/>
        <v>-21.198191666666663</v>
      </c>
      <c r="E98" s="363">
        <f t="shared" si="75"/>
        <v>-21.198191666666666</v>
      </c>
      <c r="F98" s="363">
        <f t="shared" si="75"/>
        <v>-21.19819166666667</v>
      </c>
      <c r="G98" s="363">
        <f t="shared" si="75"/>
        <v>-21.198191666666666</v>
      </c>
      <c r="H98" s="363">
        <f t="shared" si="75"/>
        <v>-21.19819166666667</v>
      </c>
      <c r="I98" s="363">
        <f t="shared" si="75"/>
        <v>-21.19819166666667</v>
      </c>
      <c r="J98" s="363">
        <f t="shared" si="75"/>
        <v>-21.198191666666663</v>
      </c>
      <c r="K98" s="372">
        <f t="shared" si="75"/>
        <v>-21.198191666666666</v>
      </c>
      <c r="L98" s="372">
        <f t="shared" si="75"/>
        <v>-21.198191666666663</v>
      </c>
      <c r="M98" s="372">
        <f t="shared" si="75"/>
        <v>-21.198191666666663</v>
      </c>
      <c r="N98" s="372">
        <f t="shared" si="75"/>
        <v>-21.198191666666666</v>
      </c>
      <c r="O98" s="372">
        <f t="shared" si="75"/>
        <v>-21.198191666666666</v>
      </c>
      <c r="P98" s="376">
        <f t="shared" si="73"/>
        <v>-21.19819166666667</v>
      </c>
      <c r="Q98" s="344">
        <f t="shared" si="74"/>
        <v>-21.19819166666667</v>
      </c>
      <c r="R98" s="344">
        <f t="shared" si="74"/>
        <v>-21.19819166666667</v>
      </c>
      <c r="S98" s="344">
        <f t="shared" si="74"/>
        <v>-21.19819166666667</v>
      </c>
      <c r="T98" s="344">
        <f t="shared" si="74"/>
        <v>-21.19819166666667</v>
      </c>
      <c r="U98" s="344">
        <f t="shared" si="74"/>
        <v>-21.19819166666667</v>
      </c>
      <c r="V98" s="344">
        <f t="shared" si="74"/>
        <v>-21.19819166666667</v>
      </c>
      <c r="W98" s="344">
        <f t="shared" si="74"/>
        <v>-21.19819166666667</v>
      </c>
      <c r="X98" s="344">
        <f t="shared" si="74"/>
        <v>-21.19819166666667</v>
      </c>
      <c r="Y98" s="344">
        <f t="shared" si="74"/>
        <v>-21.19819166666667</v>
      </c>
      <c r="Z98" s="344">
        <f t="shared" si="74"/>
        <v>-21.19819166666667</v>
      </c>
      <c r="AA98" s="344">
        <f t="shared" si="74"/>
        <v>-21.19819166666667</v>
      </c>
      <c r="AB98" s="354">
        <f t="shared" si="74"/>
        <v>-21.19819166666667</v>
      </c>
      <c r="AD98" s="418" t="s">
        <v>234</v>
      </c>
    </row>
    <row r="99" spans="2:30" x14ac:dyDescent="0.3">
      <c r="B99" s="185" t="s">
        <v>6</v>
      </c>
      <c r="C99" s="363">
        <f t="shared" ref="C99:O99" si="76">+C77/C88</f>
        <v>-21.198191666666666</v>
      </c>
      <c r="D99" s="363">
        <f t="shared" si="76"/>
        <v>-21.198191666666663</v>
      </c>
      <c r="E99" s="363">
        <f t="shared" si="76"/>
        <v>-21.198191666666666</v>
      </c>
      <c r="F99" s="363">
        <f t="shared" si="76"/>
        <v>-21.198191666666666</v>
      </c>
      <c r="G99" s="363">
        <f t="shared" si="76"/>
        <v>-21.198191666666663</v>
      </c>
      <c r="H99" s="363">
        <f t="shared" si="76"/>
        <v>-21.198191666666673</v>
      </c>
      <c r="I99" s="363">
        <f t="shared" si="76"/>
        <v>-21.198191666666666</v>
      </c>
      <c r="J99" s="363">
        <f t="shared" si="76"/>
        <v>-21.198191666666663</v>
      </c>
      <c r="K99" s="372">
        <f t="shared" si="76"/>
        <v>-21.198191666666666</v>
      </c>
      <c r="L99" s="372">
        <f t="shared" si="76"/>
        <v>-21.198191666666666</v>
      </c>
      <c r="M99" s="372">
        <f t="shared" si="76"/>
        <v>-21.198191666666666</v>
      </c>
      <c r="N99" s="372">
        <f t="shared" si="76"/>
        <v>-21.19819166666667</v>
      </c>
      <c r="O99" s="372">
        <f t="shared" si="76"/>
        <v>-21.19819166666667</v>
      </c>
      <c r="P99" s="376">
        <f t="shared" si="73"/>
        <v>-21.19819166666667</v>
      </c>
      <c r="Q99" s="344">
        <f t="shared" si="74"/>
        <v>-21.19819166666667</v>
      </c>
      <c r="R99" s="344">
        <f t="shared" si="74"/>
        <v>-21.19819166666667</v>
      </c>
      <c r="S99" s="344">
        <f t="shared" si="74"/>
        <v>-21.19819166666667</v>
      </c>
      <c r="T99" s="344">
        <f t="shared" si="74"/>
        <v>-21.19819166666667</v>
      </c>
      <c r="U99" s="344">
        <f t="shared" si="74"/>
        <v>-21.19819166666667</v>
      </c>
      <c r="V99" s="344">
        <f t="shared" si="74"/>
        <v>-21.19819166666667</v>
      </c>
      <c r="W99" s="344">
        <f t="shared" si="74"/>
        <v>-21.19819166666667</v>
      </c>
      <c r="X99" s="344">
        <f t="shared" si="74"/>
        <v>-21.19819166666667</v>
      </c>
      <c r="Y99" s="344">
        <f t="shared" si="74"/>
        <v>-21.19819166666667</v>
      </c>
      <c r="Z99" s="344">
        <f t="shared" si="74"/>
        <v>-21.19819166666667</v>
      </c>
      <c r="AA99" s="344">
        <f t="shared" si="74"/>
        <v>-21.19819166666667</v>
      </c>
      <c r="AB99" s="354">
        <f t="shared" si="74"/>
        <v>-21.19819166666667</v>
      </c>
      <c r="AD99" s="418" t="s">
        <v>234</v>
      </c>
    </row>
    <row r="100" spans="2:30" x14ac:dyDescent="0.3">
      <c r="B100" s="185" t="s">
        <v>7</v>
      </c>
      <c r="C100" s="363">
        <f t="shared" ref="C100:O100" si="77">+C78/C89</f>
        <v>-21.198191666666666</v>
      </c>
      <c r="D100" s="363">
        <f t="shared" si="77"/>
        <v>-21.19819166666667</v>
      </c>
      <c r="E100" s="363">
        <f t="shared" si="77"/>
        <v>-21.198191666666666</v>
      </c>
      <c r="F100" s="363">
        <f t="shared" si="77"/>
        <v>-21.198191666666666</v>
      </c>
      <c r="G100" s="363">
        <f t="shared" si="77"/>
        <v>-21.198191666666666</v>
      </c>
      <c r="H100" s="363">
        <f t="shared" si="77"/>
        <v>-21.198191666666673</v>
      </c>
      <c r="I100" s="363">
        <f t="shared" si="77"/>
        <v>-21.198191666666666</v>
      </c>
      <c r="J100" s="363">
        <f t="shared" si="77"/>
        <v>-21.198191666666663</v>
      </c>
      <c r="K100" s="372">
        <f t="shared" si="77"/>
        <v>-21.198191666666663</v>
      </c>
      <c r="L100" s="372">
        <f t="shared" si="77"/>
        <v>-21.198191666666666</v>
      </c>
      <c r="M100" s="372">
        <f t="shared" si="77"/>
        <v>-21.198191666666666</v>
      </c>
      <c r="N100" s="372">
        <f t="shared" si="77"/>
        <v>-21.198191666666666</v>
      </c>
      <c r="O100" s="372">
        <f t="shared" si="77"/>
        <v>-21.198191666666666</v>
      </c>
      <c r="P100" s="376">
        <f t="shared" si="73"/>
        <v>-21.19819166666667</v>
      </c>
      <c r="Q100" s="344">
        <f t="shared" si="74"/>
        <v>-21.19819166666667</v>
      </c>
      <c r="R100" s="344">
        <f t="shared" si="74"/>
        <v>-21.19819166666667</v>
      </c>
      <c r="S100" s="344">
        <f t="shared" si="74"/>
        <v>-21.19819166666667</v>
      </c>
      <c r="T100" s="344">
        <f t="shared" si="74"/>
        <v>-21.19819166666667</v>
      </c>
      <c r="U100" s="344">
        <f t="shared" si="74"/>
        <v>-21.19819166666667</v>
      </c>
      <c r="V100" s="344">
        <f t="shared" si="74"/>
        <v>-21.19819166666667</v>
      </c>
      <c r="W100" s="344">
        <f t="shared" si="74"/>
        <v>-21.19819166666667</v>
      </c>
      <c r="X100" s="344">
        <f t="shared" si="74"/>
        <v>-21.19819166666667</v>
      </c>
      <c r="Y100" s="344">
        <f t="shared" si="74"/>
        <v>-21.19819166666667</v>
      </c>
      <c r="Z100" s="344">
        <f t="shared" si="74"/>
        <v>-21.19819166666667</v>
      </c>
      <c r="AA100" s="344">
        <f t="shared" si="74"/>
        <v>-21.19819166666667</v>
      </c>
      <c r="AB100" s="354">
        <f t="shared" si="74"/>
        <v>-21.19819166666667</v>
      </c>
      <c r="AD100" s="418" t="s">
        <v>234</v>
      </c>
    </row>
    <row r="101" spans="2:30" x14ac:dyDescent="0.3">
      <c r="B101" s="185" t="s">
        <v>8</v>
      </c>
      <c r="C101" s="363">
        <f t="shared" ref="C101:O101" si="78">+C79/C90</f>
        <v>-21.198191666666666</v>
      </c>
      <c r="D101" s="363">
        <f t="shared" si="78"/>
        <v>-21.198191666666666</v>
      </c>
      <c r="E101" s="363">
        <f t="shared" si="78"/>
        <v>-21.198191666666666</v>
      </c>
      <c r="F101" s="363">
        <f t="shared" si="78"/>
        <v>-21.198191666666666</v>
      </c>
      <c r="G101" s="363">
        <f t="shared" si="78"/>
        <v>-21.19819166666667</v>
      </c>
      <c r="H101" s="363">
        <f t="shared" si="78"/>
        <v>-21.19819166666667</v>
      </c>
      <c r="I101" s="363">
        <f t="shared" si="78"/>
        <v>-21.19819166666667</v>
      </c>
      <c r="J101" s="363">
        <f t="shared" si="78"/>
        <v>-21.198191666666666</v>
      </c>
      <c r="K101" s="372">
        <f t="shared" si="78"/>
        <v>-21.198191666666666</v>
      </c>
      <c r="L101" s="372">
        <f t="shared" si="78"/>
        <v>-21.198191666666663</v>
      </c>
      <c r="M101" s="372">
        <f t="shared" si="78"/>
        <v>-21.198191666666663</v>
      </c>
      <c r="N101" s="372">
        <f t="shared" si="78"/>
        <v>-21.198191666666666</v>
      </c>
      <c r="O101" s="372">
        <f t="shared" si="78"/>
        <v>-21.198191666666666</v>
      </c>
      <c r="P101" s="376">
        <f t="shared" si="73"/>
        <v>-21.19819166666667</v>
      </c>
      <c r="Q101" s="344">
        <f t="shared" si="74"/>
        <v>-21.19819166666667</v>
      </c>
      <c r="R101" s="344">
        <f t="shared" si="74"/>
        <v>-21.19819166666667</v>
      </c>
      <c r="S101" s="344">
        <f t="shared" si="74"/>
        <v>-21.19819166666667</v>
      </c>
      <c r="T101" s="344">
        <f t="shared" si="74"/>
        <v>-21.19819166666667</v>
      </c>
      <c r="U101" s="344">
        <f t="shared" si="74"/>
        <v>-21.19819166666667</v>
      </c>
      <c r="V101" s="344">
        <f t="shared" si="74"/>
        <v>-21.19819166666667</v>
      </c>
      <c r="W101" s="344">
        <f t="shared" si="74"/>
        <v>-21.19819166666667</v>
      </c>
      <c r="X101" s="344">
        <f t="shared" si="74"/>
        <v>-21.19819166666667</v>
      </c>
      <c r="Y101" s="344">
        <f t="shared" si="74"/>
        <v>-21.19819166666667</v>
      </c>
      <c r="Z101" s="344">
        <f t="shared" si="74"/>
        <v>-21.19819166666667</v>
      </c>
      <c r="AA101" s="344">
        <f t="shared" si="74"/>
        <v>-21.19819166666667</v>
      </c>
      <c r="AB101" s="354">
        <f t="shared" si="74"/>
        <v>-21.19819166666667</v>
      </c>
      <c r="AD101" s="418" t="s">
        <v>234</v>
      </c>
    </row>
    <row r="102" spans="2:30" x14ac:dyDescent="0.3">
      <c r="B102" s="185" t="s">
        <v>9</v>
      </c>
      <c r="C102" s="363">
        <f t="shared" ref="C102:O102" si="79">+C80/C91</f>
        <v>-21.198191666666663</v>
      </c>
      <c r="D102" s="363">
        <f t="shared" si="79"/>
        <v>-21.198191666666663</v>
      </c>
      <c r="E102" s="363">
        <f t="shared" si="79"/>
        <v>-21.198191666666666</v>
      </c>
      <c r="F102" s="363">
        <f t="shared" si="79"/>
        <v>-21.198191666666666</v>
      </c>
      <c r="G102" s="363">
        <f t="shared" si="79"/>
        <v>-21.198191666666666</v>
      </c>
      <c r="H102" s="363">
        <f t="shared" si="79"/>
        <v>-21.198191666666673</v>
      </c>
      <c r="I102" s="363">
        <f t="shared" si="79"/>
        <v>-21.19819166666667</v>
      </c>
      <c r="J102" s="363">
        <f t="shared" si="79"/>
        <v>-21.198191666666663</v>
      </c>
      <c r="K102" s="372">
        <f t="shared" si="79"/>
        <v>-21.198191666666663</v>
      </c>
      <c r="L102" s="372">
        <f t="shared" si="79"/>
        <v>-21.198191666666666</v>
      </c>
      <c r="M102" s="372">
        <f t="shared" si="79"/>
        <v>-21.198191666666666</v>
      </c>
      <c r="N102" s="372">
        <f t="shared" si="79"/>
        <v>-21.19819166666667</v>
      </c>
      <c r="O102" s="372">
        <f t="shared" si="79"/>
        <v>-21.19819166666667</v>
      </c>
      <c r="P102" s="376">
        <f t="shared" si="73"/>
        <v>-21.19819166666667</v>
      </c>
      <c r="Q102" s="344">
        <f t="shared" si="74"/>
        <v>-21.19819166666667</v>
      </c>
      <c r="R102" s="344">
        <f t="shared" si="74"/>
        <v>-21.19819166666667</v>
      </c>
      <c r="S102" s="344">
        <f t="shared" si="74"/>
        <v>-21.19819166666667</v>
      </c>
      <c r="T102" s="344">
        <f t="shared" si="74"/>
        <v>-21.19819166666667</v>
      </c>
      <c r="U102" s="344">
        <f t="shared" si="74"/>
        <v>-21.19819166666667</v>
      </c>
      <c r="V102" s="344">
        <f t="shared" si="74"/>
        <v>-21.19819166666667</v>
      </c>
      <c r="W102" s="344">
        <f t="shared" si="74"/>
        <v>-21.19819166666667</v>
      </c>
      <c r="X102" s="344">
        <f t="shared" si="74"/>
        <v>-21.19819166666667</v>
      </c>
      <c r="Y102" s="344">
        <f t="shared" si="74"/>
        <v>-21.19819166666667</v>
      </c>
      <c r="Z102" s="344">
        <f t="shared" si="74"/>
        <v>-21.19819166666667</v>
      </c>
      <c r="AA102" s="344">
        <f t="shared" si="74"/>
        <v>-21.19819166666667</v>
      </c>
      <c r="AB102" s="354">
        <f t="shared" si="74"/>
        <v>-21.19819166666667</v>
      </c>
      <c r="AD102" s="418" t="s">
        <v>234</v>
      </c>
    </row>
    <row r="103" spans="2:30" x14ac:dyDescent="0.3">
      <c r="B103" s="185" t="s">
        <v>10</v>
      </c>
      <c r="C103" s="363">
        <f t="shared" ref="C103:O103" si="80">+C81/C92</f>
        <v>-21.198191666666666</v>
      </c>
      <c r="D103" s="363">
        <f t="shared" si="80"/>
        <v>-21.198191666666666</v>
      </c>
      <c r="E103" s="363">
        <f t="shared" si="80"/>
        <v>-21.198191666666666</v>
      </c>
      <c r="F103" s="363">
        <f t="shared" si="80"/>
        <v>-21.19819166666667</v>
      </c>
      <c r="G103" s="363">
        <f t="shared" si="80"/>
        <v>-21.198191666666666</v>
      </c>
      <c r="H103" s="363">
        <f t="shared" si="80"/>
        <v>-21.19819166666667</v>
      </c>
      <c r="I103" s="363">
        <f t="shared" si="80"/>
        <v>-21.19819166666667</v>
      </c>
      <c r="J103" s="363">
        <f t="shared" si="80"/>
        <v>-21.198191666666663</v>
      </c>
      <c r="K103" s="372">
        <f t="shared" si="80"/>
        <v>-21.198191666666663</v>
      </c>
      <c r="L103" s="372">
        <f t="shared" si="80"/>
        <v>-21.198191666666663</v>
      </c>
      <c r="M103" s="372">
        <f t="shared" si="80"/>
        <v>-21.198191666666663</v>
      </c>
      <c r="N103" s="372">
        <f t="shared" si="80"/>
        <v>-21.198191666666663</v>
      </c>
      <c r="O103" s="372">
        <f t="shared" si="80"/>
        <v>-21.198191666666663</v>
      </c>
      <c r="P103" s="376">
        <f t="shared" si="73"/>
        <v>-21.19819166666667</v>
      </c>
      <c r="Q103" s="344">
        <f t="shared" si="74"/>
        <v>-21.19819166666667</v>
      </c>
      <c r="R103" s="344">
        <f t="shared" si="74"/>
        <v>-21.19819166666667</v>
      </c>
      <c r="S103" s="344">
        <f t="shared" si="74"/>
        <v>-21.19819166666667</v>
      </c>
      <c r="T103" s="344">
        <f t="shared" si="74"/>
        <v>-21.19819166666667</v>
      </c>
      <c r="U103" s="344">
        <f t="shared" si="74"/>
        <v>-21.19819166666667</v>
      </c>
      <c r="V103" s="344">
        <f t="shared" si="74"/>
        <v>-21.19819166666667</v>
      </c>
      <c r="W103" s="344">
        <f t="shared" si="74"/>
        <v>-21.19819166666667</v>
      </c>
      <c r="X103" s="344">
        <f t="shared" si="74"/>
        <v>-21.19819166666667</v>
      </c>
      <c r="Y103" s="344">
        <f t="shared" si="74"/>
        <v>-21.19819166666667</v>
      </c>
      <c r="Z103" s="344">
        <f t="shared" si="74"/>
        <v>-21.19819166666667</v>
      </c>
      <c r="AA103" s="344">
        <f t="shared" si="74"/>
        <v>-21.19819166666667</v>
      </c>
      <c r="AB103" s="354">
        <f t="shared" si="74"/>
        <v>-21.19819166666667</v>
      </c>
      <c r="AD103" s="418" t="s">
        <v>234</v>
      </c>
    </row>
    <row r="104" spans="2:30" x14ac:dyDescent="0.3">
      <c r="B104" s="185" t="s">
        <v>11</v>
      </c>
      <c r="C104" s="363">
        <f t="shared" ref="C104:O104" si="81">+C82/C93</f>
        <v>-21.198191666666666</v>
      </c>
      <c r="D104" s="363">
        <f t="shared" si="81"/>
        <v>-21.198191666666666</v>
      </c>
      <c r="E104" s="363">
        <f t="shared" si="81"/>
        <v>-21.198191666666666</v>
      </c>
      <c r="F104" s="363">
        <f t="shared" si="81"/>
        <v>-21.198191666666663</v>
      </c>
      <c r="G104" s="363">
        <f t="shared" si="81"/>
        <v>-21.198191666666666</v>
      </c>
      <c r="H104" s="363">
        <f t="shared" si="81"/>
        <v>-21.19819166666667</v>
      </c>
      <c r="I104" s="363">
        <f t="shared" si="81"/>
        <v>-21.198191666666673</v>
      </c>
      <c r="J104" s="363">
        <f t="shared" si="81"/>
        <v>-21.198191666666666</v>
      </c>
      <c r="K104" s="372">
        <f t="shared" si="81"/>
        <v>-21.198191666666666</v>
      </c>
      <c r="L104" s="372">
        <f t="shared" si="81"/>
        <v>-21.198191666666663</v>
      </c>
      <c r="M104" s="372">
        <f t="shared" si="81"/>
        <v>-21.198191666666663</v>
      </c>
      <c r="N104" s="372">
        <f t="shared" si="81"/>
        <v>-21.198191666666666</v>
      </c>
      <c r="O104" s="372">
        <f t="shared" si="81"/>
        <v>-21.198191666666666</v>
      </c>
      <c r="P104" s="376">
        <f t="shared" si="73"/>
        <v>-21.19819166666667</v>
      </c>
      <c r="Q104" s="344">
        <f t="shared" si="74"/>
        <v>-21.19819166666667</v>
      </c>
      <c r="R104" s="344">
        <f t="shared" si="74"/>
        <v>-21.19819166666667</v>
      </c>
      <c r="S104" s="344">
        <f t="shared" si="74"/>
        <v>-21.19819166666667</v>
      </c>
      <c r="T104" s="344">
        <f t="shared" si="74"/>
        <v>-21.19819166666667</v>
      </c>
      <c r="U104" s="344">
        <f t="shared" si="74"/>
        <v>-21.19819166666667</v>
      </c>
      <c r="V104" s="344">
        <f t="shared" si="74"/>
        <v>-21.19819166666667</v>
      </c>
      <c r="W104" s="344">
        <f t="shared" si="74"/>
        <v>-21.19819166666667</v>
      </c>
      <c r="X104" s="344">
        <f t="shared" si="74"/>
        <v>-21.19819166666667</v>
      </c>
      <c r="Y104" s="344">
        <f t="shared" si="74"/>
        <v>-21.19819166666667</v>
      </c>
      <c r="Z104" s="344">
        <f t="shared" si="74"/>
        <v>-21.19819166666667</v>
      </c>
      <c r="AA104" s="344">
        <f t="shared" si="74"/>
        <v>-21.19819166666667</v>
      </c>
      <c r="AB104" s="354">
        <f t="shared" si="74"/>
        <v>-21.19819166666667</v>
      </c>
      <c r="AD104" s="418" t="s">
        <v>234</v>
      </c>
    </row>
    <row r="105" spans="2:30" ht="15" thickBot="1" x14ac:dyDescent="0.35">
      <c r="B105" s="186" t="s">
        <v>12</v>
      </c>
      <c r="C105" s="365">
        <f t="shared" ref="C105:O105" si="82">+C83/C94</f>
        <v>-21.198191666666666</v>
      </c>
      <c r="D105" s="365">
        <f t="shared" si="82"/>
        <v>-21.198191666666666</v>
      </c>
      <c r="E105" s="365">
        <f t="shared" si="82"/>
        <v>-21.198191666666666</v>
      </c>
      <c r="F105" s="365">
        <f t="shared" si="82"/>
        <v>-21.198191666666663</v>
      </c>
      <c r="G105" s="365">
        <f t="shared" si="82"/>
        <v>-21.198191666666666</v>
      </c>
      <c r="H105" s="365">
        <f t="shared" si="82"/>
        <v>-21.19819166666667</v>
      </c>
      <c r="I105" s="365">
        <f t="shared" si="82"/>
        <v>-21.19819166666667</v>
      </c>
      <c r="J105" s="365">
        <f t="shared" si="82"/>
        <v>-21.198191666666666</v>
      </c>
      <c r="K105" s="373">
        <f t="shared" si="82"/>
        <v>-21.198191666666663</v>
      </c>
      <c r="L105" s="373">
        <f t="shared" si="82"/>
        <v>-21.198191666666659</v>
      </c>
      <c r="M105" s="373">
        <f t="shared" si="82"/>
        <v>-21.198191666666659</v>
      </c>
      <c r="N105" s="373">
        <f t="shared" si="82"/>
        <v>-21.19819166666667</v>
      </c>
      <c r="O105" s="373">
        <f t="shared" si="82"/>
        <v>-21.19819166666667</v>
      </c>
      <c r="P105" s="383">
        <f t="shared" si="73"/>
        <v>-21.19819166666667</v>
      </c>
      <c r="Q105" s="348">
        <f t="shared" si="74"/>
        <v>-21.19819166666667</v>
      </c>
      <c r="R105" s="348">
        <f t="shared" si="74"/>
        <v>-21.19819166666667</v>
      </c>
      <c r="S105" s="348">
        <f t="shared" si="74"/>
        <v>-21.19819166666667</v>
      </c>
      <c r="T105" s="348">
        <f t="shared" si="74"/>
        <v>-21.19819166666667</v>
      </c>
      <c r="U105" s="348">
        <f t="shared" si="74"/>
        <v>-21.19819166666667</v>
      </c>
      <c r="V105" s="348">
        <f t="shared" si="74"/>
        <v>-21.19819166666667</v>
      </c>
      <c r="W105" s="348">
        <f t="shared" si="74"/>
        <v>-21.19819166666667</v>
      </c>
      <c r="X105" s="348">
        <f t="shared" si="74"/>
        <v>-21.19819166666667</v>
      </c>
      <c r="Y105" s="348">
        <f t="shared" si="74"/>
        <v>-21.19819166666667</v>
      </c>
      <c r="Z105" s="348">
        <f t="shared" si="74"/>
        <v>-21.19819166666667</v>
      </c>
      <c r="AA105" s="348">
        <f t="shared" si="74"/>
        <v>-21.19819166666667</v>
      </c>
      <c r="AB105" s="355">
        <f t="shared" si="74"/>
        <v>-21.19819166666667</v>
      </c>
      <c r="AD105" s="419" t="s">
        <v>234</v>
      </c>
    </row>
    <row r="106" spans="2:30" x14ac:dyDescent="0.3">
      <c r="C106" s="356"/>
      <c r="D106" s="356"/>
      <c r="E106" s="356"/>
      <c r="F106" s="356"/>
      <c r="G106" s="356"/>
      <c r="H106" s="356"/>
      <c r="I106" s="356"/>
      <c r="J106" s="356"/>
      <c r="K106" s="356"/>
      <c r="L106" s="356"/>
      <c r="M106" s="356"/>
      <c r="N106" s="356"/>
      <c r="O106" s="356"/>
      <c r="P106" s="356"/>
      <c r="Q106" s="356"/>
      <c r="R106" s="356"/>
      <c r="S106" s="356"/>
      <c r="T106" s="356"/>
      <c r="U106" s="356"/>
      <c r="V106" s="356"/>
      <c r="W106" s="356"/>
      <c r="X106" s="356"/>
      <c r="Y106" s="356"/>
      <c r="Z106" s="356"/>
      <c r="AA106" s="356"/>
      <c r="AB106" s="356"/>
    </row>
    <row r="107" spans="2:30" x14ac:dyDescent="0.3">
      <c r="C107" s="356"/>
      <c r="D107" s="356"/>
      <c r="E107" s="356"/>
      <c r="F107" s="356"/>
      <c r="G107" s="356"/>
      <c r="H107" s="356"/>
      <c r="I107" s="356"/>
      <c r="J107" s="356"/>
      <c r="K107" s="356"/>
      <c r="L107" s="356"/>
      <c r="M107" s="356"/>
      <c r="N107" s="356"/>
      <c r="O107" s="356"/>
      <c r="P107" s="356"/>
      <c r="Q107" s="356"/>
      <c r="R107" s="356"/>
      <c r="S107" s="356"/>
      <c r="T107" s="356"/>
      <c r="U107" s="356"/>
      <c r="V107" s="356"/>
      <c r="W107" s="356"/>
      <c r="X107" s="356"/>
      <c r="Y107" s="356"/>
      <c r="Z107" s="356"/>
      <c r="AA107" s="356"/>
      <c r="AB107" s="356"/>
    </row>
    <row r="108" spans="2:30" ht="15" thickBot="1" x14ac:dyDescent="0.35">
      <c r="B108" s="131" t="s">
        <v>170</v>
      </c>
      <c r="C108" s="357"/>
      <c r="D108" s="357"/>
      <c r="E108" s="357"/>
      <c r="F108" s="357"/>
      <c r="G108" s="357"/>
      <c r="H108" s="357"/>
      <c r="I108" s="357"/>
      <c r="J108" s="357"/>
      <c r="K108" s="357"/>
      <c r="L108" s="357"/>
      <c r="M108" s="357"/>
      <c r="N108" s="357"/>
      <c r="O108" s="357"/>
      <c r="P108" s="357"/>
      <c r="Q108" s="357"/>
      <c r="R108" s="357"/>
      <c r="S108" s="357"/>
      <c r="T108" s="357"/>
      <c r="U108" s="357"/>
      <c r="V108" s="357"/>
      <c r="W108" s="357"/>
      <c r="X108" s="357"/>
      <c r="Y108" s="357"/>
      <c r="Z108" s="357"/>
      <c r="AA108" s="357"/>
      <c r="AB108" s="357"/>
    </row>
    <row r="109" spans="2:30" ht="15" thickBot="1" x14ac:dyDescent="0.35">
      <c r="B109" s="142" t="s">
        <v>166</v>
      </c>
      <c r="C109" s="337">
        <f>+DATOS_INGEI!C6/1000</f>
        <v>-0.78772480233333331</v>
      </c>
      <c r="D109" s="337">
        <f>+DATOS_INGEI!D6/1000</f>
        <v>-0.78772480233333331</v>
      </c>
      <c r="E109" s="337">
        <f>+DATOS_INGEI!E6/1000</f>
        <v>-0.78772480233333331</v>
      </c>
      <c r="F109" s="337">
        <f>+DATOS_INGEI!F6/1000</f>
        <v>-0.78772480233333331</v>
      </c>
      <c r="G109" s="337">
        <f>+DATOS_INGEI!G6/1000</f>
        <v>-0.78772480233333331</v>
      </c>
      <c r="H109" s="337">
        <f>+DATOS_INGEI!H6/1000</f>
        <v>-0.83372487824999986</v>
      </c>
      <c r="I109" s="337">
        <f>+DATOS_INGEI!I6/1000</f>
        <v>-0.87972495416666652</v>
      </c>
      <c r="J109" s="337">
        <f>+DATOS_INGEI!J6/1000</f>
        <v>-0.87251756899999988</v>
      </c>
      <c r="K109" s="337">
        <f>+DATOS_INGEI!K6/1000</f>
        <v>-0.86531018383333336</v>
      </c>
      <c r="L109" s="337">
        <f>+DATOS_INGEI!L6/1000</f>
        <v>-2.0986209749999998E-2</v>
      </c>
      <c r="M109" s="337">
        <f>+DATOS_INGEI!M6/1000</f>
        <v>-2.0986209749999998E-2</v>
      </c>
      <c r="N109" s="337">
        <f>+DATOS_INGEI!N6/1000</f>
        <v>-0.25755802875</v>
      </c>
      <c r="O109" s="337">
        <f>+DATOS_INGEI!O6/1000</f>
        <v>-0.25755802875</v>
      </c>
      <c r="P109" s="338">
        <f>+SUM(P110:P119)</f>
        <v>-0.25755802875</v>
      </c>
      <c r="Q109" s="338">
        <f t="shared" ref="Q109:AB109" si="83">+SUM(Q110:Q119)</f>
        <v>-0.25755802875</v>
      </c>
      <c r="R109" s="338">
        <f t="shared" si="83"/>
        <v>-0.25755802875</v>
      </c>
      <c r="S109" s="338">
        <f t="shared" si="83"/>
        <v>-0.25755802875</v>
      </c>
      <c r="T109" s="338">
        <f t="shared" si="83"/>
        <v>-0.25755802875</v>
      </c>
      <c r="U109" s="338">
        <f t="shared" si="83"/>
        <v>-0.25755802875</v>
      </c>
      <c r="V109" s="338">
        <f t="shared" si="83"/>
        <v>-0.25755802875</v>
      </c>
      <c r="W109" s="338">
        <f t="shared" si="83"/>
        <v>-0.25755802875</v>
      </c>
      <c r="X109" s="338">
        <f t="shared" si="83"/>
        <v>-0.25755802875</v>
      </c>
      <c r="Y109" s="338">
        <f t="shared" si="83"/>
        <v>-0.25755802875</v>
      </c>
      <c r="Z109" s="338">
        <f t="shared" si="83"/>
        <v>-0.25755802875</v>
      </c>
      <c r="AA109" s="338">
        <f t="shared" si="83"/>
        <v>-0.25755802875</v>
      </c>
      <c r="AB109" s="339">
        <f t="shared" si="83"/>
        <v>-0.25755802875</v>
      </c>
    </row>
    <row r="110" spans="2:30" x14ac:dyDescent="0.3">
      <c r="B110" s="191" t="s">
        <v>2</v>
      </c>
      <c r="C110" s="340">
        <f>+C$109*COBERTURA_BOSQUE!C35</f>
        <v>-1.9162374977485324E-3</v>
      </c>
      <c r="D110" s="340">
        <f>+D$109*COBERTURA_BOSQUE!D35</f>
        <v>-2.0034638319972389E-3</v>
      </c>
      <c r="E110" s="340">
        <f>+E$109*COBERTURA_BOSQUE!E35</f>
        <v>-2.0845103070943681E-3</v>
      </c>
      <c r="F110" s="340">
        <f>+F$109*COBERTURA_BOSQUE!F35</f>
        <v>-2.0549709987292479E-3</v>
      </c>
      <c r="G110" s="340">
        <f>+G$109*COBERTURA_BOSQUE!G35</f>
        <v>-2.0267481583300172E-3</v>
      </c>
      <c r="H110" s="340">
        <f>+H$109*COBERTURA_BOSQUE!H35</f>
        <v>-2.1244664502002917E-3</v>
      </c>
      <c r="I110" s="340">
        <f>+I$109*COBERTURA_BOSQUE!I35</f>
        <v>-2.2204470432523305E-3</v>
      </c>
      <c r="J110" s="340">
        <f>+J$109*COBERTURA_BOSQUE!J35</f>
        <v>-2.1636717403441916E-3</v>
      </c>
      <c r="K110" s="358">
        <f>+K$109*COBERTURA_BOSQUE!K35</f>
        <v>-2.1087571144441184E-3</v>
      </c>
      <c r="L110" s="358">
        <f>+L$109*COBERTURA_BOSQUE!L35</f>
        <v>-5.1143300913759847E-5</v>
      </c>
      <c r="M110" s="358">
        <f>+M$109*COBERTURA_BOSQUE!M35</f>
        <v>-5.1143300913759847E-5</v>
      </c>
      <c r="N110" s="358">
        <f>+N$109*COBERTURA_BOSQUE!N35</f>
        <v>-5.8960028037903912E-4</v>
      </c>
      <c r="O110" s="358">
        <f>+O$109*COBERTURA_BOSQUE!P35</f>
        <v>-5.8960028037903912E-4</v>
      </c>
      <c r="P110" s="342">
        <f t="shared" ref="P110:P119" si="84">+P121*P132</f>
        <v>-5.8960028037903923E-4</v>
      </c>
      <c r="Q110" s="342">
        <f t="shared" ref="Q110:AB110" si="85">+Q121*Q132</f>
        <v>-5.8960028037903923E-4</v>
      </c>
      <c r="R110" s="342">
        <f t="shared" si="85"/>
        <v>-5.8960028037903923E-4</v>
      </c>
      <c r="S110" s="342">
        <f t="shared" si="85"/>
        <v>-5.8960028037903923E-4</v>
      </c>
      <c r="T110" s="342">
        <f t="shared" si="85"/>
        <v>-5.8960028037903923E-4</v>
      </c>
      <c r="U110" s="342">
        <f t="shared" si="85"/>
        <v>-5.8960028037903923E-4</v>
      </c>
      <c r="V110" s="342">
        <f t="shared" si="85"/>
        <v>-5.8960028037903923E-4</v>
      </c>
      <c r="W110" s="342">
        <f t="shared" si="85"/>
        <v>-5.8960028037903923E-4</v>
      </c>
      <c r="X110" s="342">
        <f t="shared" si="85"/>
        <v>-5.8960028037903923E-4</v>
      </c>
      <c r="Y110" s="342">
        <f t="shared" si="85"/>
        <v>-5.8960028037903923E-4</v>
      </c>
      <c r="Z110" s="342">
        <f t="shared" si="85"/>
        <v>-5.8960028037903923E-4</v>
      </c>
      <c r="AA110" s="342">
        <f t="shared" si="85"/>
        <v>-5.8960028037903923E-4</v>
      </c>
      <c r="AB110" s="343">
        <f t="shared" si="85"/>
        <v>-5.8960028037903923E-4</v>
      </c>
    </row>
    <row r="111" spans="2:30" x14ac:dyDescent="0.3">
      <c r="B111" s="185" t="s">
        <v>4</v>
      </c>
      <c r="C111" s="344">
        <f>+C$109*COBERTURA_BOSQUE!C36</f>
        <v>-1.8712415339334407E-2</v>
      </c>
      <c r="D111" s="344">
        <f>+D$109*COBERTURA_BOSQUE!D36</f>
        <v>-1.8866994164161609E-2</v>
      </c>
      <c r="E111" s="344">
        <f>+E$109*COBERTURA_BOSQUE!E36</f>
        <v>-1.9010621303658045E-2</v>
      </c>
      <c r="F111" s="344">
        <f>+F$109*COBERTURA_BOSQUE!F36</f>
        <v>-1.9164071417293777E-2</v>
      </c>
      <c r="G111" s="344">
        <f>+G$109*COBERTURA_BOSQUE!G36</f>
        <v>-1.9310682773688921E-2</v>
      </c>
      <c r="H111" s="344">
        <f>+H$109*COBERTURA_BOSQUE!H36</f>
        <v>-2.0157536102422147E-2</v>
      </c>
      <c r="I111" s="344">
        <f>+I$109*COBERTURA_BOSQUE!I36</f>
        <v>-2.0980742678132162E-2</v>
      </c>
      <c r="J111" s="344">
        <f>+J$109*COBERTURA_BOSQUE!J36</f>
        <v>-2.0473651240158024E-2</v>
      </c>
      <c r="K111" s="359">
        <f>+K$109*COBERTURA_BOSQUE!K36</f>
        <v>-1.9982724685495997E-2</v>
      </c>
      <c r="L111" s="359">
        <f>+L$109*COBERTURA_BOSQUE!L36</f>
        <v>-4.8463736988341584E-4</v>
      </c>
      <c r="M111" s="359">
        <f>+M$109*COBERTURA_BOSQUE!M36</f>
        <v>-4.8463736988341584E-4</v>
      </c>
      <c r="N111" s="359">
        <f>+N$109*COBERTURA_BOSQUE!N36</f>
        <v>-6.0272845383874405E-3</v>
      </c>
      <c r="O111" s="359">
        <f>+O$109*COBERTURA_BOSQUE!P36</f>
        <v>-6.0272845383874405E-3</v>
      </c>
      <c r="P111" s="346">
        <f t="shared" si="84"/>
        <v>-6.0272845383874413E-3</v>
      </c>
      <c r="Q111" s="346">
        <f t="shared" ref="Q111:AB111" si="86">+Q122*Q133</f>
        <v>-6.0272845383874413E-3</v>
      </c>
      <c r="R111" s="346">
        <f t="shared" si="86"/>
        <v>-6.0272845383874413E-3</v>
      </c>
      <c r="S111" s="346">
        <f t="shared" si="86"/>
        <v>-6.0272845383874413E-3</v>
      </c>
      <c r="T111" s="346">
        <f t="shared" si="86"/>
        <v>-6.0272845383874413E-3</v>
      </c>
      <c r="U111" s="346">
        <f t="shared" si="86"/>
        <v>-6.0272845383874413E-3</v>
      </c>
      <c r="V111" s="346">
        <f t="shared" si="86"/>
        <v>-6.0272845383874413E-3</v>
      </c>
      <c r="W111" s="346">
        <f t="shared" si="86"/>
        <v>-6.0272845383874413E-3</v>
      </c>
      <c r="X111" s="346">
        <f t="shared" si="86"/>
        <v>-6.0272845383874413E-3</v>
      </c>
      <c r="Y111" s="346">
        <f t="shared" si="86"/>
        <v>-6.0272845383874413E-3</v>
      </c>
      <c r="Z111" s="346">
        <f t="shared" si="86"/>
        <v>-6.0272845383874413E-3</v>
      </c>
      <c r="AA111" s="346">
        <f t="shared" si="86"/>
        <v>-6.0272845383874413E-3</v>
      </c>
      <c r="AB111" s="347">
        <f t="shared" si="86"/>
        <v>-6.0272845383874413E-3</v>
      </c>
    </row>
    <row r="112" spans="2:30" x14ac:dyDescent="0.3">
      <c r="B112" s="185" t="s">
        <v>5</v>
      </c>
      <c r="C112" s="344">
        <f>+C$109*COBERTURA_BOSQUE!C37</f>
        <v>-0.17892994574136276</v>
      </c>
      <c r="D112" s="344">
        <f>+D$109*COBERTURA_BOSQUE!D37</f>
        <v>-0.17321224906115107</v>
      </c>
      <c r="E112" s="344">
        <f>+E$109*COBERTURA_BOSQUE!E37</f>
        <v>-0.16789964289012441</v>
      </c>
      <c r="F112" s="344">
        <f>+F$109*COBERTURA_BOSQUE!F37</f>
        <v>-0.1688915113137345</v>
      </c>
      <c r="G112" s="344">
        <f>+G$109*COBERTURA_BOSQUE!G37</f>
        <v>-0.16983917548618457</v>
      </c>
      <c r="H112" s="344">
        <f>+H$109*COBERTURA_BOSQUE!H37</f>
        <v>-0.17763911580888939</v>
      </c>
      <c r="I112" s="344">
        <f>+I$109*COBERTURA_BOSQUE!I37</f>
        <v>-0.18526070413004153</v>
      </c>
      <c r="J112" s="344">
        <f>+J$109*COBERTURA_BOSQUE!J37</f>
        <v>-0.1823371962184209</v>
      </c>
      <c r="K112" s="359">
        <f>+K$109*COBERTURA_BOSQUE!K37</f>
        <v>-0.17948147786255456</v>
      </c>
      <c r="L112" s="359">
        <f>+L$109*COBERTURA_BOSQUE!L37</f>
        <v>-4.3529314817229046E-3</v>
      </c>
      <c r="M112" s="359">
        <f>+M$109*COBERTURA_BOSQUE!M37</f>
        <v>-4.3529314817229046E-3</v>
      </c>
      <c r="N112" s="359">
        <f>+N$109*COBERTURA_BOSQUE!N37</f>
        <v>-5.4377188513508513E-2</v>
      </c>
      <c r="O112" s="359">
        <f>+O$109*COBERTURA_BOSQUE!P37</f>
        <v>-5.4377188513508513E-2</v>
      </c>
      <c r="P112" s="346">
        <f t="shared" si="84"/>
        <v>-5.4377188513508513E-2</v>
      </c>
      <c r="Q112" s="346">
        <f t="shared" ref="Q112:AB112" si="87">+Q123*Q134</f>
        <v>-5.4377188513508513E-2</v>
      </c>
      <c r="R112" s="346">
        <f t="shared" si="87"/>
        <v>-5.4377188513508513E-2</v>
      </c>
      <c r="S112" s="346">
        <f t="shared" si="87"/>
        <v>-5.4377188513508513E-2</v>
      </c>
      <c r="T112" s="346">
        <f t="shared" si="87"/>
        <v>-5.4377188513508513E-2</v>
      </c>
      <c r="U112" s="346">
        <f t="shared" si="87"/>
        <v>-5.4377188513508513E-2</v>
      </c>
      <c r="V112" s="346">
        <f t="shared" si="87"/>
        <v>-5.4377188513508513E-2</v>
      </c>
      <c r="W112" s="346">
        <f t="shared" si="87"/>
        <v>-5.4377188513508513E-2</v>
      </c>
      <c r="X112" s="346">
        <f t="shared" si="87"/>
        <v>-5.4377188513508513E-2</v>
      </c>
      <c r="Y112" s="346">
        <f t="shared" si="87"/>
        <v>-5.4377188513508513E-2</v>
      </c>
      <c r="Z112" s="346">
        <f t="shared" si="87"/>
        <v>-5.4377188513508513E-2</v>
      </c>
      <c r="AA112" s="346">
        <f t="shared" si="87"/>
        <v>-5.4377188513508513E-2</v>
      </c>
      <c r="AB112" s="347">
        <f t="shared" si="87"/>
        <v>-5.4377188513508513E-2</v>
      </c>
    </row>
    <row r="113" spans="2:30" x14ac:dyDescent="0.3">
      <c r="B113" s="185" t="s">
        <v>6</v>
      </c>
      <c r="C113" s="344">
        <f>+C$109*COBERTURA_BOSQUE!C38</f>
        <v>-7.2733869066074291E-2</v>
      </c>
      <c r="D113" s="344">
        <f>+D$109*COBERTURA_BOSQUE!D38</f>
        <v>-7.0213323087079713E-2</v>
      </c>
      <c r="E113" s="344">
        <f>+E$109*COBERTURA_BOSQUE!E38</f>
        <v>-6.7871354131519929E-2</v>
      </c>
      <c r="F113" s="344">
        <f>+F$109*COBERTURA_BOSQUE!F38</f>
        <v>-6.8897356414660771E-2</v>
      </c>
      <c r="G113" s="344">
        <f>+G$109*COBERTURA_BOSQUE!G38</f>
        <v>-6.9877633214930054E-2</v>
      </c>
      <c r="H113" s="344">
        <f>+H$109*COBERTURA_BOSQUE!H38</f>
        <v>-7.2952085156022195E-2</v>
      </c>
      <c r="I113" s="344">
        <f>+I$109*COBERTURA_BOSQUE!I38</f>
        <v>-7.594181344610787E-2</v>
      </c>
      <c r="J113" s="344">
        <f>+J$109*COBERTURA_BOSQUE!J38</f>
        <v>-7.5340138534705739E-2</v>
      </c>
      <c r="K113" s="359">
        <f>+K$109*COBERTURA_BOSQUE!K38</f>
        <v>-7.47374750712574E-2</v>
      </c>
      <c r="L113" s="359">
        <f>+L$109*COBERTURA_BOSQUE!L38</f>
        <v>-1.8125943243641552E-3</v>
      </c>
      <c r="M113" s="359">
        <f>+M$109*COBERTURA_BOSQUE!M38</f>
        <v>-1.8125943243641552E-3</v>
      </c>
      <c r="N113" s="359">
        <f>+N$109*COBERTURA_BOSQUE!N38</f>
        <v>-2.227569100370955E-2</v>
      </c>
      <c r="O113" s="359">
        <f>+O$109*COBERTURA_BOSQUE!P38</f>
        <v>-2.227569100370955E-2</v>
      </c>
      <c r="P113" s="346">
        <f t="shared" si="84"/>
        <v>-2.2275691003709557E-2</v>
      </c>
      <c r="Q113" s="346">
        <f t="shared" ref="Q113:AB113" si="88">+Q124*Q135</f>
        <v>-2.2275691003709557E-2</v>
      </c>
      <c r="R113" s="346">
        <f t="shared" si="88"/>
        <v>-2.2275691003709557E-2</v>
      </c>
      <c r="S113" s="346">
        <f t="shared" si="88"/>
        <v>-2.2275691003709557E-2</v>
      </c>
      <c r="T113" s="346">
        <f t="shared" si="88"/>
        <v>-2.2275691003709557E-2</v>
      </c>
      <c r="U113" s="346">
        <f t="shared" si="88"/>
        <v>-2.2275691003709557E-2</v>
      </c>
      <c r="V113" s="346">
        <f t="shared" si="88"/>
        <v>-2.2275691003709557E-2</v>
      </c>
      <c r="W113" s="346">
        <f t="shared" si="88"/>
        <v>-2.2275691003709557E-2</v>
      </c>
      <c r="X113" s="346">
        <f t="shared" si="88"/>
        <v>-2.2275691003709557E-2</v>
      </c>
      <c r="Y113" s="346">
        <f t="shared" si="88"/>
        <v>-2.2275691003709557E-2</v>
      </c>
      <c r="Z113" s="346">
        <f t="shared" si="88"/>
        <v>-2.2275691003709557E-2</v>
      </c>
      <c r="AA113" s="346">
        <f t="shared" si="88"/>
        <v>-2.2275691003709557E-2</v>
      </c>
      <c r="AB113" s="347">
        <f t="shared" si="88"/>
        <v>-2.2275691003709557E-2</v>
      </c>
    </row>
    <row r="114" spans="2:30" x14ac:dyDescent="0.3">
      <c r="B114" s="185" t="s">
        <v>7</v>
      </c>
      <c r="C114" s="344">
        <f>+C$109*COBERTURA_BOSQUE!C39</f>
        <v>-5.0089932241897464E-2</v>
      </c>
      <c r="D114" s="344">
        <f>+D$109*COBERTURA_BOSQUE!D39</f>
        <v>-4.8637398278303851E-2</v>
      </c>
      <c r="E114" s="344">
        <f>+E$109*COBERTURA_BOSQUE!E39</f>
        <v>-4.7287774237329445E-2</v>
      </c>
      <c r="F114" s="344">
        <f>+F$109*COBERTURA_BOSQUE!F39</f>
        <v>-4.6998759172509022E-2</v>
      </c>
      <c r="G114" s="344">
        <f>+G$109*COBERTURA_BOSQUE!G39</f>
        <v>-4.6722624540425611E-2</v>
      </c>
      <c r="H114" s="344">
        <f>+H$109*COBERTURA_BOSQUE!H39</f>
        <v>-4.8982247076715668E-2</v>
      </c>
      <c r="I114" s="344">
        <f>+I$109*COBERTURA_BOSQUE!I39</f>
        <v>-5.1202393392753211E-2</v>
      </c>
      <c r="J114" s="344">
        <f>+J$109*COBERTURA_BOSQUE!J39</f>
        <v>-5.240069805059859E-2</v>
      </c>
      <c r="K114" s="359">
        <f>+K$109*COBERTURA_BOSQUE!K39</f>
        <v>-5.3520985481942923E-2</v>
      </c>
      <c r="L114" s="359">
        <f>+L$109*COBERTURA_BOSQUE!L39</f>
        <v>-1.2980346797433484E-3</v>
      </c>
      <c r="M114" s="359">
        <f>+M$109*COBERTURA_BOSQUE!M39</f>
        <v>-1.2980346797433484E-3</v>
      </c>
      <c r="N114" s="359">
        <f>+N$109*COBERTURA_BOSQUE!N39</f>
        <v>-1.6220342616259702E-2</v>
      </c>
      <c r="O114" s="359">
        <f>+O$109*COBERTURA_BOSQUE!P39</f>
        <v>-1.6220342616259702E-2</v>
      </c>
      <c r="P114" s="346">
        <f t="shared" si="84"/>
        <v>-1.6220342616259705E-2</v>
      </c>
      <c r="Q114" s="346">
        <f t="shared" ref="Q114:AB114" si="89">+Q125*Q136</f>
        <v>-1.6220342616259705E-2</v>
      </c>
      <c r="R114" s="346">
        <f t="shared" si="89"/>
        <v>-1.6220342616259705E-2</v>
      </c>
      <c r="S114" s="346">
        <f t="shared" si="89"/>
        <v>-1.6220342616259705E-2</v>
      </c>
      <c r="T114" s="346">
        <f t="shared" si="89"/>
        <v>-1.6220342616259705E-2</v>
      </c>
      <c r="U114" s="346">
        <f t="shared" si="89"/>
        <v>-1.6220342616259705E-2</v>
      </c>
      <c r="V114" s="346">
        <f t="shared" si="89"/>
        <v>-1.6220342616259705E-2</v>
      </c>
      <c r="W114" s="346">
        <f t="shared" si="89"/>
        <v>-1.6220342616259705E-2</v>
      </c>
      <c r="X114" s="346">
        <f t="shared" si="89"/>
        <v>-1.6220342616259705E-2</v>
      </c>
      <c r="Y114" s="346">
        <f t="shared" si="89"/>
        <v>-1.6220342616259705E-2</v>
      </c>
      <c r="Z114" s="346">
        <f t="shared" si="89"/>
        <v>-1.6220342616259705E-2</v>
      </c>
      <c r="AA114" s="346">
        <f t="shared" si="89"/>
        <v>-1.6220342616259705E-2</v>
      </c>
      <c r="AB114" s="347">
        <f t="shared" si="89"/>
        <v>-1.6220342616259705E-2</v>
      </c>
    </row>
    <row r="115" spans="2:30" x14ac:dyDescent="0.3">
      <c r="B115" s="185" t="s">
        <v>8</v>
      </c>
      <c r="C115" s="344">
        <f>+C$109*COBERTURA_BOSQUE!C40</f>
        <v>-0.36653293659882563</v>
      </c>
      <c r="D115" s="344">
        <f>+D$109*COBERTURA_BOSQUE!D40</f>
        <v>-0.37913415545257145</v>
      </c>
      <c r="E115" s="344">
        <f>+E$109*COBERTURA_BOSQUE!E40</f>
        <v>-0.39084259624422069</v>
      </c>
      <c r="F115" s="344">
        <f>+F$109*COBERTURA_BOSQUE!F40</f>
        <v>-0.39009730445378765</v>
      </c>
      <c r="G115" s="344">
        <f>+G$109*COBERTURA_BOSQUE!G40</f>
        <v>-0.38938522782043317</v>
      </c>
      <c r="H115" s="344">
        <f>+H$109*COBERTURA_BOSQUE!H40</f>
        <v>-0.4115972727770294</v>
      </c>
      <c r="I115" s="344">
        <f>+I$109*COBERTURA_BOSQUE!I40</f>
        <v>-0.43376497889577864</v>
      </c>
      <c r="J115" s="344">
        <f>+J$109*COBERTURA_BOSQUE!J40</f>
        <v>-0.43269823359824039</v>
      </c>
      <c r="K115" s="359">
        <f>+K$109*COBERTURA_BOSQUE!K40</f>
        <v>-0.43151155449501938</v>
      </c>
      <c r="L115" s="359">
        <f>+L$109*COBERTURA_BOSQUE!L40</f>
        <v>-1.0465370870898313E-2</v>
      </c>
      <c r="M115" s="359">
        <f>+M$109*COBERTURA_BOSQUE!M40</f>
        <v>-1.0465370870898313E-2</v>
      </c>
      <c r="N115" s="359">
        <f>+N$109*COBERTURA_BOSQUE!N40</f>
        <v>-0.12664977252637483</v>
      </c>
      <c r="O115" s="359">
        <f>+O$109*COBERTURA_BOSQUE!P40</f>
        <v>-0.12664977252637483</v>
      </c>
      <c r="P115" s="346">
        <f t="shared" si="84"/>
        <v>-0.12664977252637485</v>
      </c>
      <c r="Q115" s="346">
        <f t="shared" ref="Q115:AB115" si="90">+Q126*Q137</f>
        <v>-0.12664977252637485</v>
      </c>
      <c r="R115" s="346">
        <f t="shared" si="90"/>
        <v>-0.12664977252637485</v>
      </c>
      <c r="S115" s="346">
        <f t="shared" si="90"/>
        <v>-0.12664977252637485</v>
      </c>
      <c r="T115" s="346">
        <f t="shared" si="90"/>
        <v>-0.12664977252637485</v>
      </c>
      <c r="U115" s="346">
        <f t="shared" si="90"/>
        <v>-0.12664977252637485</v>
      </c>
      <c r="V115" s="346">
        <f t="shared" si="90"/>
        <v>-0.12664977252637485</v>
      </c>
      <c r="W115" s="346">
        <f t="shared" si="90"/>
        <v>-0.12664977252637485</v>
      </c>
      <c r="X115" s="346">
        <f t="shared" si="90"/>
        <v>-0.12664977252637485</v>
      </c>
      <c r="Y115" s="346">
        <f t="shared" si="90"/>
        <v>-0.12664977252637485</v>
      </c>
      <c r="Z115" s="346">
        <f t="shared" si="90"/>
        <v>-0.12664977252637485</v>
      </c>
      <c r="AA115" s="346">
        <f t="shared" si="90"/>
        <v>-0.12664977252637485</v>
      </c>
      <c r="AB115" s="347">
        <f t="shared" si="90"/>
        <v>-0.12664977252637485</v>
      </c>
    </row>
    <row r="116" spans="2:30" x14ac:dyDescent="0.3">
      <c r="B116" s="185" t="s">
        <v>9</v>
      </c>
      <c r="C116" s="344">
        <f>+C$109*COBERTURA_BOSQUE!C41</f>
        <v>-4.060898304057331E-2</v>
      </c>
      <c r="D116" s="344">
        <f>+D$109*COBERTURA_BOSQUE!D41</f>
        <v>-3.9407052253145114E-2</v>
      </c>
      <c r="E116" s="344">
        <f>+E$109*COBERTURA_BOSQUE!E41</f>
        <v>-3.8290276517115404E-2</v>
      </c>
      <c r="F116" s="344">
        <f>+F$109*COBERTURA_BOSQUE!F41</f>
        <v>-3.8001113476720992E-2</v>
      </c>
      <c r="G116" s="344">
        <f>+G$109*COBERTURA_BOSQUE!G41</f>
        <v>-3.7724837463838964E-2</v>
      </c>
      <c r="H116" s="344">
        <f>+H$109*COBERTURA_BOSQUE!H41</f>
        <v>-3.8692274979543938E-2</v>
      </c>
      <c r="I116" s="344">
        <f>+I$109*COBERTURA_BOSQUE!I41</f>
        <v>-3.9555670347048148E-2</v>
      </c>
      <c r="J116" s="344">
        <f>+J$109*COBERTURA_BOSQUE!J41</f>
        <v>-3.8488046764905338E-2</v>
      </c>
      <c r="K116" s="359">
        <f>+K$109*COBERTURA_BOSQUE!K41</f>
        <v>-3.7456280615735096E-2</v>
      </c>
      <c r="L116" s="359">
        <f>+L$109*COBERTURA_BOSQUE!L41</f>
        <v>-9.0842032850508929E-4</v>
      </c>
      <c r="M116" s="359">
        <f>+M$109*COBERTURA_BOSQUE!M41</f>
        <v>-9.0842032850508929E-4</v>
      </c>
      <c r="N116" s="359">
        <f>+N$109*COBERTURA_BOSQUE!N41</f>
        <v>-1.0399061432160909E-2</v>
      </c>
      <c r="O116" s="359">
        <f>+O$109*COBERTURA_BOSQUE!P41</f>
        <v>-1.0399061432160909E-2</v>
      </c>
      <c r="P116" s="346">
        <f t="shared" si="84"/>
        <v>-1.0399061432160912E-2</v>
      </c>
      <c r="Q116" s="346">
        <f t="shared" ref="Q116:AB116" si="91">+Q127*Q138</f>
        <v>-1.0399061432160912E-2</v>
      </c>
      <c r="R116" s="346">
        <f t="shared" si="91"/>
        <v>-1.0399061432160912E-2</v>
      </c>
      <c r="S116" s="346">
        <f t="shared" si="91"/>
        <v>-1.0399061432160912E-2</v>
      </c>
      <c r="T116" s="346">
        <f t="shared" si="91"/>
        <v>-1.0399061432160912E-2</v>
      </c>
      <c r="U116" s="346">
        <f t="shared" si="91"/>
        <v>-1.0399061432160912E-2</v>
      </c>
      <c r="V116" s="346">
        <f t="shared" si="91"/>
        <v>-1.0399061432160912E-2</v>
      </c>
      <c r="W116" s="346">
        <f t="shared" si="91"/>
        <v>-1.0399061432160912E-2</v>
      </c>
      <c r="X116" s="346">
        <f t="shared" si="91"/>
        <v>-1.0399061432160912E-2</v>
      </c>
      <c r="Y116" s="346">
        <f t="shared" si="91"/>
        <v>-1.0399061432160912E-2</v>
      </c>
      <c r="Z116" s="346">
        <f t="shared" si="91"/>
        <v>-1.0399061432160912E-2</v>
      </c>
      <c r="AA116" s="346">
        <f t="shared" si="91"/>
        <v>-1.0399061432160912E-2</v>
      </c>
      <c r="AB116" s="347">
        <f t="shared" si="91"/>
        <v>-1.0399061432160912E-2</v>
      </c>
    </row>
    <row r="117" spans="2:30" x14ac:dyDescent="0.3">
      <c r="B117" s="185" t="s">
        <v>10</v>
      </c>
      <c r="C117" s="344">
        <f>+C$109*COBERTURA_BOSQUE!C42</f>
        <v>-1.0085327384609925E-2</v>
      </c>
      <c r="D117" s="344">
        <f>+D$109*COBERTURA_BOSQUE!D42</f>
        <v>-9.7664957502241936E-3</v>
      </c>
      <c r="E117" s="344">
        <f>+E$109*COBERTURA_BOSQUE!E42</f>
        <v>-9.4702528742741099E-3</v>
      </c>
      <c r="F117" s="344">
        <f>+F$109*COBERTURA_BOSQUE!F42</f>
        <v>-9.0327209886386841E-3</v>
      </c>
      <c r="G117" s="344">
        <f>+G$109*COBERTURA_BOSQUE!G42</f>
        <v>-8.6146884326549506E-3</v>
      </c>
      <c r="H117" s="344">
        <f>+H$109*COBERTURA_BOSQUE!H42</f>
        <v>-9.4649247637834423E-3</v>
      </c>
      <c r="I117" s="344">
        <f>+I$109*COBERTURA_BOSQUE!I42</f>
        <v>-1.0344395528755984E-2</v>
      </c>
      <c r="J117" s="344">
        <f>+J$109*COBERTURA_BOSQUE!J42</f>
        <v>-1.0046810173690838E-2</v>
      </c>
      <c r="K117" s="359">
        <f>+K$109*COBERTURA_BOSQUE!K42</f>
        <v>-9.7594887211881927E-3</v>
      </c>
      <c r="L117" s="359">
        <f>+L$109*COBERTURA_BOSQUE!L42</f>
        <v>-2.3669509637374596E-4</v>
      </c>
      <c r="M117" s="359">
        <f>+M$109*COBERTURA_BOSQUE!M42</f>
        <v>-2.3669509637374596E-4</v>
      </c>
      <c r="N117" s="359">
        <f>+N$109*COBERTURA_BOSQUE!N42</f>
        <v>-4.2414464760937888E-3</v>
      </c>
      <c r="O117" s="359">
        <f>+O$109*COBERTURA_BOSQUE!P42</f>
        <v>-4.2414464760937888E-3</v>
      </c>
      <c r="P117" s="346">
        <f t="shared" si="84"/>
        <v>-4.2414464760937897E-3</v>
      </c>
      <c r="Q117" s="346">
        <f t="shared" ref="Q117:AB117" si="92">+Q128*Q139</f>
        <v>-4.2414464760937897E-3</v>
      </c>
      <c r="R117" s="346">
        <f t="shared" si="92"/>
        <v>-4.2414464760937897E-3</v>
      </c>
      <c r="S117" s="346">
        <f t="shared" si="92"/>
        <v>-4.2414464760937897E-3</v>
      </c>
      <c r="T117" s="346">
        <f t="shared" si="92"/>
        <v>-4.2414464760937897E-3</v>
      </c>
      <c r="U117" s="346">
        <f t="shared" si="92"/>
        <v>-4.2414464760937897E-3</v>
      </c>
      <c r="V117" s="346">
        <f t="shared" si="92"/>
        <v>-4.2414464760937897E-3</v>
      </c>
      <c r="W117" s="346">
        <f t="shared" si="92"/>
        <v>-4.2414464760937897E-3</v>
      </c>
      <c r="X117" s="346">
        <f t="shared" si="92"/>
        <v>-4.2414464760937897E-3</v>
      </c>
      <c r="Y117" s="346">
        <f t="shared" si="92"/>
        <v>-4.2414464760937897E-3</v>
      </c>
      <c r="Z117" s="346">
        <f t="shared" si="92"/>
        <v>-4.2414464760937897E-3</v>
      </c>
      <c r="AA117" s="346">
        <f t="shared" si="92"/>
        <v>-4.2414464760937897E-3</v>
      </c>
      <c r="AB117" s="347">
        <f t="shared" si="92"/>
        <v>-4.2414464760937897E-3</v>
      </c>
    </row>
    <row r="118" spans="2:30" x14ac:dyDescent="0.3">
      <c r="B118" s="185" t="s">
        <v>11</v>
      </c>
      <c r="C118" s="344">
        <f>+C$109*COBERTURA_BOSQUE!C43</f>
        <v>-4.2175112784307897E-2</v>
      </c>
      <c r="D118" s="344">
        <f>+D$109*COBERTURA_BOSQUE!D43</f>
        <v>-4.07617773020661E-2</v>
      </c>
      <c r="E118" s="344">
        <f>+E$109*COBERTURA_BOSQUE!E43</f>
        <v>-3.9448574586945714E-2</v>
      </c>
      <c r="F118" s="344">
        <f>+F$109*COBERTURA_BOSQUE!F43</f>
        <v>-3.919358396124701E-2</v>
      </c>
      <c r="G118" s="344">
        <f>+G$109*COBERTURA_BOSQUE!G43</f>
        <v>-3.8949957413074596E-2</v>
      </c>
      <c r="H118" s="344">
        <f>+H$109*COBERTURA_BOSQUE!H43</f>
        <v>-4.1665912217439559E-2</v>
      </c>
      <c r="I118" s="344">
        <f>+I$109*COBERTURA_BOSQUE!I43</f>
        <v>-4.441903853240077E-2</v>
      </c>
      <c r="J118" s="344">
        <f>+J$109*COBERTURA_BOSQUE!J43</f>
        <v>-4.364533428933827E-2</v>
      </c>
      <c r="K118" s="359">
        <f>+K$109*COBERTURA_BOSQUE!K43</f>
        <v>-4.2891391904819526E-2</v>
      </c>
      <c r="L118" s="359">
        <f>+L$109*COBERTURA_BOSQUE!L43</f>
        <v>-1.0402370893133593E-3</v>
      </c>
      <c r="M118" s="359">
        <f>+M$109*COBERTURA_BOSQUE!M43</f>
        <v>-1.0402370893133593E-3</v>
      </c>
      <c r="N118" s="359">
        <f>+N$109*COBERTURA_BOSQUE!N43</f>
        <v>-1.1798362134255936E-2</v>
      </c>
      <c r="O118" s="359">
        <f>+O$109*COBERTURA_BOSQUE!P43</f>
        <v>-1.1798362134255936E-2</v>
      </c>
      <c r="P118" s="346">
        <f t="shared" si="84"/>
        <v>-1.1798362134255938E-2</v>
      </c>
      <c r="Q118" s="346">
        <f t="shared" ref="Q118:AB118" si="93">+Q129*Q140</f>
        <v>-1.1798362134255938E-2</v>
      </c>
      <c r="R118" s="346">
        <f t="shared" si="93"/>
        <v>-1.1798362134255938E-2</v>
      </c>
      <c r="S118" s="346">
        <f t="shared" si="93"/>
        <v>-1.1798362134255938E-2</v>
      </c>
      <c r="T118" s="346">
        <f t="shared" si="93"/>
        <v>-1.1798362134255938E-2</v>
      </c>
      <c r="U118" s="346">
        <f t="shared" si="93"/>
        <v>-1.1798362134255938E-2</v>
      </c>
      <c r="V118" s="346">
        <f t="shared" si="93"/>
        <v>-1.1798362134255938E-2</v>
      </c>
      <c r="W118" s="346">
        <f t="shared" si="93"/>
        <v>-1.1798362134255938E-2</v>
      </c>
      <c r="X118" s="346">
        <f t="shared" si="93"/>
        <v>-1.1798362134255938E-2</v>
      </c>
      <c r="Y118" s="346">
        <f t="shared" si="93"/>
        <v>-1.1798362134255938E-2</v>
      </c>
      <c r="Z118" s="346">
        <f t="shared" si="93"/>
        <v>-1.1798362134255938E-2</v>
      </c>
      <c r="AA118" s="346">
        <f t="shared" si="93"/>
        <v>-1.1798362134255938E-2</v>
      </c>
      <c r="AB118" s="347">
        <f t="shared" si="93"/>
        <v>-1.1798362134255938E-2</v>
      </c>
    </row>
    <row r="119" spans="2:30" ht="15" thickBot="1" x14ac:dyDescent="0.35">
      <c r="B119" s="186" t="s">
        <v>12</v>
      </c>
      <c r="C119" s="348">
        <f>+C$109*COBERTURA_BOSQUE!C44</f>
        <v>-5.9400426385993023E-3</v>
      </c>
      <c r="D119" s="348">
        <f>+D$109*COBERTURA_BOSQUE!D44</f>
        <v>-5.7218931526329441E-3</v>
      </c>
      <c r="E119" s="348">
        <f>+E$109*COBERTURA_BOSQUE!E44</f>
        <v>-5.5191992410510062E-3</v>
      </c>
      <c r="F119" s="348">
        <f>+F$109*COBERTURA_BOSQUE!F44</f>
        <v>-5.3934101360117743E-3</v>
      </c>
      <c r="G119" s="348">
        <f>+G$109*COBERTURA_BOSQUE!G44</f>
        <v>-5.273227029772354E-3</v>
      </c>
      <c r="H119" s="348">
        <f>+H$109*COBERTURA_BOSQUE!H44</f>
        <v>-1.044904291795383E-2</v>
      </c>
      <c r="I119" s="348">
        <f>+I$109*COBERTURA_BOSQUE!I44</f>
        <v>-1.603477017239573E-2</v>
      </c>
      <c r="J119" s="348">
        <f>+J$109*COBERTURA_BOSQUE!J44</f>
        <v>-1.4923788389597684E-2</v>
      </c>
      <c r="K119" s="360">
        <f>+K$109*COBERTURA_BOSQUE!K44</f>
        <v>-1.3860047880876292E-2</v>
      </c>
      <c r="L119" s="360">
        <f>+L$109*COBERTURA_BOSQUE!L44</f>
        <v>-3.3614520828190907E-4</v>
      </c>
      <c r="M119" s="360">
        <f>+M$109*COBERTURA_BOSQUE!M44</f>
        <v>-3.3614520828190907E-4</v>
      </c>
      <c r="N119" s="360">
        <f>+N$109*COBERTURA_BOSQUE!N44</f>
        <v>-4.9792792288702861E-3</v>
      </c>
      <c r="O119" s="360">
        <f>+O$109*COBERTURA_BOSQUE!P44</f>
        <v>-4.9792792288702861E-3</v>
      </c>
      <c r="P119" s="350">
        <f t="shared" si="84"/>
        <v>-4.979279228870287E-3</v>
      </c>
      <c r="Q119" s="350">
        <f t="shared" ref="Q119:AB119" si="94">+Q130*Q141</f>
        <v>-4.979279228870287E-3</v>
      </c>
      <c r="R119" s="350">
        <f t="shared" si="94"/>
        <v>-4.979279228870287E-3</v>
      </c>
      <c r="S119" s="350">
        <f t="shared" si="94"/>
        <v>-4.979279228870287E-3</v>
      </c>
      <c r="T119" s="350">
        <f t="shared" si="94"/>
        <v>-4.979279228870287E-3</v>
      </c>
      <c r="U119" s="350">
        <f t="shared" si="94"/>
        <v>-4.979279228870287E-3</v>
      </c>
      <c r="V119" s="350">
        <f t="shared" si="94"/>
        <v>-4.979279228870287E-3</v>
      </c>
      <c r="W119" s="350">
        <f t="shared" si="94"/>
        <v>-4.979279228870287E-3</v>
      </c>
      <c r="X119" s="350">
        <f t="shared" si="94"/>
        <v>-4.979279228870287E-3</v>
      </c>
      <c r="Y119" s="350">
        <f t="shared" si="94"/>
        <v>-4.979279228870287E-3</v>
      </c>
      <c r="Z119" s="350">
        <f t="shared" si="94"/>
        <v>-4.979279228870287E-3</v>
      </c>
      <c r="AA119" s="350">
        <f t="shared" si="94"/>
        <v>-4.979279228870287E-3</v>
      </c>
      <c r="AB119" s="351">
        <f t="shared" si="94"/>
        <v>-4.979279228870287E-3</v>
      </c>
    </row>
    <row r="120" spans="2:30" ht="15" thickBot="1" x14ac:dyDescent="0.35">
      <c r="B120" s="142" t="s">
        <v>34</v>
      </c>
      <c r="C120" s="337"/>
      <c r="D120" s="337"/>
      <c r="E120" s="337"/>
      <c r="F120" s="337"/>
      <c r="G120" s="337"/>
      <c r="H120" s="337"/>
      <c r="I120" s="337"/>
      <c r="J120" s="337"/>
      <c r="K120" s="337"/>
      <c r="L120" s="337"/>
      <c r="M120" s="337"/>
      <c r="N120" s="337"/>
      <c r="O120" s="337"/>
      <c r="P120" s="337"/>
      <c r="Q120" s="337"/>
      <c r="R120" s="337"/>
      <c r="S120" s="337"/>
      <c r="T120" s="337"/>
      <c r="U120" s="337"/>
      <c r="V120" s="337"/>
      <c r="W120" s="337"/>
      <c r="X120" s="337"/>
      <c r="Y120" s="337"/>
      <c r="Z120" s="337"/>
      <c r="AA120" s="337"/>
      <c r="AB120" s="352"/>
    </row>
    <row r="121" spans="2:30" x14ac:dyDescent="0.3">
      <c r="B121" s="191" t="s">
        <v>2</v>
      </c>
      <c r="C121" s="469">
        <f>+COBERTURA_HACIA_TF!C36/1000</f>
        <v>9.0396271902840717E-5</v>
      </c>
      <c r="D121" s="469">
        <f>+COBERTURA_HACIA_TF!D36/1000</f>
        <v>9.4511072618878525E-5</v>
      </c>
      <c r="E121" s="469">
        <f>+COBERTURA_HACIA_TF!E36/1000</f>
        <v>9.833434567780513E-5</v>
      </c>
      <c r="F121" s="469">
        <f>+COBERTURA_HACIA_TF!F36/1000</f>
        <v>9.6940863213375417E-5</v>
      </c>
      <c r="G121" s="469">
        <f>+COBERTURA_HACIA_TF!G36/1000</f>
        <v>9.5609483591800894E-5</v>
      </c>
      <c r="H121" s="469">
        <f>+COBERTURA_HACIA_TF!H36/1000</f>
        <v>1.0021923018749439E-4</v>
      </c>
      <c r="I121" s="469">
        <f>+COBERTURA_HACIA_TF!I36/1000</f>
        <v>1.0474700286552732E-4</v>
      </c>
      <c r="J121" s="469">
        <f>+COBERTURA_HACIA_TF!J36/1000</f>
        <v>1.0206869408330153E-4</v>
      </c>
      <c r="K121" s="470">
        <f>+COBERTURA_HACIA_TF!K36/1000</f>
        <v>9.9478160571595231E-5</v>
      </c>
      <c r="L121" s="470">
        <f>+COBERTURA_HACIA_TF!L36/1000</f>
        <v>2.4126256483556902E-6</v>
      </c>
      <c r="M121" s="470">
        <f>+COBERTURA_HACIA_TF!M36/1000</f>
        <v>2.4126256483556902E-6</v>
      </c>
      <c r="N121" s="470">
        <f>+COBERTURA_HACIA_TF!N36/1000</f>
        <v>2.7813706454318116E-5</v>
      </c>
      <c r="O121" s="470">
        <f>+COBERTURA_HACIA_TF!O36/1000</f>
        <v>2.7813706454318116E-5</v>
      </c>
      <c r="P121" s="469">
        <f>+COBERTURA_HACIA_TF!P36/1000</f>
        <v>2.7813706454318116E-5</v>
      </c>
      <c r="Q121" s="469">
        <f>+COBERTURA_HACIA_TF!Q36/1000</f>
        <v>2.7813706454318116E-5</v>
      </c>
      <c r="R121" s="469">
        <f>+COBERTURA_HACIA_TF!R36/1000</f>
        <v>2.7813706454318116E-5</v>
      </c>
      <c r="S121" s="469">
        <f>+COBERTURA_HACIA_TF!S36/1000</f>
        <v>2.7813706454318116E-5</v>
      </c>
      <c r="T121" s="469">
        <f>+COBERTURA_HACIA_TF!T36/1000</f>
        <v>2.7813706454318116E-5</v>
      </c>
      <c r="U121" s="469">
        <f>+COBERTURA_HACIA_TF!U36/1000</f>
        <v>2.7813706454318116E-5</v>
      </c>
      <c r="V121" s="469">
        <f>+COBERTURA_HACIA_TF!V36/1000</f>
        <v>2.7813706454318116E-5</v>
      </c>
      <c r="W121" s="469">
        <f>+COBERTURA_HACIA_TF!W36/1000</f>
        <v>2.7813706454318116E-5</v>
      </c>
      <c r="X121" s="469">
        <f>+COBERTURA_HACIA_TF!X36/1000</f>
        <v>2.7813706454318116E-5</v>
      </c>
      <c r="Y121" s="469">
        <f>+COBERTURA_HACIA_TF!Y36/1000</f>
        <v>2.7813706454318116E-5</v>
      </c>
      <c r="Z121" s="469">
        <f>+COBERTURA_HACIA_TF!Z36/1000</f>
        <v>2.7813706454318116E-5</v>
      </c>
      <c r="AA121" s="469">
        <f>+COBERTURA_HACIA_TF!AA36/1000</f>
        <v>2.7813706454318116E-5</v>
      </c>
      <c r="AB121" s="471">
        <f>+COBERTURA_HACIA_TF!AB36/1000</f>
        <v>2.7813706454318116E-5</v>
      </c>
      <c r="AD121" s="414"/>
    </row>
    <row r="122" spans="2:30" x14ac:dyDescent="0.3">
      <c r="B122" s="185" t="s">
        <v>4</v>
      </c>
      <c r="C122" s="472">
        <f>+COBERTURA_HACIA_TF!C37/1000</f>
        <v>8.8273639721632262E-4</v>
      </c>
      <c r="D122" s="472">
        <f>+COBERTURA_HACIA_TF!D37/1000</f>
        <v>8.9002847322251658E-4</v>
      </c>
      <c r="E122" s="472">
        <f>+COBERTURA_HACIA_TF!E37/1000</f>
        <v>8.9680391622986915E-4</v>
      </c>
      <c r="F122" s="472">
        <f>+COBERTURA_HACIA_TF!F37/1000</f>
        <v>9.0404274660034023E-4</v>
      </c>
      <c r="G122" s="472">
        <f>+COBERTURA_HACIA_TF!G37/1000</f>
        <v>9.1095896656384222E-4</v>
      </c>
      <c r="H122" s="472">
        <f>+COBERTURA_HACIA_TF!H37/1000</f>
        <v>9.5090828592323256E-4</v>
      </c>
      <c r="I122" s="472">
        <f>+COBERTURA_HACIA_TF!I37/1000</f>
        <v>9.8974209725273738E-4</v>
      </c>
      <c r="J122" s="472">
        <f>+COBERTURA_HACIA_TF!J37/1000</f>
        <v>9.6582064933170922E-4</v>
      </c>
      <c r="K122" s="473">
        <f>+COBERTURA_HACIA_TF!K37/1000</f>
        <v>9.4266176095190491E-4</v>
      </c>
      <c r="L122" s="473">
        <f>+COBERTURA_HACIA_TF!L37/1000</f>
        <v>2.2862203413581229E-5</v>
      </c>
      <c r="M122" s="473">
        <f>+COBERTURA_HACIA_TF!M37/1000</f>
        <v>2.2862203413581229E-5</v>
      </c>
      <c r="N122" s="473">
        <f>+COBERTURA_HACIA_TF!N37/1000</f>
        <v>2.8433012745446165E-4</v>
      </c>
      <c r="O122" s="473">
        <f>+COBERTURA_HACIA_TF!O37/1000</f>
        <v>2.8433012745446165E-4</v>
      </c>
      <c r="P122" s="472">
        <f>+COBERTURA_HACIA_TF!P37/1000</f>
        <v>2.8433012745446165E-4</v>
      </c>
      <c r="Q122" s="472">
        <f>+COBERTURA_HACIA_TF!Q37/1000</f>
        <v>2.8433012745446165E-4</v>
      </c>
      <c r="R122" s="472">
        <f>+COBERTURA_HACIA_TF!R37/1000</f>
        <v>2.8433012745446165E-4</v>
      </c>
      <c r="S122" s="472">
        <f>+COBERTURA_HACIA_TF!S37/1000</f>
        <v>2.8433012745446165E-4</v>
      </c>
      <c r="T122" s="472">
        <f>+COBERTURA_HACIA_TF!T37/1000</f>
        <v>2.8433012745446165E-4</v>
      </c>
      <c r="U122" s="472">
        <f>+COBERTURA_HACIA_TF!U37/1000</f>
        <v>2.8433012745446165E-4</v>
      </c>
      <c r="V122" s="472">
        <f>+COBERTURA_HACIA_TF!V37/1000</f>
        <v>2.8433012745446165E-4</v>
      </c>
      <c r="W122" s="472">
        <f>+COBERTURA_HACIA_TF!W37/1000</f>
        <v>2.8433012745446165E-4</v>
      </c>
      <c r="X122" s="472">
        <f>+COBERTURA_HACIA_TF!X37/1000</f>
        <v>2.8433012745446165E-4</v>
      </c>
      <c r="Y122" s="472">
        <f>+COBERTURA_HACIA_TF!Y37/1000</f>
        <v>2.8433012745446165E-4</v>
      </c>
      <c r="Z122" s="472">
        <f>+COBERTURA_HACIA_TF!Z37/1000</f>
        <v>2.8433012745446165E-4</v>
      </c>
      <c r="AA122" s="472">
        <f>+COBERTURA_HACIA_TF!AA37/1000</f>
        <v>2.8433012745446165E-4</v>
      </c>
      <c r="AB122" s="474">
        <f>+COBERTURA_HACIA_TF!AB37/1000</f>
        <v>2.8433012745446165E-4</v>
      </c>
    </row>
    <row r="123" spans="2:30" x14ac:dyDescent="0.3">
      <c r="B123" s="185" t="s">
        <v>5</v>
      </c>
      <c r="C123" s="472">
        <f>+COBERTURA_HACIA_TF!C38/1000</f>
        <v>8.4408117708796408E-3</v>
      </c>
      <c r="D123" s="472">
        <f>+COBERTURA_HACIA_TF!D38/1000</f>
        <v>8.1710860900234532E-3</v>
      </c>
      <c r="E123" s="472">
        <f>+COBERTURA_HACIA_TF!E38/1000</f>
        <v>7.9204700820844111E-3</v>
      </c>
      <c r="F123" s="472">
        <f>+COBERTURA_HACIA_TF!F38/1000</f>
        <v>7.9672603196295193E-3</v>
      </c>
      <c r="G123" s="472">
        <f>+COBERTURA_HACIA_TF!G38/1000</f>
        <v>8.011965273115729E-3</v>
      </c>
      <c r="H123" s="472">
        <f>+COBERTURA_HACIA_TF!H38/1000</f>
        <v>8.379918372387397E-3</v>
      </c>
      <c r="I123" s="472">
        <f>+COBERTURA_HACIA_TF!I38/1000</f>
        <v>8.7394579237320899E-3</v>
      </c>
      <c r="J123" s="472">
        <f>+COBERTURA_HACIA_TF!J38/1000</f>
        <v>8.6015448433339279E-3</v>
      </c>
      <c r="K123" s="473">
        <f>+COBERTURA_HACIA_TF!K38/1000</f>
        <v>8.4668296562664929E-3</v>
      </c>
      <c r="L123" s="473">
        <f>+COBERTURA_HACIA_TF!L38/1000</f>
        <v>2.0534447231023583E-4</v>
      </c>
      <c r="M123" s="473">
        <f>+COBERTURA_HACIA_TF!M38/1000</f>
        <v>2.0534447231023583E-4</v>
      </c>
      <c r="N123" s="473">
        <f>+COBERTURA_HACIA_TF!N38/1000</f>
        <v>2.5651805290077892E-3</v>
      </c>
      <c r="O123" s="473">
        <f>+COBERTURA_HACIA_TF!O38/1000</f>
        <v>2.5651805290077892E-3</v>
      </c>
      <c r="P123" s="472">
        <f>+COBERTURA_HACIA_TF!P38/1000</f>
        <v>2.5651805290077892E-3</v>
      </c>
      <c r="Q123" s="472">
        <f>+COBERTURA_HACIA_TF!Q38/1000</f>
        <v>2.5651805290077892E-3</v>
      </c>
      <c r="R123" s="472">
        <f>+COBERTURA_HACIA_TF!R38/1000</f>
        <v>2.5651805290077892E-3</v>
      </c>
      <c r="S123" s="472">
        <f>+COBERTURA_HACIA_TF!S38/1000</f>
        <v>2.5651805290077892E-3</v>
      </c>
      <c r="T123" s="472">
        <f>+COBERTURA_HACIA_TF!T38/1000</f>
        <v>2.5651805290077892E-3</v>
      </c>
      <c r="U123" s="472">
        <f>+COBERTURA_HACIA_TF!U38/1000</f>
        <v>2.5651805290077892E-3</v>
      </c>
      <c r="V123" s="472">
        <f>+COBERTURA_HACIA_TF!V38/1000</f>
        <v>2.5651805290077892E-3</v>
      </c>
      <c r="W123" s="472">
        <f>+COBERTURA_HACIA_TF!W38/1000</f>
        <v>2.5651805290077892E-3</v>
      </c>
      <c r="X123" s="472">
        <f>+COBERTURA_HACIA_TF!X38/1000</f>
        <v>2.5651805290077892E-3</v>
      </c>
      <c r="Y123" s="472">
        <f>+COBERTURA_HACIA_TF!Y38/1000</f>
        <v>2.5651805290077892E-3</v>
      </c>
      <c r="Z123" s="472">
        <f>+COBERTURA_HACIA_TF!Z38/1000</f>
        <v>2.5651805290077892E-3</v>
      </c>
      <c r="AA123" s="472">
        <f>+COBERTURA_HACIA_TF!AA38/1000</f>
        <v>2.5651805290077892E-3</v>
      </c>
      <c r="AB123" s="474">
        <f>+COBERTURA_HACIA_TF!AB38/1000</f>
        <v>2.5651805290077892E-3</v>
      </c>
    </row>
    <row r="124" spans="2:30" x14ac:dyDescent="0.3">
      <c r="B124" s="185" t="s">
        <v>6</v>
      </c>
      <c r="C124" s="472">
        <f>+COBERTURA_HACIA_TF!C39/1000</f>
        <v>3.4311355520218957E-3</v>
      </c>
      <c r="D124" s="472">
        <f>+COBERTURA_HACIA_TF!D39/1000</f>
        <v>3.3122317314211022E-3</v>
      </c>
      <c r="E124" s="472">
        <f>+COBERTURA_HACIA_TF!E39/1000</f>
        <v>3.2017520738924629E-3</v>
      </c>
      <c r="F124" s="472">
        <f>+COBERTURA_HACIA_TF!F39/1000</f>
        <v>3.2501525365014592E-3</v>
      </c>
      <c r="G124" s="472">
        <f>+COBERTURA_HACIA_TF!G39/1000</f>
        <v>3.2963959527175096E-3</v>
      </c>
      <c r="H124" s="472">
        <f>+COBERTURA_HACIA_TF!H39/1000</f>
        <v>3.4414296418848085E-3</v>
      </c>
      <c r="I124" s="472">
        <f>+COBERTURA_HACIA_TF!I39/1000</f>
        <v>3.5824665915028704E-3</v>
      </c>
      <c r="J124" s="472">
        <f>+COBERTURA_HACIA_TF!J39/1000</f>
        <v>3.554083278394694E-3</v>
      </c>
      <c r="K124" s="473">
        <f>+COBERTURA_HACIA_TF!K39/1000</f>
        <v>3.5256533314952129E-3</v>
      </c>
      <c r="L124" s="473">
        <f>+COBERTURA_HACIA_TF!L39/1000</f>
        <v>8.5507025923083307E-5</v>
      </c>
      <c r="M124" s="473">
        <f>+COBERTURA_HACIA_TF!M39/1000</f>
        <v>8.5507025923083307E-5</v>
      </c>
      <c r="N124" s="473">
        <f>+COBERTURA_HACIA_TF!N39/1000</f>
        <v>1.0508297761425195E-3</v>
      </c>
      <c r="O124" s="473">
        <f>+COBERTURA_HACIA_TF!O39/1000</f>
        <v>1.0508297761425195E-3</v>
      </c>
      <c r="P124" s="472">
        <f>+COBERTURA_HACIA_TF!P39/1000</f>
        <v>1.0508297761425195E-3</v>
      </c>
      <c r="Q124" s="472">
        <f>+COBERTURA_HACIA_TF!Q39/1000</f>
        <v>1.0508297761425195E-3</v>
      </c>
      <c r="R124" s="472">
        <f>+COBERTURA_HACIA_TF!R39/1000</f>
        <v>1.0508297761425195E-3</v>
      </c>
      <c r="S124" s="472">
        <f>+COBERTURA_HACIA_TF!S39/1000</f>
        <v>1.0508297761425195E-3</v>
      </c>
      <c r="T124" s="472">
        <f>+COBERTURA_HACIA_TF!T39/1000</f>
        <v>1.0508297761425195E-3</v>
      </c>
      <c r="U124" s="472">
        <f>+COBERTURA_HACIA_TF!U39/1000</f>
        <v>1.0508297761425195E-3</v>
      </c>
      <c r="V124" s="472">
        <f>+COBERTURA_HACIA_TF!V39/1000</f>
        <v>1.0508297761425195E-3</v>
      </c>
      <c r="W124" s="472">
        <f>+COBERTURA_HACIA_TF!W39/1000</f>
        <v>1.0508297761425195E-3</v>
      </c>
      <c r="X124" s="472">
        <f>+COBERTURA_HACIA_TF!X39/1000</f>
        <v>1.0508297761425195E-3</v>
      </c>
      <c r="Y124" s="472">
        <f>+COBERTURA_HACIA_TF!Y39/1000</f>
        <v>1.0508297761425195E-3</v>
      </c>
      <c r="Z124" s="472">
        <f>+COBERTURA_HACIA_TF!Z39/1000</f>
        <v>1.0508297761425195E-3</v>
      </c>
      <c r="AA124" s="472">
        <f>+COBERTURA_HACIA_TF!AA39/1000</f>
        <v>1.0508297761425195E-3</v>
      </c>
      <c r="AB124" s="474">
        <f>+COBERTURA_HACIA_TF!AB39/1000</f>
        <v>1.0508297761425195E-3</v>
      </c>
    </row>
    <row r="125" spans="2:30" x14ac:dyDescent="0.3">
      <c r="B125" s="185" t="s">
        <v>7</v>
      </c>
      <c r="C125" s="472">
        <f>+COBERTURA_HACIA_TF!C40/1000</f>
        <v>2.3629342082354099E-3</v>
      </c>
      <c r="D125" s="472">
        <f>+COBERTURA_HACIA_TF!D40/1000</f>
        <v>2.2944126104296088E-3</v>
      </c>
      <c r="E125" s="472">
        <f>+COBERTURA_HACIA_TF!E40/1000</f>
        <v>2.2307456683528168E-3</v>
      </c>
      <c r="F125" s="472">
        <f>+COBERTURA_HACIA_TF!F40/1000</f>
        <v>2.2171117193176782E-3</v>
      </c>
      <c r="G125" s="472">
        <f>+COBERTURA_HACIA_TF!G40/1000</f>
        <v>2.2040853896936464E-3</v>
      </c>
      <c r="H125" s="472">
        <f>+COBERTURA_HACIA_TF!H40/1000</f>
        <v>2.3106804508112055E-3</v>
      </c>
      <c r="I125" s="472">
        <f>+COBERTURA_HACIA_TF!I40/1000</f>
        <v>2.4154132672206657E-3</v>
      </c>
      <c r="J125" s="472">
        <f>+COBERTURA_HACIA_TF!J40/1000</f>
        <v>2.4719418936567429E-3</v>
      </c>
      <c r="K125" s="473">
        <f>+COBERTURA_HACIA_TF!K40/1000</f>
        <v>2.524790148307914E-3</v>
      </c>
      <c r="L125" s="473">
        <f>+COBERTURA_HACIA_TF!L40/1000</f>
        <v>6.1233274052543721E-5</v>
      </c>
      <c r="M125" s="473">
        <f>+COBERTURA_HACIA_TF!M40/1000</f>
        <v>6.1233274052543721E-5</v>
      </c>
      <c r="N125" s="473">
        <f>+COBERTURA_HACIA_TF!N40/1000</f>
        <v>7.6517576929760293E-4</v>
      </c>
      <c r="O125" s="473">
        <f>+COBERTURA_HACIA_TF!O40/1000</f>
        <v>7.6517576929760293E-4</v>
      </c>
      <c r="P125" s="472">
        <f>+COBERTURA_HACIA_TF!P40/1000</f>
        <v>7.6517576929760293E-4</v>
      </c>
      <c r="Q125" s="472">
        <f>+COBERTURA_HACIA_TF!Q40/1000</f>
        <v>7.6517576929760293E-4</v>
      </c>
      <c r="R125" s="472">
        <f>+COBERTURA_HACIA_TF!R40/1000</f>
        <v>7.6517576929760293E-4</v>
      </c>
      <c r="S125" s="472">
        <f>+COBERTURA_HACIA_TF!S40/1000</f>
        <v>7.6517576929760293E-4</v>
      </c>
      <c r="T125" s="472">
        <f>+COBERTURA_HACIA_TF!T40/1000</f>
        <v>7.6517576929760293E-4</v>
      </c>
      <c r="U125" s="472">
        <f>+COBERTURA_HACIA_TF!U40/1000</f>
        <v>7.6517576929760293E-4</v>
      </c>
      <c r="V125" s="472">
        <f>+COBERTURA_HACIA_TF!V40/1000</f>
        <v>7.6517576929760293E-4</v>
      </c>
      <c r="W125" s="472">
        <f>+COBERTURA_HACIA_TF!W40/1000</f>
        <v>7.6517576929760293E-4</v>
      </c>
      <c r="X125" s="472">
        <f>+COBERTURA_HACIA_TF!X40/1000</f>
        <v>7.6517576929760293E-4</v>
      </c>
      <c r="Y125" s="472">
        <f>+COBERTURA_HACIA_TF!Y40/1000</f>
        <v>7.6517576929760293E-4</v>
      </c>
      <c r="Z125" s="472">
        <f>+COBERTURA_HACIA_TF!Z40/1000</f>
        <v>7.6517576929760293E-4</v>
      </c>
      <c r="AA125" s="472">
        <f>+COBERTURA_HACIA_TF!AA40/1000</f>
        <v>7.6517576929760293E-4</v>
      </c>
      <c r="AB125" s="474">
        <f>+COBERTURA_HACIA_TF!AB40/1000</f>
        <v>7.6517576929760293E-4</v>
      </c>
    </row>
    <row r="126" spans="2:30" x14ac:dyDescent="0.3">
      <c r="B126" s="185" t="s">
        <v>8</v>
      </c>
      <c r="C126" s="472">
        <f>+COBERTURA_HACIA_TF!C41/1000</f>
        <v>1.7290764342657795E-2</v>
      </c>
      <c r="D126" s="472">
        <f>+COBERTURA_HACIA_TF!D41/1000</f>
        <v>1.7885212164051957E-2</v>
      </c>
      <c r="E126" s="472">
        <f>+COBERTURA_HACIA_TF!E41/1000</f>
        <v>1.8437544220283916E-2</v>
      </c>
      <c r="F126" s="472">
        <f>+COBERTURA_HACIA_TF!F41/1000</f>
        <v>1.8402385948193895E-2</v>
      </c>
      <c r="G126" s="472">
        <f>+COBERTURA_HACIA_TF!G41/1000</f>
        <v>1.8368794562449695E-2</v>
      </c>
      <c r="H126" s="472">
        <f>+COBERTURA_HACIA_TF!H41/1000</f>
        <v>1.9416621910455231E-2</v>
      </c>
      <c r="I126" s="472">
        <f>+COBERTURA_HACIA_TF!I41/1000</f>
        <v>2.0462357625431669E-2</v>
      </c>
      <c r="J126" s="472">
        <f>+COBERTURA_HACIA_TF!J41/1000</f>
        <v>2.0412035158576359E-2</v>
      </c>
      <c r="K126" s="473">
        <f>+COBERTURA_HACIA_TF!K41/1000</f>
        <v>2.0356054954138121E-2</v>
      </c>
      <c r="L126" s="473">
        <f>+COBERTURA_HACIA_TF!L41/1000</f>
        <v>4.9369168066136059E-4</v>
      </c>
      <c r="M126" s="473">
        <f>+COBERTURA_HACIA_TF!M41/1000</f>
        <v>4.9369168066136059E-4</v>
      </c>
      <c r="N126" s="473">
        <f>+COBERTURA_HACIA_TF!N41/1000</f>
        <v>5.9745554959542459E-3</v>
      </c>
      <c r="O126" s="473">
        <f>+COBERTURA_HACIA_TF!O41/1000</f>
        <v>5.9745554959542459E-3</v>
      </c>
      <c r="P126" s="472">
        <f>+COBERTURA_HACIA_TF!P41/1000</f>
        <v>5.9745554959542459E-3</v>
      </c>
      <c r="Q126" s="472">
        <f>+COBERTURA_HACIA_TF!Q41/1000</f>
        <v>5.9745554959542459E-3</v>
      </c>
      <c r="R126" s="472">
        <f>+COBERTURA_HACIA_TF!R41/1000</f>
        <v>5.9745554959542459E-3</v>
      </c>
      <c r="S126" s="472">
        <f>+COBERTURA_HACIA_TF!S41/1000</f>
        <v>5.9745554959542459E-3</v>
      </c>
      <c r="T126" s="472">
        <f>+COBERTURA_HACIA_TF!T41/1000</f>
        <v>5.9745554959542459E-3</v>
      </c>
      <c r="U126" s="472">
        <f>+COBERTURA_HACIA_TF!U41/1000</f>
        <v>5.9745554959542459E-3</v>
      </c>
      <c r="V126" s="472">
        <f>+COBERTURA_HACIA_TF!V41/1000</f>
        <v>5.9745554959542459E-3</v>
      </c>
      <c r="W126" s="472">
        <f>+COBERTURA_HACIA_TF!W41/1000</f>
        <v>5.9745554959542459E-3</v>
      </c>
      <c r="X126" s="472">
        <f>+COBERTURA_HACIA_TF!X41/1000</f>
        <v>5.9745554959542459E-3</v>
      </c>
      <c r="Y126" s="472">
        <f>+COBERTURA_HACIA_TF!Y41/1000</f>
        <v>5.9745554959542459E-3</v>
      </c>
      <c r="Z126" s="472">
        <f>+COBERTURA_HACIA_TF!Z41/1000</f>
        <v>5.9745554959542459E-3</v>
      </c>
      <c r="AA126" s="472">
        <f>+COBERTURA_HACIA_TF!AA41/1000</f>
        <v>5.9745554959542459E-3</v>
      </c>
      <c r="AB126" s="474">
        <f>+COBERTURA_HACIA_TF!AB41/1000</f>
        <v>5.9745554959542459E-3</v>
      </c>
    </row>
    <row r="127" spans="2:30" x14ac:dyDescent="0.3">
      <c r="B127" s="185" t="s">
        <v>9</v>
      </c>
      <c r="C127" s="472">
        <f>+COBERTURA_HACIA_TF!C42/1000</f>
        <v>1.9156814731715703E-3</v>
      </c>
      <c r="D127" s="472">
        <f>+COBERTURA_HACIA_TF!D42/1000</f>
        <v>1.8589817882961766E-3</v>
      </c>
      <c r="E127" s="472">
        <f>+COBERTURA_HACIA_TF!E42/1000</f>
        <v>1.8062991937810135E-3</v>
      </c>
      <c r="F127" s="472">
        <f>+COBERTURA_HACIA_TF!F42/1000</f>
        <v>1.7926582641705363E-3</v>
      </c>
      <c r="G127" s="472">
        <f>+COBERTURA_HACIA_TF!G42/1000</f>
        <v>1.779625265072011E-3</v>
      </c>
      <c r="H127" s="472">
        <f>+COBERTURA_HACIA_TF!H42/1000</f>
        <v>1.8252630029940732E-3</v>
      </c>
      <c r="I127" s="472">
        <f>+COBERTURA_HACIA_TF!I42/1000</f>
        <v>1.8659926737641453E-3</v>
      </c>
      <c r="J127" s="472">
        <f>+COBERTURA_HACIA_TF!J42/1000</f>
        <v>1.8156287748556544E-3</v>
      </c>
      <c r="K127" s="473">
        <f>+COBERTURA_HACIA_TF!K42/1000</f>
        <v>1.7669564085805321E-3</v>
      </c>
      <c r="L127" s="473">
        <f>+COBERTURA_HACIA_TF!L42/1000</f>
        <v>4.2853670859743426E-5</v>
      </c>
      <c r="M127" s="473">
        <f>+COBERTURA_HACIA_TF!M42/1000</f>
        <v>4.2853670859743426E-5</v>
      </c>
      <c r="N127" s="473">
        <f>+COBERTURA_HACIA_TF!N42/1000</f>
        <v>4.9056361012685015E-4</v>
      </c>
      <c r="O127" s="473">
        <f>+COBERTURA_HACIA_TF!O42/1000</f>
        <v>4.9056361012685015E-4</v>
      </c>
      <c r="P127" s="472">
        <f>+COBERTURA_HACIA_TF!P42/1000</f>
        <v>4.9056361012685015E-4</v>
      </c>
      <c r="Q127" s="472">
        <f>+COBERTURA_HACIA_TF!Q42/1000</f>
        <v>4.9056361012685015E-4</v>
      </c>
      <c r="R127" s="472">
        <f>+COBERTURA_HACIA_TF!R42/1000</f>
        <v>4.9056361012685015E-4</v>
      </c>
      <c r="S127" s="472">
        <f>+COBERTURA_HACIA_TF!S42/1000</f>
        <v>4.9056361012685015E-4</v>
      </c>
      <c r="T127" s="472">
        <f>+COBERTURA_HACIA_TF!T42/1000</f>
        <v>4.9056361012685015E-4</v>
      </c>
      <c r="U127" s="472">
        <f>+COBERTURA_HACIA_TF!U42/1000</f>
        <v>4.9056361012685015E-4</v>
      </c>
      <c r="V127" s="472">
        <f>+COBERTURA_HACIA_TF!V42/1000</f>
        <v>4.9056361012685015E-4</v>
      </c>
      <c r="W127" s="472">
        <f>+COBERTURA_HACIA_TF!W42/1000</f>
        <v>4.9056361012685015E-4</v>
      </c>
      <c r="X127" s="472">
        <f>+COBERTURA_HACIA_TF!X42/1000</f>
        <v>4.9056361012685015E-4</v>
      </c>
      <c r="Y127" s="472">
        <f>+COBERTURA_HACIA_TF!Y42/1000</f>
        <v>4.9056361012685015E-4</v>
      </c>
      <c r="Z127" s="472">
        <f>+COBERTURA_HACIA_TF!Z42/1000</f>
        <v>4.9056361012685015E-4</v>
      </c>
      <c r="AA127" s="472">
        <f>+COBERTURA_HACIA_TF!AA42/1000</f>
        <v>4.9056361012685015E-4</v>
      </c>
      <c r="AB127" s="474">
        <f>+COBERTURA_HACIA_TF!AB42/1000</f>
        <v>4.9056361012685015E-4</v>
      </c>
    </row>
    <row r="128" spans="2:30" x14ac:dyDescent="0.3">
      <c r="B128" s="185" t="s">
        <v>10</v>
      </c>
      <c r="C128" s="472">
        <f>+COBERTURA_HACIA_TF!C43/1000</f>
        <v>4.7576357187432695E-4</v>
      </c>
      <c r="D128" s="472">
        <f>+COBERTURA_HACIA_TF!D43/1000</f>
        <v>4.6072306090059697E-4</v>
      </c>
      <c r="E128" s="472">
        <f>+COBERTURA_HACIA_TF!E43/1000</f>
        <v>4.4674814829444699E-4</v>
      </c>
      <c r="F128" s="472">
        <f>+COBERTURA_HACIA_TF!F43/1000</f>
        <v>4.261080912313047E-4</v>
      </c>
      <c r="G128" s="472">
        <f>+COBERTURA_HACIA_TF!G43/1000</f>
        <v>4.0638789233145826E-4</v>
      </c>
      <c r="H128" s="472">
        <f>+COBERTURA_HACIA_TF!H43/1000</f>
        <v>4.4649680088828852E-4</v>
      </c>
      <c r="I128" s="472">
        <f>+COBERTURA_HACIA_TF!I43/1000</f>
        <v>4.8798480980913794E-4</v>
      </c>
      <c r="J128" s="472">
        <f>+COBERTURA_HACIA_TF!J43/1000</f>
        <v>4.7394656731446845E-4</v>
      </c>
      <c r="K128" s="473">
        <f>+COBERTURA_HACIA_TF!K43/1000</f>
        <v>4.6039251246768423E-4</v>
      </c>
      <c r="L128" s="473">
        <f>+COBERTURA_HACIA_TF!L43/1000</f>
        <v>1.1165815466511695E-5</v>
      </c>
      <c r="M128" s="473">
        <f>+COBERTURA_HACIA_TF!M43/1000</f>
        <v>1.1165815466511695E-5</v>
      </c>
      <c r="N128" s="473">
        <f>+COBERTURA_HACIA_TF!N43/1000</f>
        <v>2.0008529702858095E-4</v>
      </c>
      <c r="O128" s="473">
        <f>+COBERTURA_HACIA_TF!O43/1000</f>
        <v>2.0008529702858095E-4</v>
      </c>
      <c r="P128" s="472">
        <f>+COBERTURA_HACIA_TF!P43/1000</f>
        <v>2.0008529702858095E-4</v>
      </c>
      <c r="Q128" s="472">
        <f>+COBERTURA_HACIA_TF!Q43/1000</f>
        <v>2.0008529702858095E-4</v>
      </c>
      <c r="R128" s="472">
        <f>+COBERTURA_HACIA_TF!R43/1000</f>
        <v>2.0008529702858095E-4</v>
      </c>
      <c r="S128" s="472">
        <f>+COBERTURA_HACIA_TF!S43/1000</f>
        <v>2.0008529702858095E-4</v>
      </c>
      <c r="T128" s="472">
        <f>+COBERTURA_HACIA_TF!T43/1000</f>
        <v>2.0008529702858095E-4</v>
      </c>
      <c r="U128" s="472">
        <f>+COBERTURA_HACIA_TF!U43/1000</f>
        <v>2.0008529702858095E-4</v>
      </c>
      <c r="V128" s="472">
        <f>+COBERTURA_HACIA_TF!V43/1000</f>
        <v>2.0008529702858095E-4</v>
      </c>
      <c r="W128" s="472">
        <f>+COBERTURA_HACIA_TF!W43/1000</f>
        <v>2.0008529702858095E-4</v>
      </c>
      <c r="X128" s="472">
        <f>+COBERTURA_HACIA_TF!X43/1000</f>
        <v>2.0008529702858095E-4</v>
      </c>
      <c r="Y128" s="472">
        <f>+COBERTURA_HACIA_TF!Y43/1000</f>
        <v>2.0008529702858095E-4</v>
      </c>
      <c r="Z128" s="472">
        <f>+COBERTURA_HACIA_TF!Z43/1000</f>
        <v>2.0008529702858095E-4</v>
      </c>
      <c r="AA128" s="472">
        <f>+COBERTURA_HACIA_TF!AA43/1000</f>
        <v>2.0008529702858095E-4</v>
      </c>
      <c r="AB128" s="474">
        <f>+COBERTURA_HACIA_TF!AB43/1000</f>
        <v>2.0008529702858095E-4</v>
      </c>
    </row>
    <row r="129" spans="2:30" x14ac:dyDescent="0.3">
      <c r="B129" s="185" t="s">
        <v>11</v>
      </c>
      <c r="C129" s="472">
        <f>+COBERTURA_HACIA_TF!C44/1000</f>
        <v>1.9895618195879708E-3</v>
      </c>
      <c r="D129" s="472">
        <f>+COBERTURA_HACIA_TF!D44/1000</f>
        <v>1.9228893644811416E-3</v>
      </c>
      <c r="E129" s="472">
        <f>+COBERTURA_HACIA_TF!E44/1000</f>
        <v>1.8609405560275722E-3</v>
      </c>
      <c r="F129" s="472">
        <f>+COBERTURA_HACIA_TF!F44/1000</f>
        <v>1.8489116702759792E-3</v>
      </c>
      <c r="G129" s="472">
        <f>+COBERTURA_HACIA_TF!G44/1000</f>
        <v>1.8374188716446926E-3</v>
      </c>
      <c r="H129" s="472">
        <f>+COBERTURA_HACIA_TF!H44/1000</f>
        <v>1.9655408759680945E-3</v>
      </c>
      <c r="I129" s="472">
        <f>+COBERTURA_HACIA_TF!I44/1000</f>
        <v>2.0954164030061104E-3</v>
      </c>
      <c r="J129" s="472">
        <f>+COBERTURA_HACIA_TF!J44/1000</f>
        <v>2.0589178065584181E-3</v>
      </c>
      <c r="K129" s="473">
        <f>+COBERTURA_HACIA_TF!K44/1000</f>
        <v>2.023351452768708E-3</v>
      </c>
      <c r="L129" s="473">
        <f>+COBERTURA_HACIA_TF!L44/1000</f>
        <v>4.9071973009334181E-5</v>
      </c>
      <c r="M129" s="473">
        <f>+COBERTURA_HACIA_TF!M44/1000</f>
        <v>4.9071973009334181E-5</v>
      </c>
      <c r="N129" s="473">
        <f>+COBERTURA_HACIA_TF!N44/1000</f>
        <v>5.5657399082811399E-4</v>
      </c>
      <c r="O129" s="473">
        <f>+COBERTURA_HACIA_TF!O44/1000</f>
        <v>5.5657399082811399E-4</v>
      </c>
      <c r="P129" s="472">
        <f>+COBERTURA_HACIA_TF!P44/1000</f>
        <v>5.5657399082811399E-4</v>
      </c>
      <c r="Q129" s="472">
        <f>+COBERTURA_HACIA_TF!Q44/1000</f>
        <v>5.5657399082811399E-4</v>
      </c>
      <c r="R129" s="472">
        <f>+COBERTURA_HACIA_TF!R44/1000</f>
        <v>5.5657399082811399E-4</v>
      </c>
      <c r="S129" s="472">
        <f>+COBERTURA_HACIA_TF!S44/1000</f>
        <v>5.5657399082811399E-4</v>
      </c>
      <c r="T129" s="472">
        <f>+COBERTURA_HACIA_TF!T44/1000</f>
        <v>5.5657399082811399E-4</v>
      </c>
      <c r="U129" s="472">
        <f>+COBERTURA_HACIA_TF!U44/1000</f>
        <v>5.5657399082811399E-4</v>
      </c>
      <c r="V129" s="472">
        <f>+COBERTURA_HACIA_TF!V44/1000</f>
        <v>5.5657399082811399E-4</v>
      </c>
      <c r="W129" s="472">
        <f>+COBERTURA_HACIA_TF!W44/1000</f>
        <v>5.5657399082811399E-4</v>
      </c>
      <c r="X129" s="472">
        <f>+COBERTURA_HACIA_TF!X44/1000</f>
        <v>5.5657399082811399E-4</v>
      </c>
      <c r="Y129" s="472">
        <f>+COBERTURA_HACIA_TF!Y44/1000</f>
        <v>5.5657399082811399E-4</v>
      </c>
      <c r="Z129" s="472">
        <f>+COBERTURA_HACIA_TF!Z44/1000</f>
        <v>5.5657399082811399E-4</v>
      </c>
      <c r="AA129" s="472">
        <f>+COBERTURA_HACIA_TF!AA44/1000</f>
        <v>5.5657399082811399E-4</v>
      </c>
      <c r="AB129" s="474">
        <f>+COBERTURA_HACIA_TF!AB44/1000</f>
        <v>5.5657399082811399E-4</v>
      </c>
    </row>
    <row r="130" spans="2:30" ht="15" thickBot="1" x14ac:dyDescent="0.35">
      <c r="B130" s="186" t="s">
        <v>12</v>
      </c>
      <c r="C130" s="475">
        <f>+COBERTURA_HACIA_TF!C45/1000</f>
        <v>2.8021459245223206E-4</v>
      </c>
      <c r="D130" s="475">
        <f>+COBERTURA_HACIA_TF!D45/1000</f>
        <v>2.6992364455456823E-4</v>
      </c>
      <c r="E130" s="475">
        <f>+COBERTURA_HACIA_TF!E45/1000</f>
        <v>2.6036179537567501E-4</v>
      </c>
      <c r="F130" s="475">
        <f>+COBERTURA_HACIA_TF!F45/1000</f>
        <v>2.5442784086591227E-4</v>
      </c>
      <c r="G130" s="475">
        <f>+COBERTURA_HACIA_TF!G45/1000</f>
        <v>2.487583428196047E-4</v>
      </c>
      <c r="H130" s="475">
        <f>+COBERTURA_HACIA_TF!H45/1000</f>
        <v>4.9292142850017458E-4</v>
      </c>
      <c r="I130" s="475">
        <f>+COBERTURA_HACIA_TF!I45/1000</f>
        <v>7.5642160541504054E-4</v>
      </c>
      <c r="J130" s="475">
        <f>+COBERTURA_HACIA_TF!J45/1000</f>
        <v>7.0401233389472389E-4</v>
      </c>
      <c r="K130" s="476">
        <f>+COBERTURA_HACIA_TF!K45/1000</f>
        <v>6.5383161445184401E-4</v>
      </c>
      <c r="L130" s="476">
        <f>+COBERTURA_HACIA_TF!L45/1000</f>
        <v>1.5857258655250502E-5</v>
      </c>
      <c r="M130" s="476">
        <f>+COBERTURA_HACIA_TF!M45/1000</f>
        <v>1.5857258655250502E-5</v>
      </c>
      <c r="N130" s="476">
        <f>+COBERTURA_HACIA_TF!N45/1000</f>
        <v>2.3489169770551745E-4</v>
      </c>
      <c r="O130" s="476">
        <f>+COBERTURA_HACIA_TF!O45/1000</f>
        <v>2.3489169770551745E-4</v>
      </c>
      <c r="P130" s="475">
        <f>+COBERTURA_HACIA_TF!P45/1000</f>
        <v>2.3489169770551745E-4</v>
      </c>
      <c r="Q130" s="475">
        <f>+COBERTURA_HACIA_TF!Q45/1000</f>
        <v>2.3489169770551745E-4</v>
      </c>
      <c r="R130" s="475">
        <f>+COBERTURA_HACIA_TF!R45/1000</f>
        <v>2.3489169770551745E-4</v>
      </c>
      <c r="S130" s="475">
        <f>+COBERTURA_HACIA_TF!S45/1000</f>
        <v>2.3489169770551745E-4</v>
      </c>
      <c r="T130" s="475">
        <f>+COBERTURA_HACIA_TF!T45/1000</f>
        <v>2.3489169770551745E-4</v>
      </c>
      <c r="U130" s="475">
        <f>+COBERTURA_HACIA_TF!U45/1000</f>
        <v>2.3489169770551745E-4</v>
      </c>
      <c r="V130" s="475">
        <f>+COBERTURA_HACIA_TF!V45/1000</f>
        <v>2.3489169770551745E-4</v>
      </c>
      <c r="W130" s="475">
        <f>+COBERTURA_HACIA_TF!W45/1000</f>
        <v>2.3489169770551745E-4</v>
      </c>
      <c r="X130" s="475">
        <f>+COBERTURA_HACIA_TF!X45/1000</f>
        <v>2.3489169770551745E-4</v>
      </c>
      <c r="Y130" s="475">
        <f>+COBERTURA_HACIA_TF!Y45/1000</f>
        <v>2.3489169770551745E-4</v>
      </c>
      <c r="Z130" s="475">
        <f>+COBERTURA_HACIA_TF!Z45/1000</f>
        <v>2.3489169770551745E-4</v>
      </c>
      <c r="AA130" s="475">
        <f>+COBERTURA_HACIA_TF!AA45/1000</f>
        <v>2.3489169770551745E-4</v>
      </c>
      <c r="AB130" s="477">
        <f>+COBERTURA_HACIA_TF!AB45/1000</f>
        <v>2.3489169770551745E-4</v>
      </c>
    </row>
    <row r="131" spans="2:30" ht="15" thickBot="1" x14ac:dyDescent="0.35">
      <c r="B131" s="142" t="s">
        <v>35</v>
      </c>
      <c r="C131" s="337"/>
      <c r="D131" s="337"/>
      <c r="E131" s="337"/>
      <c r="F131" s="337"/>
      <c r="G131" s="337"/>
      <c r="H131" s="337"/>
      <c r="I131" s="337"/>
      <c r="J131" s="337"/>
      <c r="K131" s="337"/>
      <c r="L131" s="337"/>
      <c r="M131" s="337"/>
      <c r="N131" s="337"/>
      <c r="O131" s="337"/>
      <c r="P131" s="337"/>
      <c r="Q131" s="337"/>
      <c r="R131" s="337"/>
      <c r="S131" s="337"/>
      <c r="T131" s="337"/>
      <c r="U131" s="337"/>
      <c r="V131" s="337"/>
      <c r="W131" s="337"/>
      <c r="X131" s="337"/>
      <c r="Y131" s="337"/>
      <c r="Z131" s="337"/>
      <c r="AA131" s="337"/>
      <c r="AB131" s="352"/>
      <c r="AD131" s="417" t="s">
        <v>232</v>
      </c>
    </row>
    <row r="132" spans="2:30" x14ac:dyDescent="0.3">
      <c r="B132" s="191" t="s">
        <v>2</v>
      </c>
      <c r="C132" s="361">
        <f t="shared" ref="C132:O132" si="95">+C110/C121</f>
        <v>-21.19819166666667</v>
      </c>
      <c r="D132" s="361">
        <f t="shared" si="95"/>
        <v>-21.198191666666666</v>
      </c>
      <c r="E132" s="361">
        <f t="shared" si="95"/>
        <v>-21.198191666666666</v>
      </c>
      <c r="F132" s="361">
        <f t="shared" si="95"/>
        <v>-21.198191666666666</v>
      </c>
      <c r="G132" s="361">
        <f t="shared" si="95"/>
        <v>-21.198191666666666</v>
      </c>
      <c r="H132" s="361">
        <f t="shared" si="95"/>
        <v>-21.198191666666663</v>
      </c>
      <c r="I132" s="361">
        <f t="shared" si="95"/>
        <v>-21.198191666666666</v>
      </c>
      <c r="J132" s="361">
        <f t="shared" si="95"/>
        <v>-21.198191666666663</v>
      </c>
      <c r="K132" s="371">
        <f t="shared" si="95"/>
        <v>-21.198191666666666</v>
      </c>
      <c r="L132" s="371">
        <f t="shared" si="95"/>
        <v>-21.198191666666663</v>
      </c>
      <c r="M132" s="371">
        <f t="shared" si="95"/>
        <v>-21.198191666666663</v>
      </c>
      <c r="N132" s="371">
        <f t="shared" si="95"/>
        <v>-21.198191666666666</v>
      </c>
      <c r="O132" s="371">
        <f t="shared" si="95"/>
        <v>-21.198191666666666</v>
      </c>
      <c r="P132" s="340">
        <f>IF(AD132="CONSTANTE",O132,AVERAGE(C132:O132))</f>
        <v>-21.19819166666667</v>
      </c>
      <c r="Q132" s="340">
        <f t="shared" ref="Q132:AB132" si="96">+P132</f>
        <v>-21.19819166666667</v>
      </c>
      <c r="R132" s="340">
        <f t="shared" si="96"/>
        <v>-21.19819166666667</v>
      </c>
      <c r="S132" s="340">
        <f t="shared" si="96"/>
        <v>-21.19819166666667</v>
      </c>
      <c r="T132" s="340">
        <f t="shared" si="96"/>
        <v>-21.19819166666667</v>
      </c>
      <c r="U132" s="340">
        <f t="shared" si="96"/>
        <v>-21.19819166666667</v>
      </c>
      <c r="V132" s="340">
        <f t="shared" si="96"/>
        <v>-21.19819166666667</v>
      </c>
      <c r="W132" s="340">
        <f t="shared" si="96"/>
        <v>-21.19819166666667</v>
      </c>
      <c r="X132" s="340">
        <f t="shared" si="96"/>
        <v>-21.19819166666667</v>
      </c>
      <c r="Y132" s="340">
        <f t="shared" si="96"/>
        <v>-21.19819166666667</v>
      </c>
      <c r="Z132" s="340">
        <f t="shared" si="96"/>
        <v>-21.19819166666667</v>
      </c>
      <c r="AA132" s="340">
        <f t="shared" si="96"/>
        <v>-21.19819166666667</v>
      </c>
      <c r="AB132" s="353">
        <f t="shared" si="96"/>
        <v>-21.19819166666667</v>
      </c>
      <c r="AD132" s="418" t="s">
        <v>234</v>
      </c>
    </row>
    <row r="133" spans="2:30" x14ac:dyDescent="0.3">
      <c r="B133" s="185" t="s">
        <v>4</v>
      </c>
      <c r="C133" s="363">
        <f t="shared" ref="C133:O133" si="97">+C111/C122</f>
        <v>-21.198191666666666</v>
      </c>
      <c r="D133" s="363">
        <f t="shared" si="97"/>
        <v>-21.19819166666667</v>
      </c>
      <c r="E133" s="363">
        <f t="shared" si="97"/>
        <v>-21.198191666666666</v>
      </c>
      <c r="F133" s="363">
        <f t="shared" si="97"/>
        <v>-21.198191666666666</v>
      </c>
      <c r="G133" s="363">
        <f t="shared" si="97"/>
        <v>-21.19819166666667</v>
      </c>
      <c r="H133" s="363">
        <f t="shared" si="97"/>
        <v>-21.198191666666663</v>
      </c>
      <c r="I133" s="363">
        <f t="shared" si="97"/>
        <v>-21.198191666666663</v>
      </c>
      <c r="J133" s="363">
        <f t="shared" si="97"/>
        <v>-21.198191666666663</v>
      </c>
      <c r="K133" s="372">
        <f t="shared" si="97"/>
        <v>-21.198191666666666</v>
      </c>
      <c r="L133" s="372">
        <f t="shared" si="97"/>
        <v>-21.198191666666666</v>
      </c>
      <c r="M133" s="372">
        <f t="shared" si="97"/>
        <v>-21.198191666666666</v>
      </c>
      <c r="N133" s="372">
        <f t="shared" si="97"/>
        <v>-21.198191666666666</v>
      </c>
      <c r="O133" s="372">
        <f t="shared" si="97"/>
        <v>-21.198191666666666</v>
      </c>
      <c r="P133" s="376">
        <f t="shared" ref="P133:P141" si="98">IF(AD133="CONSTANTE",O133,AVERAGE(C133:O133))</f>
        <v>-21.19819166666667</v>
      </c>
      <c r="Q133" s="344">
        <f t="shared" ref="Q133:AB133" si="99">+P133</f>
        <v>-21.19819166666667</v>
      </c>
      <c r="R133" s="344">
        <f t="shared" si="99"/>
        <v>-21.19819166666667</v>
      </c>
      <c r="S133" s="344">
        <f t="shared" si="99"/>
        <v>-21.19819166666667</v>
      </c>
      <c r="T133" s="344">
        <f t="shared" si="99"/>
        <v>-21.19819166666667</v>
      </c>
      <c r="U133" s="344">
        <f t="shared" si="99"/>
        <v>-21.19819166666667</v>
      </c>
      <c r="V133" s="344">
        <f t="shared" si="99"/>
        <v>-21.19819166666667</v>
      </c>
      <c r="W133" s="344">
        <f t="shared" si="99"/>
        <v>-21.19819166666667</v>
      </c>
      <c r="X133" s="344">
        <f t="shared" si="99"/>
        <v>-21.19819166666667</v>
      </c>
      <c r="Y133" s="344">
        <f t="shared" si="99"/>
        <v>-21.19819166666667</v>
      </c>
      <c r="Z133" s="344">
        <f t="shared" si="99"/>
        <v>-21.19819166666667</v>
      </c>
      <c r="AA133" s="344">
        <f t="shared" si="99"/>
        <v>-21.19819166666667</v>
      </c>
      <c r="AB133" s="354">
        <f t="shared" si="99"/>
        <v>-21.19819166666667</v>
      </c>
      <c r="AD133" s="418" t="s">
        <v>234</v>
      </c>
    </row>
    <row r="134" spans="2:30" x14ac:dyDescent="0.3">
      <c r="B134" s="185" t="s">
        <v>5</v>
      </c>
      <c r="C134" s="363">
        <f t="shared" ref="C134:O134" si="100">+C112/C123</f>
        <v>-21.198191666666673</v>
      </c>
      <c r="D134" s="363">
        <f t="shared" si="100"/>
        <v>-21.198191666666666</v>
      </c>
      <c r="E134" s="363">
        <f t="shared" si="100"/>
        <v>-21.198191666666666</v>
      </c>
      <c r="F134" s="363">
        <f t="shared" si="100"/>
        <v>-21.19819166666667</v>
      </c>
      <c r="G134" s="363">
        <f t="shared" si="100"/>
        <v>-21.198191666666666</v>
      </c>
      <c r="H134" s="363">
        <f t="shared" si="100"/>
        <v>-21.198191666666663</v>
      </c>
      <c r="I134" s="363">
        <f t="shared" si="100"/>
        <v>-21.198191666666663</v>
      </c>
      <c r="J134" s="363">
        <f t="shared" si="100"/>
        <v>-21.198191666666666</v>
      </c>
      <c r="K134" s="372">
        <f t="shared" si="100"/>
        <v>-21.198191666666666</v>
      </c>
      <c r="L134" s="372">
        <f t="shared" si="100"/>
        <v>-21.198191666666663</v>
      </c>
      <c r="M134" s="372">
        <f t="shared" si="100"/>
        <v>-21.198191666666663</v>
      </c>
      <c r="N134" s="372">
        <f t="shared" si="100"/>
        <v>-21.19819166666667</v>
      </c>
      <c r="O134" s="372">
        <f t="shared" si="100"/>
        <v>-21.19819166666667</v>
      </c>
      <c r="P134" s="376">
        <f t="shared" si="98"/>
        <v>-21.19819166666667</v>
      </c>
      <c r="Q134" s="344">
        <f t="shared" ref="Q134:AB134" si="101">+P134</f>
        <v>-21.19819166666667</v>
      </c>
      <c r="R134" s="344">
        <f t="shared" si="101"/>
        <v>-21.19819166666667</v>
      </c>
      <c r="S134" s="344">
        <f t="shared" si="101"/>
        <v>-21.19819166666667</v>
      </c>
      <c r="T134" s="344">
        <f t="shared" si="101"/>
        <v>-21.19819166666667</v>
      </c>
      <c r="U134" s="344">
        <f t="shared" si="101"/>
        <v>-21.19819166666667</v>
      </c>
      <c r="V134" s="344">
        <f t="shared" si="101"/>
        <v>-21.19819166666667</v>
      </c>
      <c r="W134" s="344">
        <f t="shared" si="101"/>
        <v>-21.19819166666667</v>
      </c>
      <c r="X134" s="344">
        <f t="shared" si="101"/>
        <v>-21.19819166666667</v>
      </c>
      <c r="Y134" s="344">
        <f t="shared" si="101"/>
        <v>-21.19819166666667</v>
      </c>
      <c r="Z134" s="344">
        <f t="shared" si="101"/>
        <v>-21.19819166666667</v>
      </c>
      <c r="AA134" s="344">
        <f t="shared" si="101"/>
        <v>-21.19819166666667</v>
      </c>
      <c r="AB134" s="354">
        <f t="shared" si="101"/>
        <v>-21.19819166666667</v>
      </c>
      <c r="AD134" s="418" t="s">
        <v>234</v>
      </c>
    </row>
    <row r="135" spans="2:30" x14ac:dyDescent="0.3">
      <c r="B135" s="185" t="s">
        <v>6</v>
      </c>
      <c r="C135" s="363">
        <f t="shared" ref="C135:O135" si="102">+C113/C124</f>
        <v>-21.19819166666667</v>
      </c>
      <c r="D135" s="363">
        <f t="shared" si="102"/>
        <v>-21.198191666666666</v>
      </c>
      <c r="E135" s="363">
        <f t="shared" si="102"/>
        <v>-21.198191666666666</v>
      </c>
      <c r="F135" s="363">
        <f t="shared" si="102"/>
        <v>-21.19819166666667</v>
      </c>
      <c r="G135" s="363">
        <f t="shared" si="102"/>
        <v>-21.19819166666667</v>
      </c>
      <c r="H135" s="363">
        <f t="shared" si="102"/>
        <v>-21.198191666666666</v>
      </c>
      <c r="I135" s="363">
        <f t="shared" si="102"/>
        <v>-21.198191666666663</v>
      </c>
      <c r="J135" s="363">
        <f t="shared" si="102"/>
        <v>-21.198191666666663</v>
      </c>
      <c r="K135" s="372">
        <f t="shared" si="102"/>
        <v>-21.19819166666667</v>
      </c>
      <c r="L135" s="372">
        <f t="shared" si="102"/>
        <v>-21.198191666666666</v>
      </c>
      <c r="M135" s="372">
        <f t="shared" si="102"/>
        <v>-21.198191666666666</v>
      </c>
      <c r="N135" s="372">
        <f t="shared" si="102"/>
        <v>-21.198191666666663</v>
      </c>
      <c r="O135" s="372">
        <f t="shared" si="102"/>
        <v>-21.198191666666663</v>
      </c>
      <c r="P135" s="376">
        <f t="shared" si="98"/>
        <v>-21.19819166666667</v>
      </c>
      <c r="Q135" s="344">
        <f t="shared" ref="Q135:AB135" si="103">+P135</f>
        <v>-21.19819166666667</v>
      </c>
      <c r="R135" s="344">
        <f t="shared" si="103"/>
        <v>-21.19819166666667</v>
      </c>
      <c r="S135" s="344">
        <f t="shared" si="103"/>
        <v>-21.19819166666667</v>
      </c>
      <c r="T135" s="344">
        <f t="shared" si="103"/>
        <v>-21.19819166666667</v>
      </c>
      <c r="U135" s="344">
        <f t="shared" si="103"/>
        <v>-21.19819166666667</v>
      </c>
      <c r="V135" s="344">
        <f t="shared" si="103"/>
        <v>-21.19819166666667</v>
      </c>
      <c r="W135" s="344">
        <f t="shared" si="103"/>
        <v>-21.19819166666667</v>
      </c>
      <c r="X135" s="344">
        <f t="shared" si="103"/>
        <v>-21.19819166666667</v>
      </c>
      <c r="Y135" s="344">
        <f t="shared" si="103"/>
        <v>-21.19819166666667</v>
      </c>
      <c r="Z135" s="344">
        <f t="shared" si="103"/>
        <v>-21.19819166666667</v>
      </c>
      <c r="AA135" s="344">
        <f t="shared" si="103"/>
        <v>-21.19819166666667</v>
      </c>
      <c r="AB135" s="354">
        <f t="shared" si="103"/>
        <v>-21.19819166666667</v>
      </c>
      <c r="AD135" s="418" t="s">
        <v>234</v>
      </c>
    </row>
    <row r="136" spans="2:30" x14ac:dyDescent="0.3">
      <c r="B136" s="185" t="s">
        <v>7</v>
      </c>
      <c r="C136" s="363">
        <f t="shared" ref="C136:O136" si="104">+C114/C125</f>
        <v>-21.198191666666666</v>
      </c>
      <c r="D136" s="363">
        <f t="shared" si="104"/>
        <v>-21.19819166666667</v>
      </c>
      <c r="E136" s="363">
        <f t="shared" si="104"/>
        <v>-21.198191666666666</v>
      </c>
      <c r="F136" s="363">
        <f t="shared" si="104"/>
        <v>-21.19819166666667</v>
      </c>
      <c r="G136" s="363">
        <f t="shared" si="104"/>
        <v>-21.198191666666666</v>
      </c>
      <c r="H136" s="363">
        <f t="shared" si="104"/>
        <v>-21.198191666666666</v>
      </c>
      <c r="I136" s="363">
        <f t="shared" si="104"/>
        <v>-21.198191666666663</v>
      </c>
      <c r="J136" s="363">
        <f t="shared" si="104"/>
        <v>-21.19819166666667</v>
      </c>
      <c r="K136" s="372">
        <f t="shared" si="104"/>
        <v>-21.19819166666667</v>
      </c>
      <c r="L136" s="372">
        <f t="shared" si="104"/>
        <v>-21.198191666666663</v>
      </c>
      <c r="M136" s="372">
        <f t="shared" si="104"/>
        <v>-21.198191666666663</v>
      </c>
      <c r="N136" s="372">
        <f t="shared" si="104"/>
        <v>-21.198191666666666</v>
      </c>
      <c r="O136" s="372">
        <f t="shared" si="104"/>
        <v>-21.198191666666666</v>
      </c>
      <c r="P136" s="376">
        <f t="shared" si="98"/>
        <v>-21.19819166666667</v>
      </c>
      <c r="Q136" s="344">
        <f t="shared" ref="Q136:AB136" si="105">+P136</f>
        <v>-21.19819166666667</v>
      </c>
      <c r="R136" s="344">
        <f t="shared" si="105"/>
        <v>-21.19819166666667</v>
      </c>
      <c r="S136" s="344">
        <f t="shared" si="105"/>
        <v>-21.19819166666667</v>
      </c>
      <c r="T136" s="344">
        <f t="shared" si="105"/>
        <v>-21.19819166666667</v>
      </c>
      <c r="U136" s="344">
        <f t="shared" si="105"/>
        <v>-21.19819166666667</v>
      </c>
      <c r="V136" s="344">
        <f t="shared" si="105"/>
        <v>-21.19819166666667</v>
      </c>
      <c r="W136" s="344">
        <f t="shared" si="105"/>
        <v>-21.19819166666667</v>
      </c>
      <c r="X136" s="344">
        <f t="shared" si="105"/>
        <v>-21.19819166666667</v>
      </c>
      <c r="Y136" s="344">
        <f t="shared" si="105"/>
        <v>-21.19819166666667</v>
      </c>
      <c r="Z136" s="344">
        <f t="shared" si="105"/>
        <v>-21.19819166666667</v>
      </c>
      <c r="AA136" s="344">
        <f t="shared" si="105"/>
        <v>-21.19819166666667</v>
      </c>
      <c r="AB136" s="354">
        <f t="shared" si="105"/>
        <v>-21.19819166666667</v>
      </c>
      <c r="AD136" s="418" t="s">
        <v>234</v>
      </c>
    </row>
    <row r="137" spans="2:30" x14ac:dyDescent="0.3">
      <c r="B137" s="185" t="s">
        <v>8</v>
      </c>
      <c r="C137" s="363">
        <f t="shared" ref="C137:O137" si="106">+C115/C126</f>
        <v>-21.19819166666667</v>
      </c>
      <c r="D137" s="363">
        <f t="shared" si="106"/>
        <v>-21.198191666666663</v>
      </c>
      <c r="E137" s="363">
        <f t="shared" si="106"/>
        <v>-21.198191666666666</v>
      </c>
      <c r="F137" s="363">
        <f t="shared" si="106"/>
        <v>-21.19819166666667</v>
      </c>
      <c r="G137" s="363">
        <f t="shared" si="106"/>
        <v>-21.19819166666667</v>
      </c>
      <c r="H137" s="363">
        <f t="shared" si="106"/>
        <v>-21.198191666666663</v>
      </c>
      <c r="I137" s="363">
        <f t="shared" si="106"/>
        <v>-21.198191666666663</v>
      </c>
      <c r="J137" s="363">
        <f t="shared" si="106"/>
        <v>-21.198191666666666</v>
      </c>
      <c r="K137" s="372">
        <f t="shared" si="106"/>
        <v>-21.198191666666663</v>
      </c>
      <c r="L137" s="372">
        <f t="shared" si="106"/>
        <v>-21.198191666666663</v>
      </c>
      <c r="M137" s="372">
        <f t="shared" si="106"/>
        <v>-21.198191666666663</v>
      </c>
      <c r="N137" s="372">
        <f t="shared" si="106"/>
        <v>-21.198191666666666</v>
      </c>
      <c r="O137" s="372">
        <f t="shared" si="106"/>
        <v>-21.198191666666666</v>
      </c>
      <c r="P137" s="376">
        <f t="shared" si="98"/>
        <v>-21.19819166666667</v>
      </c>
      <c r="Q137" s="344">
        <f t="shared" ref="Q137:AB137" si="107">+P137</f>
        <v>-21.19819166666667</v>
      </c>
      <c r="R137" s="344">
        <f t="shared" si="107"/>
        <v>-21.19819166666667</v>
      </c>
      <c r="S137" s="344">
        <f t="shared" si="107"/>
        <v>-21.19819166666667</v>
      </c>
      <c r="T137" s="344">
        <f t="shared" si="107"/>
        <v>-21.19819166666667</v>
      </c>
      <c r="U137" s="344">
        <f t="shared" si="107"/>
        <v>-21.19819166666667</v>
      </c>
      <c r="V137" s="344">
        <f t="shared" si="107"/>
        <v>-21.19819166666667</v>
      </c>
      <c r="W137" s="344">
        <f t="shared" si="107"/>
        <v>-21.19819166666667</v>
      </c>
      <c r="X137" s="344">
        <f t="shared" si="107"/>
        <v>-21.19819166666667</v>
      </c>
      <c r="Y137" s="344">
        <f t="shared" si="107"/>
        <v>-21.19819166666667</v>
      </c>
      <c r="Z137" s="344">
        <f t="shared" si="107"/>
        <v>-21.19819166666667</v>
      </c>
      <c r="AA137" s="344">
        <f t="shared" si="107"/>
        <v>-21.19819166666667</v>
      </c>
      <c r="AB137" s="354">
        <f t="shared" si="107"/>
        <v>-21.19819166666667</v>
      </c>
      <c r="AD137" s="418" t="s">
        <v>234</v>
      </c>
    </row>
    <row r="138" spans="2:30" x14ac:dyDescent="0.3">
      <c r="B138" s="185" t="s">
        <v>9</v>
      </c>
      <c r="C138" s="363">
        <f t="shared" ref="C138:O138" si="108">+C116/C127</f>
        <v>-21.19819166666667</v>
      </c>
      <c r="D138" s="363">
        <f t="shared" si="108"/>
        <v>-21.19819166666667</v>
      </c>
      <c r="E138" s="363">
        <f t="shared" si="108"/>
        <v>-21.19819166666667</v>
      </c>
      <c r="F138" s="363">
        <f t="shared" si="108"/>
        <v>-21.198191666666666</v>
      </c>
      <c r="G138" s="363">
        <f t="shared" si="108"/>
        <v>-21.19819166666667</v>
      </c>
      <c r="H138" s="363">
        <f t="shared" si="108"/>
        <v>-21.198191666666666</v>
      </c>
      <c r="I138" s="363">
        <f t="shared" si="108"/>
        <v>-21.198191666666663</v>
      </c>
      <c r="J138" s="363">
        <f t="shared" si="108"/>
        <v>-21.198191666666666</v>
      </c>
      <c r="K138" s="372">
        <f t="shared" si="108"/>
        <v>-21.198191666666666</v>
      </c>
      <c r="L138" s="372">
        <f t="shared" si="108"/>
        <v>-21.198191666666666</v>
      </c>
      <c r="M138" s="372">
        <f t="shared" si="108"/>
        <v>-21.198191666666666</v>
      </c>
      <c r="N138" s="372">
        <f t="shared" si="108"/>
        <v>-21.198191666666663</v>
      </c>
      <c r="O138" s="372">
        <f t="shared" si="108"/>
        <v>-21.198191666666663</v>
      </c>
      <c r="P138" s="376">
        <f t="shared" si="98"/>
        <v>-21.19819166666667</v>
      </c>
      <c r="Q138" s="344">
        <f t="shared" ref="Q138:AB138" si="109">+P138</f>
        <v>-21.19819166666667</v>
      </c>
      <c r="R138" s="344">
        <f t="shared" si="109"/>
        <v>-21.19819166666667</v>
      </c>
      <c r="S138" s="344">
        <f t="shared" si="109"/>
        <v>-21.19819166666667</v>
      </c>
      <c r="T138" s="344">
        <f t="shared" si="109"/>
        <v>-21.19819166666667</v>
      </c>
      <c r="U138" s="344">
        <f t="shared" si="109"/>
        <v>-21.19819166666667</v>
      </c>
      <c r="V138" s="344">
        <f t="shared" si="109"/>
        <v>-21.19819166666667</v>
      </c>
      <c r="W138" s="344">
        <f t="shared" si="109"/>
        <v>-21.19819166666667</v>
      </c>
      <c r="X138" s="344">
        <f t="shared" si="109"/>
        <v>-21.19819166666667</v>
      </c>
      <c r="Y138" s="344">
        <f t="shared" si="109"/>
        <v>-21.19819166666667</v>
      </c>
      <c r="Z138" s="344">
        <f t="shared" si="109"/>
        <v>-21.19819166666667</v>
      </c>
      <c r="AA138" s="344">
        <f t="shared" si="109"/>
        <v>-21.19819166666667</v>
      </c>
      <c r="AB138" s="354">
        <f t="shared" si="109"/>
        <v>-21.19819166666667</v>
      </c>
      <c r="AD138" s="418" t="s">
        <v>234</v>
      </c>
    </row>
    <row r="139" spans="2:30" x14ac:dyDescent="0.3">
      <c r="B139" s="185" t="s">
        <v>10</v>
      </c>
      <c r="C139" s="363">
        <f t="shared" ref="C139:O139" si="110">+C117/C128</f>
        <v>-21.198191666666666</v>
      </c>
      <c r="D139" s="363">
        <f t="shared" si="110"/>
        <v>-21.198191666666666</v>
      </c>
      <c r="E139" s="363">
        <f t="shared" si="110"/>
        <v>-21.198191666666666</v>
      </c>
      <c r="F139" s="363">
        <f t="shared" si="110"/>
        <v>-21.19819166666667</v>
      </c>
      <c r="G139" s="363">
        <f t="shared" si="110"/>
        <v>-21.19819166666667</v>
      </c>
      <c r="H139" s="363">
        <f t="shared" si="110"/>
        <v>-21.198191666666663</v>
      </c>
      <c r="I139" s="363">
        <f t="shared" si="110"/>
        <v>-21.198191666666663</v>
      </c>
      <c r="J139" s="363">
        <f t="shared" si="110"/>
        <v>-21.198191666666666</v>
      </c>
      <c r="K139" s="372">
        <f t="shared" si="110"/>
        <v>-21.198191666666666</v>
      </c>
      <c r="L139" s="372">
        <f t="shared" si="110"/>
        <v>-21.198191666666663</v>
      </c>
      <c r="M139" s="372">
        <f t="shared" si="110"/>
        <v>-21.198191666666663</v>
      </c>
      <c r="N139" s="372">
        <f t="shared" si="110"/>
        <v>-21.198191666666663</v>
      </c>
      <c r="O139" s="372">
        <f t="shared" si="110"/>
        <v>-21.198191666666663</v>
      </c>
      <c r="P139" s="376">
        <f t="shared" si="98"/>
        <v>-21.19819166666667</v>
      </c>
      <c r="Q139" s="344">
        <f t="shared" ref="Q139:AB139" si="111">+P139</f>
        <v>-21.19819166666667</v>
      </c>
      <c r="R139" s="344">
        <f t="shared" si="111"/>
        <v>-21.19819166666667</v>
      </c>
      <c r="S139" s="344">
        <f t="shared" si="111"/>
        <v>-21.19819166666667</v>
      </c>
      <c r="T139" s="344">
        <f t="shared" si="111"/>
        <v>-21.19819166666667</v>
      </c>
      <c r="U139" s="344">
        <f t="shared" si="111"/>
        <v>-21.19819166666667</v>
      </c>
      <c r="V139" s="344">
        <f t="shared" si="111"/>
        <v>-21.19819166666667</v>
      </c>
      <c r="W139" s="344">
        <f t="shared" si="111"/>
        <v>-21.19819166666667</v>
      </c>
      <c r="X139" s="344">
        <f t="shared" si="111"/>
        <v>-21.19819166666667</v>
      </c>
      <c r="Y139" s="344">
        <f t="shared" si="111"/>
        <v>-21.19819166666667</v>
      </c>
      <c r="Z139" s="344">
        <f t="shared" si="111"/>
        <v>-21.19819166666667</v>
      </c>
      <c r="AA139" s="344">
        <f t="shared" si="111"/>
        <v>-21.19819166666667</v>
      </c>
      <c r="AB139" s="354">
        <f t="shared" si="111"/>
        <v>-21.19819166666667</v>
      </c>
      <c r="AD139" s="418" t="s">
        <v>234</v>
      </c>
    </row>
    <row r="140" spans="2:30" x14ac:dyDescent="0.3">
      <c r="B140" s="185" t="s">
        <v>11</v>
      </c>
      <c r="C140" s="363">
        <f t="shared" ref="C140:O140" si="112">+C118/C129</f>
        <v>-21.19819166666667</v>
      </c>
      <c r="D140" s="363">
        <f t="shared" si="112"/>
        <v>-21.198191666666666</v>
      </c>
      <c r="E140" s="363">
        <f t="shared" si="112"/>
        <v>-21.198191666666666</v>
      </c>
      <c r="F140" s="363">
        <f t="shared" si="112"/>
        <v>-21.198191666666666</v>
      </c>
      <c r="G140" s="363">
        <f t="shared" si="112"/>
        <v>-21.19819166666667</v>
      </c>
      <c r="H140" s="363">
        <f t="shared" si="112"/>
        <v>-21.198191666666666</v>
      </c>
      <c r="I140" s="363">
        <f t="shared" si="112"/>
        <v>-21.198191666666666</v>
      </c>
      <c r="J140" s="363">
        <f t="shared" si="112"/>
        <v>-21.198191666666666</v>
      </c>
      <c r="K140" s="372">
        <f t="shared" si="112"/>
        <v>-21.19819166666667</v>
      </c>
      <c r="L140" s="372">
        <f t="shared" si="112"/>
        <v>-21.198191666666663</v>
      </c>
      <c r="M140" s="372">
        <f t="shared" si="112"/>
        <v>-21.198191666666663</v>
      </c>
      <c r="N140" s="372">
        <f t="shared" si="112"/>
        <v>-21.198191666666666</v>
      </c>
      <c r="O140" s="372">
        <f t="shared" si="112"/>
        <v>-21.198191666666666</v>
      </c>
      <c r="P140" s="376">
        <f t="shared" si="98"/>
        <v>-21.19819166666667</v>
      </c>
      <c r="Q140" s="344">
        <f t="shared" ref="Q140:AB140" si="113">+P140</f>
        <v>-21.19819166666667</v>
      </c>
      <c r="R140" s="344">
        <f t="shared" si="113"/>
        <v>-21.19819166666667</v>
      </c>
      <c r="S140" s="344">
        <f t="shared" si="113"/>
        <v>-21.19819166666667</v>
      </c>
      <c r="T140" s="344">
        <f t="shared" si="113"/>
        <v>-21.19819166666667</v>
      </c>
      <c r="U140" s="344">
        <f t="shared" si="113"/>
        <v>-21.19819166666667</v>
      </c>
      <c r="V140" s="344">
        <f t="shared" si="113"/>
        <v>-21.19819166666667</v>
      </c>
      <c r="W140" s="344">
        <f t="shared" si="113"/>
        <v>-21.19819166666667</v>
      </c>
      <c r="X140" s="344">
        <f t="shared" si="113"/>
        <v>-21.19819166666667</v>
      </c>
      <c r="Y140" s="344">
        <f t="shared" si="113"/>
        <v>-21.19819166666667</v>
      </c>
      <c r="Z140" s="344">
        <f t="shared" si="113"/>
        <v>-21.19819166666667</v>
      </c>
      <c r="AA140" s="344">
        <f t="shared" si="113"/>
        <v>-21.19819166666667</v>
      </c>
      <c r="AB140" s="354">
        <f t="shared" si="113"/>
        <v>-21.19819166666667</v>
      </c>
      <c r="AD140" s="418" t="s">
        <v>234</v>
      </c>
    </row>
    <row r="141" spans="2:30" ht="15" thickBot="1" x14ac:dyDescent="0.35">
      <c r="B141" s="186" t="s">
        <v>12</v>
      </c>
      <c r="C141" s="365">
        <f t="shared" ref="C141:O141" si="114">+C119/C130</f>
        <v>-21.19819166666667</v>
      </c>
      <c r="D141" s="365">
        <f t="shared" si="114"/>
        <v>-21.19819166666667</v>
      </c>
      <c r="E141" s="365">
        <f t="shared" si="114"/>
        <v>-21.198191666666666</v>
      </c>
      <c r="F141" s="365">
        <f t="shared" si="114"/>
        <v>-21.198191666666666</v>
      </c>
      <c r="G141" s="365">
        <f t="shared" si="114"/>
        <v>-21.198191666666666</v>
      </c>
      <c r="H141" s="365">
        <f t="shared" si="114"/>
        <v>-21.198191666666666</v>
      </c>
      <c r="I141" s="365">
        <f t="shared" si="114"/>
        <v>-21.198191666666663</v>
      </c>
      <c r="J141" s="365">
        <f t="shared" si="114"/>
        <v>-21.198191666666663</v>
      </c>
      <c r="K141" s="373">
        <f t="shared" si="114"/>
        <v>-21.198191666666666</v>
      </c>
      <c r="L141" s="373">
        <f t="shared" si="114"/>
        <v>-21.198191666666666</v>
      </c>
      <c r="M141" s="373">
        <f t="shared" si="114"/>
        <v>-21.198191666666666</v>
      </c>
      <c r="N141" s="373">
        <f t="shared" si="114"/>
        <v>-21.198191666666666</v>
      </c>
      <c r="O141" s="373">
        <f t="shared" si="114"/>
        <v>-21.198191666666666</v>
      </c>
      <c r="P141" s="383">
        <f t="shared" si="98"/>
        <v>-21.19819166666667</v>
      </c>
      <c r="Q141" s="348">
        <f t="shared" ref="Q141:AB141" si="115">+P141</f>
        <v>-21.19819166666667</v>
      </c>
      <c r="R141" s="348">
        <f t="shared" si="115"/>
        <v>-21.19819166666667</v>
      </c>
      <c r="S141" s="348">
        <f t="shared" si="115"/>
        <v>-21.19819166666667</v>
      </c>
      <c r="T141" s="348">
        <f t="shared" si="115"/>
        <v>-21.19819166666667</v>
      </c>
      <c r="U141" s="348">
        <f t="shared" si="115"/>
        <v>-21.19819166666667</v>
      </c>
      <c r="V141" s="348">
        <f t="shared" si="115"/>
        <v>-21.19819166666667</v>
      </c>
      <c r="W141" s="348">
        <f t="shared" si="115"/>
        <v>-21.19819166666667</v>
      </c>
      <c r="X141" s="348">
        <f t="shared" si="115"/>
        <v>-21.19819166666667</v>
      </c>
      <c r="Y141" s="348">
        <f t="shared" si="115"/>
        <v>-21.19819166666667</v>
      </c>
      <c r="Z141" s="348">
        <f t="shared" si="115"/>
        <v>-21.19819166666667</v>
      </c>
      <c r="AA141" s="348">
        <f t="shared" si="115"/>
        <v>-21.19819166666667</v>
      </c>
      <c r="AB141" s="355">
        <f t="shared" si="115"/>
        <v>-21.19819166666667</v>
      </c>
      <c r="AD141" s="419" t="s">
        <v>234</v>
      </c>
    </row>
    <row r="142" spans="2:30" x14ac:dyDescent="0.3">
      <c r="C142" s="356"/>
      <c r="D142" s="356"/>
      <c r="E142" s="356"/>
      <c r="F142" s="356"/>
      <c r="G142" s="356"/>
      <c r="H142" s="356"/>
      <c r="I142" s="356"/>
      <c r="J142" s="356"/>
      <c r="K142" s="356"/>
      <c r="L142" s="356"/>
      <c r="M142" s="356"/>
      <c r="N142" s="356"/>
      <c r="O142" s="356"/>
      <c r="P142" s="356"/>
      <c r="Q142" s="356"/>
      <c r="R142" s="356"/>
      <c r="S142" s="356"/>
      <c r="T142" s="356"/>
      <c r="U142" s="356"/>
      <c r="V142" s="356"/>
      <c r="W142" s="356"/>
      <c r="X142" s="356"/>
      <c r="Y142" s="356"/>
      <c r="Z142" s="356"/>
      <c r="AA142" s="356"/>
      <c r="AB142" s="356"/>
    </row>
    <row r="143" spans="2:30" ht="15" thickBot="1" x14ac:dyDescent="0.35">
      <c r="B143" s="131" t="s">
        <v>169</v>
      </c>
      <c r="C143" s="357"/>
      <c r="D143" s="357"/>
      <c r="E143" s="357"/>
      <c r="F143" s="357"/>
      <c r="G143" s="357"/>
      <c r="H143" s="357"/>
      <c r="I143" s="357"/>
      <c r="J143" s="357"/>
      <c r="K143" s="357"/>
      <c r="L143" s="357"/>
      <c r="M143" s="357"/>
      <c r="N143" s="357"/>
      <c r="O143" s="357"/>
      <c r="P143" s="357"/>
      <c r="Q143" s="357"/>
      <c r="R143" s="357"/>
      <c r="S143" s="357"/>
      <c r="T143" s="357"/>
      <c r="U143" s="357"/>
      <c r="V143" s="357"/>
      <c r="W143" s="357"/>
      <c r="X143" s="357"/>
      <c r="Y143" s="357"/>
      <c r="Z143" s="357"/>
      <c r="AA143" s="357"/>
      <c r="AB143" s="357"/>
    </row>
    <row r="144" spans="2:30" ht="15" thickBot="1" x14ac:dyDescent="0.35">
      <c r="B144" s="142" t="s">
        <v>166</v>
      </c>
      <c r="C144" s="337">
        <f>+DATOS_INGEI!C8/1000</f>
        <v>-0.16598184074999997</v>
      </c>
      <c r="D144" s="337">
        <f>+DATOS_INGEI!D8/1000</f>
        <v>-0.16598184074999997</v>
      </c>
      <c r="E144" s="337">
        <f>+DATOS_INGEI!E8/1000</f>
        <v>-0.16598184074999997</v>
      </c>
      <c r="F144" s="337">
        <f>+DATOS_INGEI!F8/1000</f>
        <v>-0.16598184074999997</v>
      </c>
      <c r="G144" s="337">
        <f>+DATOS_INGEI!G8/1000</f>
        <v>-0.16598184074999997</v>
      </c>
      <c r="H144" s="337">
        <f>+DATOS_INGEI!H8/1000</f>
        <v>-0.32677012454166665</v>
      </c>
      <c r="I144" s="337">
        <f>+DATOS_INGEI!I8/1000</f>
        <v>-0.48755840833333325</v>
      </c>
      <c r="J144" s="337">
        <f>+DATOS_INGEI!J8/1000</f>
        <v>-1.3302925180416667</v>
      </c>
      <c r="K144" s="337">
        <f>+DATOS_INGEI!K8/1000</f>
        <v>-2.1730266277500001</v>
      </c>
      <c r="L144" s="337">
        <f>+DATOS_INGEI!L8/1000</f>
        <v>-4.9603768499999992E-2</v>
      </c>
      <c r="M144" s="337">
        <f>+DATOS_INGEI!M8/1000</f>
        <v>-4.9603768499999992E-2</v>
      </c>
      <c r="N144" s="337">
        <f>+DATOS_INGEI!N8/1000</f>
        <v>-0.80998290358333336</v>
      </c>
      <c r="O144" s="337">
        <f>+DATOS_INGEI!O8/1000</f>
        <v>-0.80998290358333336</v>
      </c>
      <c r="P144" s="338">
        <f>+SUM(P145:P154)</f>
        <v>-0.80998290358333347</v>
      </c>
      <c r="Q144" s="338">
        <f t="shared" ref="Q144:AB144" si="116">+SUM(Q145:Q154)</f>
        <v>-0.80998290358333347</v>
      </c>
      <c r="R144" s="338">
        <f t="shared" si="116"/>
        <v>-0.80998290358333347</v>
      </c>
      <c r="S144" s="338">
        <f t="shared" si="116"/>
        <v>-0.80998290358333347</v>
      </c>
      <c r="T144" s="338">
        <f t="shared" si="116"/>
        <v>-0.80998290358333347</v>
      </c>
      <c r="U144" s="338">
        <f t="shared" si="116"/>
        <v>-0.80998290358333347</v>
      </c>
      <c r="V144" s="338">
        <f t="shared" si="116"/>
        <v>-0.80998290358333347</v>
      </c>
      <c r="W144" s="338">
        <f t="shared" si="116"/>
        <v>-0.80998290358333347</v>
      </c>
      <c r="X144" s="338">
        <f t="shared" si="116"/>
        <v>-0.80998290358333347</v>
      </c>
      <c r="Y144" s="338">
        <f t="shared" si="116"/>
        <v>-0.80998290358333347</v>
      </c>
      <c r="Z144" s="338">
        <f t="shared" si="116"/>
        <v>-0.80998290358333347</v>
      </c>
      <c r="AA144" s="338">
        <f t="shared" si="116"/>
        <v>-0.80998290358333347</v>
      </c>
      <c r="AB144" s="339">
        <f t="shared" si="116"/>
        <v>-0.80998290358333347</v>
      </c>
    </row>
    <row r="145" spans="2:30" x14ac:dyDescent="0.3">
      <c r="B145" s="191" t="s">
        <v>2</v>
      </c>
      <c r="C145" s="340">
        <f>+C$144*COBERTURA_BOSQUE!C35</f>
        <v>-4.0377124885282575E-4</v>
      </c>
      <c r="D145" s="340">
        <f>+D$144*COBERTURA_BOSQUE!D35</f>
        <v>-4.2215074823838481E-4</v>
      </c>
      <c r="E145" s="340">
        <f>+E$144*COBERTURA_BOSQUE!E35</f>
        <v>-4.3922808677472825E-4</v>
      </c>
      <c r="F145" s="340">
        <f>+F$144*COBERTURA_BOSQUE!F35</f>
        <v>-4.3300384607238994E-4</v>
      </c>
      <c r="G145" s="340">
        <f>+G$144*COBERTURA_BOSQUE!G35</f>
        <v>-4.2705699891614727E-4</v>
      </c>
      <c r="H145" s="340">
        <f>+H$144*COBERTURA_BOSQUE!H35</f>
        <v>-8.3266336968821513E-4</v>
      </c>
      <c r="I145" s="340">
        <f>+I$144*COBERTURA_BOSQUE!I35</f>
        <v>-1.2306092046940626E-3</v>
      </c>
      <c r="J145" s="340">
        <f>+J$144*COBERTURA_BOSQUE!J35</f>
        <v>-3.2988634612560685E-3</v>
      </c>
      <c r="K145" s="358">
        <f>+K$144*COBERTURA_BOSQUE!K35</f>
        <v>-5.2956563400702247E-3</v>
      </c>
      <c r="L145" s="358">
        <f>+L$144*COBERTURA_BOSQUE!L35</f>
        <v>-1.2088416579615963E-4</v>
      </c>
      <c r="M145" s="358">
        <f>+M$144*COBERTURA_BOSQUE!M35</f>
        <v>-1.2088416579615963E-4</v>
      </c>
      <c r="N145" s="358">
        <f>+N$144*COBERTURA_BOSQUE!N35</f>
        <v>-1.8542079599409948E-3</v>
      </c>
      <c r="O145" s="358">
        <f>+O$144*COBERTURA_BOSQUE!P35</f>
        <v>-1.8542079599409948E-3</v>
      </c>
      <c r="P145" s="342">
        <f t="shared" ref="P145:P154" si="117">+P156*P167</f>
        <v>-1.8542079599409948E-3</v>
      </c>
      <c r="Q145" s="342">
        <f t="shared" ref="Q145:AB145" si="118">+Q156*Q167</f>
        <v>-1.8542079599409948E-3</v>
      </c>
      <c r="R145" s="342">
        <f t="shared" si="118"/>
        <v>-1.8542079599409948E-3</v>
      </c>
      <c r="S145" s="342">
        <f t="shared" si="118"/>
        <v>-1.8542079599409948E-3</v>
      </c>
      <c r="T145" s="342">
        <f t="shared" si="118"/>
        <v>-1.8542079599409948E-3</v>
      </c>
      <c r="U145" s="342">
        <f t="shared" si="118"/>
        <v>-1.8542079599409948E-3</v>
      </c>
      <c r="V145" s="342">
        <f t="shared" si="118"/>
        <v>-1.8542079599409948E-3</v>
      </c>
      <c r="W145" s="342">
        <f t="shared" si="118"/>
        <v>-1.8542079599409948E-3</v>
      </c>
      <c r="X145" s="342">
        <f t="shared" si="118"/>
        <v>-1.8542079599409948E-3</v>
      </c>
      <c r="Y145" s="342">
        <f t="shared" si="118"/>
        <v>-1.8542079599409948E-3</v>
      </c>
      <c r="Z145" s="342">
        <f t="shared" si="118"/>
        <v>-1.8542079599409948E-3</v>
      </c>
      <c r="AA145" s="342">
        <f t="shared" si="118"/>
        <v>-1.8542079599409948E-3</v>
      </c>
      <c r="AB145" s="343">
        <f t="shared" si="118"/>
        <v>-1.8542079599409948E-3</v>
      </c>
    </row>
    <row r="146" spans="2:30" x14ac:dyDescent="0.3">
      <c r="B146" s="185" t="s">
        <v>4</v>
      </c>
      <c r="C146" s="344">
        <f>+C$144*COBERTURA_BOSQUE!C36</f>
        <v>-3.9429012945906448E-3</v>
      </c>
      <c r="D146" s="344">
        <f>+D$144*COBERTURA_BOSQUE!D36</f>
        <v>-3.9754726669909953E-3</v>
      </c>
      <c r="E146" s="344">
        <f>+E$144*COBERTURA_BOSQUE!E36</f>
        <v>-4.0057364049419395E-3</v>
      </c>
      <c r="F146" s="344">
        <f>+F$144*COBERTURA_BOSQUE!F36</f>
        <v>-4.038069946108995E-3</v>
      </c>
      <c r="G146" s="344">
        <f>+G$144*COBERTURA_BOSQUE!G36</f>
        <v>-4.0689624897197046E-3</v>
      </c>
      <c r="H146" s="344">
        <f>+H$144*COBERTURA_BOSQUE!H36</f>
        <v>-7.9005445974787043E-3</v>
      </c>
      <c r="I146" s="344">
        <f>+I$144*COBERTURA_BOSQUE!I36</f>
        <v>-1.1627881484266018E-2</v>
      </c>
      <c r="J146" s="344">
        <f>+J$144*COBERTURA_BOSQUE!J36</f>
        <v>-3.1215354314288558E-2</v>
      </c>
      <c r="K146" s="359">
        <f>+K$144*COBERTURA_BOSQUE!K36</f>
        <v>-5.0181996754291879E-2</v>
      </c>
      <c r="L146" s="359">
        <f>+L$144*COBERTURA_BOSQUE!L36</f>
        <v>-1.1455065106335282E-3</v>
      </c>
      <c r="M146" s="359">
        <f>+M$144*COBERTURA_BOSQUE!M36</f>
        <v>-1.1455065106335282E-3</v>
      </c>
      <c r="N146" s="359">
        <f>+N$144*COBERTURA_BOSQUE!N36</f>
        <v>-1.8954941745825852E-2</v>
      </c>
      <c r="O146" s="359">
        <f>+O$144*COBERTURA_BOSQUE!P36</f>
        <v>-1.8954941745825852E-2</v>
      </c>
      <c r="P146" s="346">
        <f t="shared" si="117"/>
        <v>-1.8954941745825852E-2</v>
      </c>
      <c r="Q146" s="346">
        <f t="shared" ref="Q146:AB146" si="119">+Q157*Q168</f>
        <v>-1.8954941745825852E-2</v>
      </c>
      <c r="R146" s="346">
        <f t="shared" si="119"/>
        <v>-1.8954941745825852E-2</v>
      </c>
      <c r="S146" s="346">
        <f t="shared" si="119"/>
        <v>-1.8954941745825852E-2</v>
      </c>
      <c r="T146" s="346">
        <f t="shared" si="119"/>
        <v>-1.8954941745825852E-2</v>
      </c>
      <c r="U146" s="346">
        <f t="shared" si="119"/>
        <v>-1.8954941745825852E-2</v>
      </c>
      <c r="V146" s="346">
        <f t="shared" si="119"/>
        <v>-1.8954941745825852E-2</v>
      </c>
      <c r="W146" s="346">
        <f t="shared" si="119"/>
        <v>-1.8954941745825852E-2</v>
      </c>
      <c r="X146" s="346">
        <f t="shared" si="119"/>
        <v>-1.8954941745825852E-2</v>
      </c>
      <c r="Y146" s="346">
        <f t="shared" si="119"/>
        <v>-1.8954941745825852E-2</v>
      </c>
      <c r="Z146" s="346">
        <f t="shared" si="119"/>
        <v>-1.8954941745825852E-2</v>
      </c>
      <c r="AA146" s="346">
        <f t="shared" si="119"/>
        <v>-1.8954941745825852E-2</v>
      </c>
      <c r="AB146" s="347">
        <f t="shared" si="119"/>
        <v>-1.8954941745825852E-2</v>
      </c>
    </row>
    <row r="147" spans="2:30" x14ac:dyDescent="0.3">
      <c r="B147" s="185" t="s">
        <v>5</v>
      </c>
      <c r="C147" s="344">
        <f>+C$144*COBERTURA_BOSQUE!C37</f>
        <v>-3.7702407835168733E-2</v>
      </c>
      <c r="D147" s="344">
        <f>+D$144*COBERTURA_BOSQUE!D37</f>
        <v>-3.6497629444262991E-2</v>
      </c>
      <c r="E147" s="344">
        <f>+E$144*COBERTURA_BOSQUE!E37</f>
        <v>-3.5378207853328146E-2</v>
      </c>
      <c r="F147" s="344">
        <f>+F$144*COBERTURA_BOSQUE!F37</f>
        <v>-3.5587204886613051E-2</v>
      </c>
      <c r="G147" s="344">
        <f>+G$144*COBERTURA_BOSQUE!G37</f>
        <v>-3.5786887622627155E-2</v>
      </c>
      <c r="H147" s="344">
        <f>+H$144*COBERTURA_BOSQUE!H37</f>
        <v>-6.962387414680983E-2</v>
      </c>
      <c r="I147" s="344">
        <f>+I$144*COBERTURA_BOSQUE!I37</f>
        <v>-0.10267460710821578</v>
      </c>
      <c r="J147" s="344">
        <f>+J$144*COBERTURA_BOSQUE!J37</f>
        <v>-0.27800220477859583</v>
      </c>
      <c r="K147" s="359">
        <f>+K$144*COBERTURA_BOSQUE!K37</f>
        <v>-0.45072626888021722</v>
      </c>
      <c r="L147" s="359">
        <f>+L$144*COBERTURA_BOSQUE!L37</f>
        <v>-1.0288747138617774E-2</v>
      </c>
      <c r="M147" s="359">
        <f>+M$144*COBERTURA_BOSQUE!M37</f>
        <v>-1.0288747138617774E-2</v>
      </c>
      <c r="N147" s="359">
        <f>+N$144*COBERTURA_BOSQUE!N37</f>
        <v>-0.17100842576964281</v>
      </c>
      <c r="O147" s="359">
        <f>+O$144*COBERTURA_BOSQUE!P37</f>
        <v>-0.17100842576964281</v>
      </c>
      <c r="P147" s="346">
        <f t="shared" si="117"/>
        <v>-0.17100842576964281</v>
      </c>
      <c r="Q147" s="346">
        <f t="shared" ref="Q147:AB147" si="120">+Q158*Q169</f>
        <v>-0.17100842576964281</v>
      </c>
      <c r="R147" s="346">
        <f t="shared" si="120"/>
        <v>-0.17100842576964281</v>
      </c>
      <c r="S147" s="346">
        <f t="shared" si="120"/>
        <v>-0.17100842576964281</v>
      </c>
      <c r="T147" s="346">
        <f t="shared" si="120"/>
        <v>-0.17100842576964281</v>
      </c>
      <c r="U147" s="346">
        <f t="shared" si="120"/>
        <v>-0.17100842576964281</v>
      </c>
      <c r="V147" s="346">
        <f t="shared" si="120"/>
        <v>-0.17100842576964281</v>
      </c>
      <c r="W147" s="346">
        <f t="shared" si="120"/>
        <v>-0.17100842576964281</v>
      </c>
      <c r="X147" s="346">
        <f t="shared" si="120"/>
        <v>-0.17100842576964281</v>
      </c>
      <c r="Y147" s="346">
        <f t="shared" si="120"/>
        <v>-0.17100842576964281</v>
      </c>
      <c r="Z147" s="346">
        <f t="shared" si="120"/>
        <v>-0.17100842576964281</v>
      </c>
      <c r="AA147" s="346">
        <f t="shared" si="120"/>
        <v>-0.17100842576964281</v>
      </c>
      <c r="AB147" s="347">
        <f t="shared" si="120"/>
        <v>-0.17100842576964281</v>
      </c>
    </row>
    <row r="148" spans="2:30" x14ac:dyDescent="0.3">
      <c r="B148" s="185" t="s">
        <v>6</v>
      </c>
      <c r="C148" s="344">
        <f>+C$144*COBERTURA_BOSQUE!C38</f>
        <v>-1.5325785650897782E-2</v>
      </c>
      <c r="D148" s="344">
        <f>+D$144*COBERTURA_BOSQUE!D38</f>
        <v>-1.4794680295259259E-2</v>
      </c>
      <c r="E148" s="344">
        <f>+E$144*COBERTURA_BOSQUE!E38</f>
        <v>-1.4301202983040931E-2</v>
      </c>
      <c r="F148" s="344">
        <f>+F$144*COBERTURA_BOSQUE!F38</f>
        <v>-1.4517392376932016E-2</v>
      </c>
      <c r="G148" s="344">
        <f>+G$144*COBERTURA_BOSQUE!G38</f>
        <v>-1.4723946934146992E-2</v>
      </c>
      <c r="H148" s="344">
        <f>+H$144*COBERTURA_BOSQUE!H38</f>
        <v>-2.85928398850771E-2</v>
      </c>
      <c r="I148" s="344">
        <f>+I$144*COBERTURA_BOSQUE!I38</f>
        <v>-4.2088233958083886E-2</v>
      </c>
      <c r="J148" s="344">
        <f>+J$144*COBERTURA_BOSQUE!J38</f>
        <v>-0.11486808536796549</v>
      </c>
      <c r="K148" s="359">
        <f>+K$144*COBERTURA_BOSQUE!K38</f>
        <v>-0.18768590322279755</v>
      </c>
      <c r="L148" s="359">
        <f>+L$144*COBERTURA_BOSQUE!L38</f>
        <v>-4.2843138575880029E-3</v>
      </c>
      <c r="M148" s="359">
        <f>+M$144*COBERTURA_BOSQUE!M38</f>
        <v>-4.2843138575880029E-3</v>
      </c>
      <c r="N148" s="359">
        <f>+N$144*COBERTURA_BOSQUE!N38</f>
        <v>-7.0053839773805929E-2</v>
      </c>
      <c r="O148" s="359">
        <f>+O$144*COBERTURA_BOSQUE!P38</f>
        <v>-7.0053839773805929E-2</v>
      </c>
      <c r="P148" s="346">
        <f t="shared" si="117"/>
        <v>-7.0053839773805929E-2</v>
      </c>
      <c r="Q148" s="346">
        <f t="shared" ref="Q148:AB148" si="121">+Q159*Q170</f>
        <v>-7.0053839773805929E-2</v>
      </c>
      <c r="R148" s="346">
        <f t="shared" si="121"/>
        <v>-7.0053839773805929E-2</v>
      </c>
      <c r="S148" s="346">
        <f t="shared" si="121"/>
        <v>-7.0053839773805929E-2</v>
      </c>
      <c r="T148" s="346">
        <f t="shared" si="121"/>
        <v>-7.0053839773805929E-2</v>
      </c>
      <c r="U148" s="346">
        <f t="shared" si="121"/>
        <v>-7.0053839773805929E-2</v>
      </c>
      <c r="V148" s="346">
        <f t="shared" si="121"/>
        <v>-7.0053839773805929E-2</v>
      </c>
      <c r="W148" s="346">
        <f t="shared" si="121"/>
        <v>-7.0053839773805929E-2</v>
      </c>
      <c r="X148" s="346">
        <f t="shared" si="121"/>
        <v>-7.0053839773805929E-2</v>
      </c>
      <c r="Y148" s="346">
        <f t="shared" si="121"/>
        <v>-7.0053839773805929E-2</v>
      </c>
      <c r="Z148" s="346">
        <f t="shared" si="121"/>
        <v>-7.0053839773805929E-2</v>
      </c>
      <c r="AA148" s="346">
        <f t="shared" si="121"/>
        <v>-7.0053839773805929E-2</v>
      </c>
      <c r="AB148" s="347">
        <f t="shared" si="121"/>
        <v>-7.0053839773805929E-2</v>
      </c>
    </row>
    <row r="149" spans="2:30" x14ac:dyDescent="0.3">
      <c r="B149" s="185" t="s">
        <v>7</v>
      </c>
      <c r="C149" s="344">
        <f>+C$144*COBERTURA_BOSQUE!C39</f>
        <v>-1.0554471729118867E-2</v>
      </c>
      <c r="D149" s="344">
        <f>+D$144*COBERTURA_BOSQUE!D39</f>
        <v>-1.0248407656596317E-2</v>
      </c>
      <c r="E149" s="344">
        <f>+E$144*COBERTURA_BOSQUE!E39</f>
        <v>-9.9640277792865852E-3</v>
      </c>
      <c r="F149" s="344">
        <f>+F$144*COBERTURA_BOSQUE!F39</f>
        <v>-9.9031292874258766E-3</v>
      </c>
      <c r="G149" s="344">
        <f>+G$144*COBERTURA_BOSQUE!G39</f>
        <v>-9.8449448372317679E-3</v>
      </c>
      <c r="H149" s="344">
        <f>+H$144*COBERTURA_BOSQUE!H39</f>
        <v>-1.9198101670164558E-2</v>
      </c>
      <c r="I149" s="344">
        <f>+I$144*COBERTURA_BOSQUE!I39</f>
        <v>-2.837723007309214E-2</v>
      </c>
      <c r="J149" s="344">
        <f>+J$144*COBERTURA_BOSQUE!J39</f>
        <v>-7.9893241160478981E-2</v>
      </c>
      <c r="K149" s="359">
        <f>+K$144*COBERTURA_BOSQUE!K39</f>
        <v>-0.13440559092978857</v>
      </c>
      <c r="L149" s="359">
        <f>+L$144*COBERTURA_BOSQUE!L39</f>
        <v>-3.0680819703024598E-3</v>
      </c>
      <c r="M149" s="359">
        <f>+M$144*COBERTURA_BOSQUE!M39</f>
        <v>-3.0680819703024598E-3</v>
      </c>
      <c r="N149" s="359">
        <f>+N$144*COBERTURA_BOSQUE!N39</f>
        <v>-5.1010641264796971E-2</v>
      </c>
      <c r="O149" s="359">
        <f>+O$144*COBERTURA_BOSQUE!P39</f>
        <v>-5.1010641264796971E-2</v>
      </c>
      <c r="P149" s="346">
        <f t="shared" si="117"/>
        <v>-5.1010641264796965E-2</v>
      </c>
      <c r="Q149" s="346">
        <f t="shared" ref="Q149:AB149" si="122">+Q160*Q171</f>
        <v>-5.1010641264796965E-2</v>
      </c>
      <c r="R149" s="346">
        <f t="shared" si="122"/>
        <v>-5.1010641264796965E-2</v>
      </c>
      <c r="S149" s="346">
        <f t="shared" si="122"/>
        <v>-5.1010641264796965E-2</v>
      </c>
      <c r="T149" s="346">
        <f t="shared" si="122"/>
        <v>-5.1010641264796965E-2</v>
      </c>
      <c r="U149" s="346">
        <f t="shared" si="122"/>
        <v>-5.1010641264796965E-2</v>
      </c>
      <c r="V149" s="346">
        <f t="shared" si="122"/>
        <v>-5.1010641264796965E-2</v>
      </c>
      <c r="W149" s="346">
        <f t="shared" si="122"/>
        <v>-5.1010641264796965E-2</v>
      </c>
      <c r="X149" s="346">
        <f t="shared" si="122"/>
        <v>-5.1010641264796965E-2</v>
      </c>
      <c r="Y149" s="346">
        <f t="shared" si="122"/>
        <v>-5.1010641264796965E-2</v>
      </c>
      <c r="Z149" s="346">
        <f t="shared" si="122"/>
        <v>-5.1010641264796965E-2</v>
      </c>
      <c r="AA149" s="346">
        <f t="shared" si="122"/>
        <v>-5.1010641264796965E-2</v>
      </c>
      <c r="AB149" s="347">
        <f t="shared" si="122"/>
        <v>-5.1010641264796965E-2</v>
      </c>
    </row>
    <row r="150" spans="2:30" x14ac:dyDescent="0.3">
      <c r="B150" s="185" t="s">
        <v>8</v>
      </c>
      <c r="C150" s="344">
        <f>+C$144*COBERTURA_BOSQUE!C40</f>
        <v>-7.7232316834467282E-2</v>
      </c>
      <c r="D150" s="344">
        <f>+D$144*COBERTURA_BOSQUE!D40</f>
        <v>-7.9887525220496081E-2</v>
      </c>
      <c r="E150" s="344">
        <f>+E$144*COBERTURA_BOSQUE!E40</f>
        <v>-8.2354615947046489E-2</v>
      </c>
      <c r="F150" s="344">
        <f>+F$144*COBERTURA_BOSQUE!F40</f>
        <v>-8.2197575184961166E-2</v>
      </c>
      <c r="G150" s="344">
        <f>+G$144*COBERTURA_BOSQUE!G40</f>
        <v>-8.2047533203282855E-2</v>
      </c>
      <c r="H150" s="344">
        <f>+H$144*COBERTURA_BOSQUE!H40</f>
        <v>-0.16132143299918406</v>
      </c>
      <c r="I150" s="344">
        <f>+I$144*COBERTURA_BOSQUE!I40</f>
        <v>-0.24039986782175685</v>
      </c>
      <c r="J150" s="344">
        <f>+J$144*COBERTURA_BOSQUE!J40</f>
        <v>-0.65971762996738526</v>
      </c>
      <c r="K150" s="359">
        <f>+K$144*COBERTURA_BOSQUE!K40</f>
        <v>-1.0836415838139255</v>
      </c>
      <c r="L150" s="359">
        <f>+L$144*COBERTURA_BOSQUE!L40</f>
        <v>-2.4736331149396013E-2</v>
      </c>
      <c r="M150" s="359">
        <f>+M$144*COBERTURA_BOSQUE!M40</f>
        <v>-2.4736331149396013E-2</v>
      </c>
      <c r="N150" s="359">
        <f>+N$144*COBERTURA_BOSQUE!N40</f>
        <v>-0.39829529285866522</v>
      </c>
      <c r="O150" s="359">
        <f>+O$144*COBERTURA_BOSQUE!P40</f>
        <v>-0.39829529285866522</v>
      </c>
      <c r="P150" s="346">
        <f t="shared" si="117"/>
        <v>-0.39829529285866522</v>
      </c>
      <c r="Q150" s="346">
        <f t="shared" ref="Q150:AB150" si="123">+Q161*Q172</f>
        <v>-0.39829529285866522</v>
      </c>
      <c r="R150" s="346">
        <f t="shared" si="123"/>
        <v>-0.39829529285866522</v>
      </c>
      <c r="S150" s="346">
        <f t="shared" si="123"/>
        <v>-0.39829529285866522</v>
      </c>
      <c r="T150" s="346">
        <f t="shared" si="123"/>
        <v>-0.39829529285866522</v>
      </c>
      <c r="U150" s="346">
        <f t="shared" si="123"/>
        <v>-0.39829529285866522</v>
      </c>
      <c r="V150" s="346">
        <f t="shared" si="123"/>
        <v>-0.39829529285866522</v>
      </c>
      <c r="W150" s="346">
        <f t="shared" si="123"/>
        <v>-0.39829529285866522</v>
      </c>
      <c r="X150" s="346">
        <f t="shared" si="123"/>
        <v>-0.39829529285866522</v>
      </c>
      <c r="Y150" s="346">
        <f t="shared" si="123"/>
        <v>-0.39829529285866522</v>
      </c>
      <c r="Z150" s="346">
        <f t="shared" si="123"/>
        <v>-0.39829529285866522</v>
      </c>
      <c r="AA150" s="346">
        <f t="shared" si="123"/>
        <v>-0.39829529285866522</v>
      </c>
      <c r="AB150" s="347">
        <f t="shared" si="123"/>
        <v>-0.39829529285866522</v>
      </c>
    </row>
    <row r="151" spans="2:30" x14ac:dyDescent="0.3">
      <c r="B151" s="185" t="s">
        <v>9</v>
      </c>
      <c r="C151" s="344">
        <f>+C$144*COBERTURA_BOSQUE!C41</f>
        <v>-8.5567367386353323E-3</v>
      </c>
      <c r="D151" s="344">
        <f>+D$144*COBERTURA_BOSQUE!D41</f>
        <v>-8.3034773719624904E-3</v>
      </c>
      <c r="E151" s="344">
        <f>+E$144*COBERTURA_BOSQUE!E41</f>
        <v>-8.0681610637517113E-3</v>
      </c>
      <c r="F151" s="344">
        <f>+F$144*COBERTURA_BOSQUE!F41</f>
        <v>-8.0072313918925012E-3</v>
      </c>
      <c r="G151" s="344">
        <f>+G$144*COBERTURA_BOSQUE!G41</f>
        <v>-7.9490171512879172E-3</v>
      </c>
      <c r="H151" s="344">
        <f>+H$144*COBERTURA_BOSQUE!H41</f>
        <v>-1.5165050058725395E-2</v>
      </c>
      <c r="I151" s="344">
        <f>+I$144*COBERTURA_BOSQUE!I41</f>
        <v>-2.1922419710412228E-2</v>
      </c>
      <c r="J151" s="344">
        <f>+J$144*COBERTURA_BOSQUE!J41</f>
        <v>-5.8681180144111632E-2</v>
      </c>
      <c r="K151" s="359">
        <f>+K$144*COBERTURA_BOSQUE!K41</f>
        <v>-9.4062795833390611E-2</v>
      </c>
      <c r="L151" s="359">
        <f>+L$144*COBERTURA_BOSQUE!L41</f>
        <v>-2.1471753219211198E-3</v>
      </c>
      <c r="M151" s="359">
        <f>+M$144*COBERTURA_BOSQUE!M41</f>
        <v>-2.1471753219211198E-3</v>
      </c>
      <c r="N151" s="359">
        <f>+N$144*COBERTURA_BOSQUE!N41</f>
        <v>-3.2703550396943899E-2</v>
      </c>
      <c r="O151" s="359">
        <f>+O$144*COBERTURA_BOSQUE!P41</f>
        <v>-3.2703550396943899E-2</v>
      </c>
      <c r="P151" s="346">
        <f t="shared" si="117"/>
        <v>-3.2703550396943899E-2</v>
      </c>
      <c r="Q151" s="346">
        <f t="shared" ref="Q151:AB151" si="124">+Q162*Q173</f>
        <v>-3.2703550396943899E-2</v>
      </c>
      <c r="R151" s="346">
        <f t="shared" si="124"/>
        <v>-3.2703550396943899E-2</v>
      </c>
      <c r="S151" s="346">
        <f t="shared" si="124"/>
        <v>-3.2703550396943899E-2</v>
      </c>
      <c r="T151" s="346">
        <f t="shared" si="124"/>
        <v>-3.2703550396943899E-2</v>
      </c>
      <c r="U151" s="346">
        <f t="shared" si="124"/>
        <v>-3.2703550396943899E-2</v>
      </c>
      <c r="V151" s="346">
        <f t="shared" si="124"/>
        <v>-3.2703550396943899E-2</v>
      </c>
      <c r="W151" s="346">
        <f t="shared" si="124"/>
        <v>-3.2703550396943899E-2</v>
      </c>
      <c r="X151" s="346">
        <f t="shared" si="124"/>
        <v>-3.2703550396943899E-2</v>
      </c>
      <c r="Y151" s="346">
        <f t="shared" si="124"/>
        <v>-3.2703550396943899E-2</v>
      </c>
      <c r="Z151" s="346">
        <f t="shared" si="124"/>
        <v>-3.2703550396943899E-2</v>
      </c>
      <c r="AA151" s="346">
        <f t="shared" si="124"/>
        <v>-3.2703550396943899E-2</v>
      </c>
      <c r="AB151" s="347">
        <f t="shared" si="124"/>
        <v>-3.2703550396943899E-2</v>
      </c>
    </row>
    <row r="152" spans="2:30" x14ac:dyDescent="0.3">
      <c r="B152" s="185" t="s">
        <v>10</v>
      </c>
      <c r="C152" s="344">
        <f>+C$144*COBERTURA_BOSQUE!C42</f>
        <v>-2.1250837842167842E-3</v>
      </c>
      <c r="D152" s="344">
        <f>+D$144*COBERTURA_BOSQUE!D42</f>
        <v>-2.0579026298238813E-3</v>
      </c>
      <c r="E152" s="344">
        <f>+E$144*COBERTURA_BOSQUE!E42</f>
        <v>-1.9954811626901581E-3</v>
      </c>
      <c r="F152" s="344">
        <f>+F$144*COBERTURA_BOSQUE!F42</f>
        <v>-1.9032886259698839E-3</v>
      </c>
      <c r="G152" s="344">
        <f>+G$144*COBERTURA_BOSQUE!G42</f>
        <v>-1.8152048016062501E-3</v>
      </c>
      <c r="H152" s="344">
        <f>+H$144*COBERTURA_BOSQUE!H42</f>
        <v>-3.7096825637864678E-3</v>
      </c>
      <c r="I152" s="344">
        <f>+I$144*COBERTURA_BOSQUE!I42</f>
        <v>-5.7330384858165695E-3</v>
      </c>
      <c r="J152" s="344">
        <f>+J$144*COBERTURA_BOSQUE!J42</f>
        <v>-1.5317968232506526E-2</v>
      </c>
      <c r="K152" s="359">
        <f>+K$144*COBERTURA_BOSQUE!K42</f>
        <v>-2.4508701342699699E-2</v>
      </c>
      <c r="L152" s="359">
        <f>+L$144*COBERTURA_BOSQUE!L42</f>
        <v>-5.594611368833995E-4</v>
      </c>
      <c r="M152" s="359">
        <f>+M$144*COBERTURA_BOSQUE!M42</f>
        <v>-5.594611368833995E-4</v>
      </c>
      <c r="N152" s="359">
        <f>+N$144*COBERTURA_BOSQUE!N42</f>
        <v>-1.333873825938631E-2</v>
      </c>
      <c r="O152" s="359">
        <f>+O$144*COBERTURA_BOSQUE!P42</f>
        <v>-1.333873825938631E-2</v>
      </c>
      <c r="P152" s="346">
        <f t="shared" si="117"/>
        <v>-1.333873825938631E-2</v>
      </c>
      <c r="Q152" s="346">
        <f t="shared" ref="Q152:AB152" si="125">+Q163*Q174</f>
        <v>-1.333873825938631E-2</v>
      </c>
      <c r="R152" s="346">
        <f t="shared" si="125"/>
        <v>-1.333873825938631E-2</v>
      </c>
      <c r="S152" s="346">
        <f t="shared" si="125"/>
        <v>-1.333873825938631E-2</v>
      </c>
      <c r="T152" s="346">
        <f t="shared" si="125"/>
        <v>-1.333873825938631E-2</v>
      </c>
      <c r="U152" s="346">
        <f t="shared" si="125"/>
        <v>-1.333873825938631E-2</v>
      </c>
      <c r="V152" s="346">
        <f t="shared" si="125"/>
        <v>-1.333873825938631E-2</v>
      </c>
      <c r="W152" s="346">
        <f t="shared" si="125"/>
        <v>-1.333873825938631E-2</v>
      </c>
      <c r="X152" s="346">
        <f t="shared" si="125"/>
        <v>-1.333873825938631E-2</v>
      </c>
      <c r="Y152" s="346">
        <f t="shared" si="125"/>
        <v>-1.333873825938631E-2</v>
      </c>
      <c r="Z152" s="346">
        <f t="shared" si="125"/>
        <v>-1.333873825938631E-2</v>
      </c>
      <c r="AA152" s="346">
        <f t="shared" si="125"/>
        <v>-1.333873825938631E-2</v>
      </c>
      <c r="AB152" s="347">
        <f t="shared" si="125"/>
        <v>-1.333873825938631E-2</v>
      </c>
    </row>
    <row r="153" spans="2:30" x14ac:dyDescent="0.3">
      <c r="B153" s="185" t="s">
        <v>11</v>
      </c>
      <c r="C153" s="344">
        <f>+C$144*COBERTURA_BOSQUE!C43</f>
        <v>-8.8867366281251553E-3</v>
      </c>
      <c r="D153" s="344">
        <f>+D$144*COBERTURA_BOSQUE!D43</f>
        <v>-8.5889320849078989E-3</v>
      </c>
      <c r="E153" s="344">
        <f>+E$144*COBERTURA_BOSQUE!E43</f>
        <v>-8.3122265612428671E-3</v>
      </c>
      <c r="F153" s="344">
        <f>+F$144*COBERTURA_BOSQUE!F43</f>
        <v>-8.2584973739656641E-3</v>
      </c>
      <c r="G153" s="344">
        <f>+G$144*COBERTURA_BOSQUE!G43</f>
        <v>-8.2071627164793867E-3</v>
      </c>
      <c r="H153" s="344">
        <f>+H$144*COBERTURA_BOSQUE!H43</f>
        <v>-1.6330537422624736E-2</v>
      </c>
      <c r="I153" s="344">
        <f>+I$144*COBERTURA_BOSQUE!I43</f>
        <v>-2.4617780391451027E-2</v>
      </c>
      <c r="J153" s="344">
        <f>+J$144*COBERTURA_BOSQUE!J43</f>
        <v>-6.6544289439441767E-2</v>
      </c>
      <c r="K153" s="359">
        <f>+K$144*COBERTURA_BOSQUE!K43</f>
        <v>-0.1077118222479924</v>
      </c>
      <c r="L153" s="359">
        <f>+L$144*COBERTURA_BOSQUE!L43</f>
        <v>-2.4587422111043036E-3</v>
      </c>
      <c r="M153" s="359">
        <f>+M$144*COBERTURA_BOSQUE!M43</f>
        <v>-2.4587422111043036E-3</v>
      </c>
      <c r="N153" s="359">
        <f>+N$144*COBERTURA_BOSQUE!N43</f>
        <v>-3.7104149559664144E-2</v>
      </c>
      <c r="O153" s="359">
        <f>+O$144*COBERTURA_BOSQUE!P43</f>
        <v>-3.7104149559664144E-2</v>
      </c>
      <c r="P153" s="346">
        <f t="shared" si="117"/>
        <v>-3.7104149559664144E-2</v>
      </c>
      <c r="Q153" s="346">
        <f t="shared" ref="Q153:AB153" si="126">+Q164*Q175</f>
        <v>-3.7104149559664144E-2</v>
      </c>
      <c r="R153" s="346">
        <f t="shared" si="126"/>
        <v>-3.7104149559664144E-2</v>
      </c>
      <c r="S153" s="346">
        <f t="shared" si="126"/>
        <v>-3.7104149559664144E-2</v>
      </c>
      <c r="T153" s="346">
        <f t="shared" si="126"/>
        <v>-3.7104149559664144E-2</v>
      </c>
      <c r="U153" s="346">
        <f t="shared" si="126"/>
        <v>-3.7104149559664144E-2</v>
      </c>
      <c r="V153" s="346">
        <f t="shared" si="126"/>
        <v>-3.7104149559664144E-2</v>
      </c>
      <c r="W153" s="346">
        <f t="shared" si="126"/>
        <v>-3.7104149559664144E-2</v>
      </c>
      <c r="X153" s="346">
        <f t="shared" si="126"/>
        <v>-3.7104149559664144E-2</v>
      </c>
      <c r="Y153" s="346">
        <f t="shared" si="126"/>
        <v>-3.7104149559664144E-2</v>
      </c>
      <c r="Z153" s="346">
        <f t="shared" si="126"/>
        <v>-3.7104149559664144E-2</v>
      </c>
      <c r="AA153" s="346">
        <f t="shared" si="126"/>
        <v>-3.7104149559664144E-2</v>
      </c>
      <c r="AB153" s="347">
        <f t="shared" si="126"/>
        <v>-3.7104149559664144E-2</v>
      </c>
    </row>
    <row r="154" spans="2:30" ht="15" thickBot="1" x14ac:dyDescent="0.35">
      <c r="B154" s="186" t="s">
        <v>12</v>
      </c>
      <c r="C154" s="348">
        <f>+C$144*COBERTURA_BOSQUE!C44</f>
        <v>-1.2516290059266021E-3</v>
      </c>
      <c r="D154" s="348">
        <f>+D$144*COBERTURA_BOSQUE!D44</f>
        <v>-1.2056626314616778E-3</v>
      </c>
      <c r="E154" s="348">
        <f>+E$144*COBERTURA_BOSQUE!E44</f>
        <v>-1.1629529078963771E-3</v>
      </c>
      <c r="F154" s="348">
        <f>+F$144*COBERTURA_BOSQUE!F44</f>
        <v>-1.136447830058455E-3</v>
      </c>
      <c r="G154" s="348">
        <f>+G$144*COBERTURA_BOSQUE!G44</f>
        <v>-1.1111239947017633E-3</v>
      </c>
      <c r="H154" s="348">
        <f>+H$144*COBERTURA_BOSQUE!H44</f>
        <v>-4.0953978281275949E-3</v>
      </c>
      <c r="I154" s="348">
        <f>+I$144*COBERTURA_BOSQUE!I44</f>
        <v>-8.8867400955446214E-3</v>
      </c>
      <c r="J154" s="348">
        <f>+J$144*COBERTURA_BOSQUE!J44</f>
        <v>-2.2753701175636611E-2</v>
      </c>
      <c r="K154" s="360">
        <f>+K$144*COBERTURA_BOSQUE!K44</f>
        <v>-3.4806308384826769E-2</v>
      </c>
      <c r="L154" s="360">
        <f>+L$144*COBERTURA_BOSQUE!L44</f>
        <v>-7.9452503775723964E-4</v>
      </c>
      <c r="M154" s="360">
        <f>+M$144*COBERTURA_BOSQUE!M44</f>
        <v>-7.9452503775723964E-4</v>
      </c>
      <c r="N154" s="360">
        <f>+N$144*COBERTURA_BOSQUE!N44</f>
        <v>-1.5659115994661205E-2</v>
      </c>
      <c r="O154" s="360">
        <f>+O$144*COBERTURA_BOSQUE!P44</f>
        <v>-1.5659115994661205E-2</v>
      </c>
      <c r="P154" s="350">
        <f t="shared" si="117"/>
        <v>-1.5659115994661205E-2</v>
      </c>
      <c r="Q154" s="350">
        <f t="shared" ref="Q154:AB154" si="127">+Q165*Q176</f>
        <v>-1.5659115994661205E-2</v>
      </c>
      <c r="R154" s="350">
        <f t="shared" si="127"/>
        <v>-1.5659115994661205E-2</v>
      </c>
      <c r="S154" s="350">
        <f t="shared" si="127"/>
        <v>-1.5659115994661205E-2</v>
      </c>
      <c r="T154" s="350">
        <f t="shared" si="127"/>
        <v>-1.5659115994661205E-2</v>
      </c>
      <c r="U154" s="350">
        <f t="shared" si="127"/>
        <v>-1.5659115994661205E-2</v>
      </c>
      <c r="V154" s="350">
        <f t="shared" si="127"/>
        <v>-1.5659115994661205E-2</v>
      </c>
      <c r="W154" s="350">
        <f t="shared" si="127"/>
        <v>-1.5659115994661205E-2</v>
      </c>
      <c r="X154" s="350">
        <f t="shared" si="127"/>
        <v>-1.5659115994661205E-2</v>
      </c>
      <c r="Y154" s="350">
        <f t="shared" si="127"/>
        <v>-1.5659115994661205E-2</v>
      </c>
      <c r="Z154" s="350">
        <f t="shared" si="127"/>
        <v>-1.5659115994661205E-2</v>
      </c>
      <c r="AA154" s="350">
        <f t="shared" si="127"/>
        <v>-1.5659115994661205E-2</v>
      </c>
      <c r="AB154" s="351">
        <f t="shared" si="127"/>
        <v>-1.5659115994661205E-2</v>
      </c>
    </row>
    <row r="155" spans="2:30" ht="15" thickBot="1" x14ac:dyDescent="0.35">
      <c r="B155" s="142" t="s">
        <v>34</v>
      </c>
      <c r="C155" s="337"/>
      <c r="D155" s="337"/>
      <c r="E155" s="337"/>
      <c r="F155" s="337"/>
      <c r="G155" s="337"/>
      <c r="H155" s="337"/>
      <c r="I155" s="337"/>
      <c r="J155" s="337"/>
      <c r="K155" s="337"/>
      <c r="L155" s="337"/>
      <c r="M155" s="337"/>
      <c r="N155" s="337"/>
      <c r="O155" s="337"/>
      <c r="P155" s="337"/>
      <c r="Q155" s="337"/>
      <c r="R155" s="337"/>
      <c r="S155" s="337"/>
      <c r="T155" s="337"/>
      <c r="U155" s="337"/>
      <c r="V155" s="337"/>
      <c r="W155" s="337"/>
      <c r="X155" s="337"/>
      <c r="Y155" s="337"/>
      <c r="Z155" s="337"/>
      <c r="AA155" s="337"/>
      <c r="AB155" s="352"/>
    </row>
    <row r="156" spans="2:30" x14ac:dyDescent="0.3">
      <c r="B156" s="191" t="s">
        <v>2</v>
      </c>
      <c r="C156" s="457">
        <f>+COBERTURA_HACIA_TF!C49/1000</f>
        <v>1.9047438347665311E-5</v>
      </c>
      <c r="D156" s="457">
        <f>+COBERTURA_HACIA_TF!D49/1000</f>
        <v>1.9914469822546257E-5</v>
      </c>
      <c r="E156" s="457">
        <f>+COBERTURA_HACIA_TF!E49/1000</f>
        <v>2.0720073376136013E-5</v>
      </c>
      <c r="F156" s="457">
        <f>+COBERTURA_HACIA_TF!F49/1000</f>
        <v>2.0426452071063767E-5</v>
      </c>
      <c r="G156" s="457">
        <f>+COBERTURA_HACIA_TF!G49/1000</f>
        <v>2.0145916483417682E-5</v>
      </c>
      <c r="H156" s="457">
        <f>+COBERTURA_HACIA_TF!H49/1000</f>
        <v>3.9279924570054057E-5</v>
      </c>
      <c r="I156" s="457">
        <f>+COBERTURA_HACIA_TF!I49/1000</f>
        <v>5.8052555804991047E-5</v>
      </c>
      <c r="J156" s="457">
        <f>+COBERTURA_HACIA_TF!J49/1000</f>
        <v>1.5562004123414937E-4</v>
      </c>
      <c r="K156" s="466">
        <f>+COBERTURA_HACIA_TF!K49/1000</f>
        <v>2.4981641940701192E-4</v>
      </c>
      <c r="L156" s="466">
        <f>+COBERTURA_HACIA_TF!L49/1000</f>
        <v>5.7025697142952675E-6</v>
      </c>
      <c r="M156" s="466">
        <f>+COBERTURA_HACIA_TF!M49/1000</f>
        <v>5.7025697142952675E-6</v>
      </c>
      <c r="N156" s="466">
        <f>+COBERTURA_HACIA_TF!N49/1000</f>
        <v>8.7470100709423468E-5</v>
      </c>
      <c r="O156" s="466">
        <f>+COBERTURA_HACIA_TF!O49/1000</f>
        <v>8.7470100709423468E-5</v>
      </c>
      <c r="P156" s="457">
        <f>+COBERTURA_HACIA_TF!P49/1000</f>
        <v>8.7470100709423468E-5</v>
      </c>
      <c r="Q156" s="457">
        <f>+COBERTURA_HACIA_TF!Q49/1000</f>
        <v>8.7470100709423468E-5</v>
      </c>
      <c r="R156" s="457">
        <f>+COBERTURA_HACIA_TF!R49/1000</f>
        <v>8.7470100709423468E-5</v>
      </c>
      <c r="S156" s="457">
        <f>+COBERTURA_HACIA_TF!S49/1000</f>
        <v>8.7470100709423468E-5</v>
      </c>
      <c r="T156" s="457">
        <f>+COBERTURA_HACIA_TF!T49/1000</f>
        <v>8.7470100709423468E-5</v>
      </c>
      <c r="U156" s="457">
        <f>+COBERTURA_HACIA_TF!U49/1000</f>
        <v>8.7470100709423468E-5</v>
      </c>
      <c r="V156" s="457">
        <f>+COBERTURA_HACIA_TF!V49/1000</f>
        <v>8.7470100709423468E-5</v>
      </c>
      <c r="W156" s="457">
        <f>+COBERTURA_HACIA_TF!W49/1000</f>
        <v>8.7470100709423468E-5</v>
      </c>
      <c r="X156" s="457">
        <f>+COBERTURA_HACIA_TF!X49/1000</f>
        <v>8.7470100709423468E-5</v>
      </c>
      <c r="Y156" s="457">
        <f>+COBERTURA_HACIA_TF!Y49/1000</f>
        <v>8.7470100709423468E-5</v>
      </c>
      <c r="Z156" s="457">
        <f>+COBERTURA_HACIA_TF!Z49/1000</f>
        <v>8.7470100709423468E-5</v>
      </c>
      <c r="AA156" s="457">
        <f>+COBERTURA_HACIA_TF!AA49/1000</f>
        <v>8.7470100709423468E-5</v>
      </c>
      <c r="AB156" s="459">
        <f>+COBERTURA_HACIA_TF!AB49/1000</f>
        <v>8.7470100709423468E-5</v>
      </c>
      <c r="AD156" s="414"/>
    </row>
    <row r="157" spans="2:30" x14ac:dyDescent="0.3">
      <c r="B157" s="185" t="s">
        <v>4</v>
      </c>
      <c r="C157" s="460">
        <f>+COBERTURA_HACIA_TF!C50/1000</f>
        <v>1.8600177583971491E-4</v>
      </c>
      <c r="D157" s="460">
        <f>+COBERTURA_HACIA_TF!D50/1000</f>
        <v>1.8753829239322672E-4</v>
      </c>
      <c r="E157" s="460">
        <f>+COBERTURA_HACIA_TF!E50/1000</f>
        <v>1.8896594897954455E-4</v>
      </c>
      <c r="F157" s="460">
        <f>+COBERTURA_HACIA_TF!F50/1000</f>
        <v>1.9049124612165405E-4</v>
      </c>
      <c r="G157" s="460">
        <f>+COBERTURA_HACIA_TF!G50/1000</f>
        <v>1.9194856588253189E-4</v>
      </c>
      <c r="H157" s="460">
        <f>+COBERTURA_HACIA_TF!H50/1000</f>
        <v>3.7269898874921502E-4</v>
      </c>
      <c r="I157" s="460">
        <f>+COBERTURA_HACIA_TF!I50/1000</f>
        <v>5.4853176474248103E-4</v>
      </c>
      <c r="J157" s="460">
        <f>+COBERTURA_HACIA_TF!J50/1000</f>
        <v>1.4725479798059138E-3</v>
      </c>
      <c r="K157" s="467">
        <f>+COBERTURA_HACIA_TF!K50/1000</f>
        <v>2.3672772443699111E-3</v>
      </c>
      <c r="L157" s="467">
        <f>+COBERTURA_HACIA_TF!L50/1000</f>
        <v>5.4037935341191995E-5</v>
      </c>
      <c r="M157" s="467">
        <f>+COBERTURA_HACIA_TF!M50/1000</f>
        <v>5.4037935341191995E-5</v>
      </c>
      <c r="N157" s="467">
        <f>+COBERTURA_HACIA_TF!N50/1000</f>
        <v>8.9417729794526591E-4</v>
      </c>
      <c r="O157" s="467">
        <f>+COBERTURA_HACIA_TF!O50/1000</f>
        <v>8.9417729794526591E-4</v>
      </c>
      <c r="P157" s="460">
        <f>+COBERTURA_HACIA_TF!P50/1000</f>
        <v>8.9417729794526591E-4</v>
      </c>
      <c r="Q157" s="460">
        <f>+COBERTURA_HACIA_TF!Q50/1000</f>
        <v>8.9417729794526591E-4</v>
      </c>
      <c r="R157" s="460">
        <f>+COBERTURA_HACIA_TF!R50/1000</f>
        <v>8.9417729794526591E-4</v>
      </c>
      <c r="S157" s="460">
        <f>+COBERTURA_HACIA_TF!S50/1000</f>
        <v>8.9417729794526591E-4</v>
      </c>
      <c r="T157" s="460">
        <f>+COBERTURA_HACIA_TF!T50/1000</f>
        <v>8.9417729794526591E-4</v>
      </c>
      <c r="U157" s="460">
        <f>+COBERTURA_HACIA_TF!U50/1000</f>
        <v>8.9417729794526591E-4</v>
      </c>
      <c r="V157" s="460">
        <f>+COBERTURA_HACIA_TF!V50/1000</f>
        <v>8.9417729794526591E-4</v>
      </c>
      <c r="W157" s="460">
        <f>+COBERTURA_HACIA_TF!W50/1000</f>
        <v>8.9417729794526591E-4</v>
      </c>
      <c r="X157" s="460">
        <f>+COBERTURA_HACIA_TF!X50/1000</f>
        <v>8.9417729794526591E-4</v>
      </c>
      <c r="Y157" s="460">
        <f>+COBERTURA_HACIA_TF!Y50/1000</f>
        <v>8.9417729794526591E-4</v>
      </c>
      <c r="Z157" s="460">
        <f>+COBERTURA_HACIA_TF!Z50/1000</f>
        <v>8.9417729794526591E-4</v>
      </c>
      <c r="AA157" s="460">
        <f>+COBERTURA_HACIA_TF!AA50/1000</f>
        <v>8.9417729794526591E-4</v>
      </c>
      <c r="AB157" s="462">
        <f>+COBERTURA_HACIA_TF!AB50/1000</f>
        <v>8.9417729794526591E-4</v>
      </c>
    </row>
    <row r="158" spans="2:30" x14ac:dyDescent="0.3">
      <c r="B158" s="185" t="s">
        <v>5</v>
      </c>
      <c r="C158" s="460">
        <f>+COBERTURA_HACIA_TF!C51/1000</f>
        <v>1.7785671734657589E-3</v>
      </c>
      <c r="D158" s="460">
        <f>+COBERTURA_HACIA_TF!D51/1000</f>
        <v>1.7217331562132303E-3</v>
      </c>
      <c r="E158" s="460">
        <f>+COBERTURA_HACIA_TF!E51/1000</f>
        <v>1.668925746574837E-3</v>
      </c>
      <c r="F158" s="460">
        <f>+COBERTURA_HACIA_TF!F51/1000</f>
        <v>1.6787849381781257E-3</v>
      </c>
      <c r="G158" s="460">
        <f>+COBERTURA_HACIA_TF!G51/1000</f>
        <v>1.6882047386570548E-3</v>
      </c>
      <c r="H158" s="460">
        <f>+COBERTURA_HACIA_TF!H51/1000</f>
        <v>3.2844251642601507E-3</v>
      </c>
      <c r="I158" s="460">
        <f>+COBERTURA_HACIA_TF!I51/1000</f>
        <v>4.8435549938756163E-3</v>
      </c>
      <c r="J158" s="460">
        <f>+COBERTURA_HACIA_TF!J51/1000</f>
        <v>1.3114430190559299E-2</v>
      </c>
      <c r="K158" s="467">
        <f>+COBERTURA_HACIA_TF!K51/1000</f>
        <v>2.1262486723759876E-2</v>
      </c>
      <c r="L158" s="467">
        <f>+COBERTURA_HACIA_TF!L51/1000</f>
        <v>4.8535966182419374E-4</v>
      </c>
      <c r="M158" s="467">
        <f>+COBERTURA_HACIA_TF!M51/1000</f>
        <v>4.8535966182419374E-4</v>
      </c>
      <c r="N158" s="467">
        <f>+COBERTURA_HACIA_TF!N51/1000</f>
        <v>8.0671232932829334E-3</v>
      </c>
      <c r="O158" s="467">
        <f>+COBERTURA_HACIA_TF!O51/1000</f>
        <v>8.0671232932829334E-3</v>
      </c>
      <c r="P158" s="460">
        <f>+COBERTURA_HACIA_TF!P51/1000</f>
        <v>8.0671232932829334E-3</v>
      </c>
      <c r="Q158" s="460">
        <f>+COBERTURA_HACIA_TF!Q51/1000</f>
        <v>8.0671232932829334E-3</v>
      </c>
      <c r="R158" s="460">
        <f>+COBERTURA_HACIA_TF!R51/1000</f>
        <v>8.0671232932829334E-3</v>
      </c>
      <c r="S158" s="460">
        <f>+COBERTURA_HACIA_TF!S51/1000</f>
        <v>8.0671232932829334E-3</v>
      </c>
      <c r="T158" s="460">
        <f>+COBERTURA_HACIA_TF!T51/1000</f>
        <v>8.0671232932829334E-3</v>
      </c>
      <c r="U158" s="460">
        <f>+COBERTURA_HACIA_TF!U51/1000</f>
        <v>8.0671232932829334E-3</v>
      </c>
      <c r="V158" s="460">
        <f>+COBERTURA_HACIA_TF!V51/1000</f>
        <v>8.0671232932829334E-3</v>
      </c>
      <c r="W158" s="460">
        <f>+COBERTURA_HACIA_TF!W51/1000</f>
        <v>8.0671232932829334E-3</v>
      </c>
      <c r="X158" s="460">
        <f>+COBERTURA_HACIA_TF!X51/1000</f>
        <v>8.0671232932829334E-3</v>
      </c>
      <c r="Y158" s="460">
        <f>+COBERTURA_HACIA_TF!Y51/1000</f>
        <v>8.0671232932829334E-3</v>
      </c>
      <c r="Z158" s="460">
        <f>+COBERTURA_HACIA_TF!Z51/1000</f>
        <v>8.0671232932829334E-3</v>
      </c>
      <c r="AA158" s="460">
        <f>+COBERTURA_HACIA_TF!AA51/1000</f>
        <v>8.0671232932829334E-3</v>
      </c>
      <c r="AB158" s="462">
        <f>+COBERTURA_HACIA_TF!AB51/1000</f>
        <v>8.0671232932829334E-3</v>
      </c>
    </row>
    <row r="159" spans="2:30" x14ac:dyDescent="0.3">
      <c r="B159" s="185" t="s">
        <v>6</v>
      </c>
      <c r="C159" s="460">
        <f>+COBERTURA_HACIA_TF!C52/1000</f>
        <v>7.2297608644594845E-4</v>
      </c>
      <c r="D159" s="460">
        <f>+COBERTURA_HACIA_TF!D52/1000</f>
        <v>6.9792180993076514E-4</v>
      </c>
      <c r="E159" s="460">
        <f>+COBERTURA_HACIA_TF!E52/1000</f>
        <v>6.7464259253439149E-4</v>
      </c>
      <c r="F159" s="460">
        <f>+COBERTURA_HACIA_TF!F52/1000</f>
        <v>6.8484107537154001E-4</v>
      </c>
      <c r="G159" s="460">
        <f>+COBERTURA_HACIA_TF!G52/1000</f>
        <v>6.9458504601125151E-4</v>
      </c>
      <c r="H159" s="460">
        <f>+COBERTURA_HACIA_TF!H52/1000</f>
        <v>1.348833916340054E-3</v>
      </c>
      <c r="I159" s="460">
        <f>+COBERTURA_HACIA_TF!I52/1000</f>
        <v>1.9854634121582175E-3</v>
      </c>
      <c r="J159" s="460">
        <f>+COBERTURA_HACIA_TF!J52/1000</f>
        <v>5.4187681276885091E-3</v>
      </c>
      <c r="K159" s="467">
        <f>+COBERTURA_HACIA_TF!K52/1000</f>
        <v>8.8538638660356269E-3</v>
      </c>
      <c r="L159" s="467">
        <f>+COBERTURA_HACIA_TF!L52/1000</f>
        <v>2.0210751581819692E-4</v>
      </c>
      <c r="M159" s="467">
        <f>+COBERTURA_HACIA_TF!M52/1000</f>
        <v>2.0210751581819692E-4</v>
      </c>
      <c r="N159" s="467">
        <f>+COBERTURA_HACIA_TF!N52/1000</f>
        <v>3.3047082918852399E-3</v>
      </c>
      <c r="O159" s="467">
        <f>+COBERTURA_HACIA_TF!O52/1000</f>
        <v>3.3047082918852399E-3</v>
      </c>
      <c r="P159" s="460">
        <f>+COBERTURA_HACIA_TF!P52/1000</f>
        <v>3.3047082918852399E-3</v>
      </c>
      <c r="Q159" s="460">
        <f>+COBERTURA_HACIA_TF!Q52/1000</f>
        <v>3.3047082918852399E-3</v>
      </c>
      <c r="R159" s="460">
        <f>+COBERTURA_HACIA_TF!R52/1000</f>
        <v>3.3047082918852399E-3</v>
      </c>
      <c r="S159" s="460">
        <f>+COBERTURA_HACIA_TF!S52/1000</f>
        <v>3.3047082918852399E-3</v>
      </c>
      <c r="T159" s="460">
        <f>+COBERTURA_HACIA_TF!T52/1000</f>
        <v>3.3047082918852399E-3</v>
      </c>
      <c r="U159" s="460">
        <f>+COBERTURA_HACIA_TF!U52/1000</f>
        <v>3.3047082918852399E-3</v>
      </c>
      <c r="V159" s="460">
        <f>+COBERTURA_HACIA_TF!V52/1000</f>
        <v>3.3047082918852399E-3</v>
      </c>
      <c r="W159" s="460">
        <f>+COBERTURA_HACIA_TF!W52/1000</f>
        <v>3.3047082918852399E-3</v>
      </c>
      <c r="X159" s="460">
        <f>+COBERTURA_HACIA_TF!X52/1000</f>
        <v>3.3047082918852399E-3</v>
      </c>
      <c r="Y159" s="460">
        <f>+COBERTURA_HACIA_TF!Y52/1000</f>
        <v>3.3047082918852399E-3</v>
      </c>
      <c r="Z159" s="460">
        <f>+COBERTURA_HACIA_TF!Z52/1000</f>
        <v>3.3047082918852399E-3</v>
      </c>
      <c r="AA159" s="460">
        <f>+COBERTURA_HACIA_TF!AA52/1000</f>
        <v>3.3047082918852399E-3</v>
      </c>
      <c r="AB159" s="462">
        <f>+COBERTURA_HACIA_TF!AB52/1000</f>
        <v>3.3047082918852399E-3</v>
      </c>
    </row>
    <row r="160" spans="2:30" x14ac:dyDescent="0.3">
      <c r="B160" s="185" t="s">
        <v>7</v>
      </c>
      <c r="C160" s="460">
        <f>+COBERTURA_HACIA_TF!C53/1000</f>
        <v>4.9789490986230521E-4</v>
      </c>
      <c r="D160" s="460">
        <f>+COBERTURA_HACIA_TF!D53/1000</f>
        <v>4.8345669374768137E-4</v>
      </c>
      <c r="E160" s="460">
        <f>+COBERTURA_HACIA_TF!E53/1000</f>
        <v>4.7004140428424533E-4</v>
      </c>
      <c r="F160" s="460">
        <f>+COBERTURA_HACIA_TF!F53/1000</f>
        <v>4.6716858886591562E-4</v>
      </c>
      <c r="G160" s="460">
        <f>+COBERTURA_HACIA_TF!G53/1000</f>
        <v>4.6442380520186368E-4</v>
      </c>
      <c r="H160" s="460">
        <f>+COBERTURA_HACIA_TF!H53/1000</f>
        <v>9.0564808414072542E-4</v>
      </c>
      <c r="I160" s="460">
        <f>+COBERTURA_HACIA_TF!I53/1000</f>
        <v>1.3386627746042241E-3</v>
      </c>
      <c r="J160" s="460">
        <f>+COBERTURA_HACIA_TF!J53/1000</f>
        <v>3.7688705912640656E-3</v>
      </c>
      <c r="K160" s="467">
        <f>+COBERTURA_HACIA_TF!K53/1000</f>
        <v>6.3404271950770275E-3</v>
      </c>
      <c r="L160" s="467">
        <f>+COBERTURA_HACIA_TF!L53/1000</f>
        <v>1.4473319321510334E-4</v>
      </c>
      <c r="M160" s="467">
        <f>+COBERTURA_HACIA_TF!M53/1000</f>
        <v>1.4473319321510334E-4</v>
      </c>
      <c r="N160" s="467">
        <f>+COBERTURA_HACIA_TF!N53/1000</f>
        <v>2.4063675839392103E-3</v>
      </c>
      <c r="O160" s="467">
        <f>+COBERTURA_HACIA_TF!O53/1000</f>
        <v>2.4063675839392103E-3</v>
      </c>
      <c r="P160" s="460">
        <f>+COBERTURA_HACIA_TF!P53/1000</f>
        <v>2.4063675839392103E-3</v>
      </c>
      <c r="Q160" s="460">
        <f>+COBERTURA_HACIA_TF!Q53/1000</f>
        <v>2.4063675839392103E-3</v>
      </c>
      <c r="R160" s="460">
        <f>+COBERTURA_HACIA_TF!R53/1000</f>
        <v>2.4063675839392103E-3</v>
      </c>
      <c r="S160" s="460">
        <f>+COBERTURA_HACIA_TF!S53/1000</f>
        <v>2.4063675839392103E-3</v>
      </c>
      <c r="T160" s="460">
        <f>+COBERTURA_HACIA_TF!T53/1000</f>
        <v>2.4063675839392103E-3</v>
      </c>
      <c r="U160" s="460">
        <f>+COBERTURA_HACIA_TF!U53/1000</f>
        <v>2.4063675839392103E-3</v>
      </c>
      <c r="V160" s="460">
        <f>+COBERTURA_HACIA_TF!V53/1000</f>
        <v>2.4063675839392103E-3</v>
      </c>
      <c r="W160" s="460">
        <f>+COBERTURA_HACIA_TF!W53/1000</f>
        <v>2.4063675839392103E-3</v>
      </c>
      <c r="X160" s="460">
        <f>+COBERTURA_HACIA_TF!X53/1000</f>
        <v>2.4063675839392103E-3</v>
      </c>
      <c r="Y160" s="460">
        <f>+COBERTURA_HACIA_TF!Y53/1000</f>
        <v>2.4063675839392103E-3</v>
      </c>
      <c r="Z160" s="460">
        <f>+COBERTURA_HACIA_TF!Z53/1000</f>
        <v>2.4063675839392103E-3</v>
      </c>
      <c r="AA160" s="460">
        <f>+COBERTURA_HACIA_TF!AA53/1000</f>
        <v>2.4063675839392103E-3</v>
      </c>
      <c r="AB160" s="462">
        <f>+COBERTURA_HACIA_TF!AB53/1000</f>
        <v>2.4063675839392103E-3</v>
      </c>
    </row>
    <row r="161" spans="2:30" x14ac:dyDescent="0.3">
      <c r="B161" s="185" t="s">
        <v>8</v>
      </c>
      <c r="C161" s="460">
        <f>+COBERTURA_HACIA_TF!C54/1000</f>
        <v>3.6433445856569038E-3</v>
      </c>
      <c r="D161" s="460">
        <f>+COBERTURA_HACIA_TF!D54/1000</f>
        <v>3.7686009484533592E-3</v>
      </c>
      <c r="E161" s="460">
        <f>+COBERTURA_HACIA_TF!E54/1000</f>
        <v>3.8849830797853357E-3</v>
      </c>
      <c r="F161" s="460">
        <f>+COBERTURA_HACIA_TF!F54/1000</f>
        <v>3.8775748647566803E-3</v>
      </c>
      <c r="G161" s="460">
        <f>+COBERTURA_HACIA_TF!G54/1000</f>
        <v>3.8704968090414725E-3</v>
      </c>
      <c r="H161" s="460">
        <f>+COBERTURA_HACIA_TF!H54/1000</f>
        <v>7.6101506928468688E-3</v>
      </c>
      <c r="I161" s="460">
        <f>+COBERTURA_HACIA_TF!I54/1000</f>
        <v>1.1340583744215142E-2</v>
      </c>
      <c r="J161" s="460">
        <f>+COBERTURA_HACIA_TF!J54/1000</f>
        <v>3.1121410747727396E-2</v>
      </c>
      <c r="K161" s="467">
        <f>+COBERTURA_HACIA_TF!K54/1000</f>
        <v>5.1119529479389976E-2</v>
      </c>
      <c r="L161" s="467">
        <f>+COBERTURA_HACIA_TF!L54/1000</f>
        <v>1.166907608835943E-3</v>
      </c>
      <c r="M161" s="467">
        <f>+COBERTURA_HACIA_TF!M54/1000</f>
        <v>1.166907608835943E-3</v>
      </c>
      <c r="N161" s="467">
        <f>+COBERTURA_HACIA_TF!N54/1000</f>
        <v>1.8789116502091502E-2</v>
      </c>
      <c r="O161" s="467">
        <f>+COBERTURA_HACIA_TF!O54/1000</f>
        <v>1.8789116502091502E-2</v>
      </c>
      <c r="P161" s="460">
        <f>+COBERTURA_HACIA_TF!P54/1000</f>
        <v>1.8789116502091502E-2</v>
      </c>
      <c r="Q161" s="460">
        <f>+COBERTURA_HACIA_TF!Q54/1000</f>
        <v>1.8789116502091502E-2</v>
      </c>
      <c r="R161" s="460">
        <f>+COBERTURA_HACIA_TF!R54/1000</f>
        <v>1.8789116502091502E-2</v>
      </c>
      <c r="S161" s="460">
        <f>+COBERTURA_HACIA_TF!S54/1000</f>
        <v>1.8789116502091502E-2</v>
      </c>
      <c r="T161" s="460">
        <f>+COBERTURA_HACIA_TF!T54/1000</f>
        <v>1.8789116502091502E-2</v>
      </c>
      <c r="U161" s="460">
        <f>+COBERTURA_HACIA_TF!U54/1000</f>
        <v>1.8789116502091502E-2</v>
      </c>
      <c r="V161" s="460">
        <f>+COBERTURA_HACIA_TF!V54/1000</f>
        <v>1.8789116502091502E-2</v>
      </c>
      <c r="W161" s="460">
        <f>+COBERTURA_HACIA_TF!W54/1000</f>
        <v>1.8789116502091502E-2</v>
      </c>
      <c r="X161" s="460">
        <f>+COBERTURA_HACIA_TF!X54/1000</f>
        <v>1.8789116502091502E-2</v>
      </c>
      <c r="Y161" s="460">
        <f>+COBERTURA_HACIA_TF!Y54/1000</f>
        <v>1.8789116502091502E-2</v>
      </c>
      <c r="Z161" s="460">
        <f>+COBERTURA_HACIA_TF!Z54/1000</f>
        <v>1.8789116502091502E-2</v>
      </c>
      <c r="AA161" s="460">
        <f>+COBERTURA_HACIA_TF!AA54/1000</f>
        <v>1.8789116502091502E-2</v>
      </c>
      <c r="AB161" s="462">
        <f>+COBERTURA_HACIA_TF!AB54/1000</f>
        <v>1.8789116502091502E-2</v>
      </c>
    </row>
    <row r="162" spans="2:30" x14ac:dyDescent="0.3">
      <c r="B162" s="185" t="s">
        <v>9</v>
      </c>
      <c r="C162" s="460">
        <f>+COBERTURA_HACIA_TF!C55/1000</f>
        <v>4.0365408866882124E-4</v>
      </c>
      <c r="D162" s="460">
        <f>+COBERTURA_HACIA_TF!D55/1000</f>
        <v>3.9170687304518472E-4</v>
      </c>
      <c r="E162" s="460">
        <f>+COBERTURA_HACIA_TF!E55/1000</f>
        <v>3.8060610030423407E-4</v>
      </c>
      <c r="F162" s="460">
        <f>+COBERTURA_HACIA_TF!F55/1000</f>
        <v>3.7773181400579389E-4</v>
      </c>
      <c r="G162" s="460">
        <f>+COBERTURA_HACIA_TF!G55/1000</f>
        <v>3.7498562501382801E-4</v>
      </c>
      <c r="H162" s="460">
        <f>+COBERTURA_HACIA_TF!H55/1000</f>
        <v>7.1539357211171221E-4</v>
      </c>
      <c r="I162" s="460">
        <f>+COBERTURA_HACIA_TF!I55/1000</f>
        <v>1.0341646143753095E-3</v>
      </c>
      <c r="J162" s="460">
        <f>+COBERTURA_HACIA_TF!J55/1000</f>
        <v>2.7682163208470989E-3</v>
      </c>
      <c r="K162" s="467">
        <f>+COBERTURA_HACIA_TF!K55/1000</f>
        <v>4.4373028281134335E-3</v>
      </c>
      <c r="L162" s="467">
        <f>+COBERTURA_HACIA_TF!L55/1000</f>
        <v>1.0129049475939356E-4</v>
      </c>
      <c r="M162" s="467">
        <f>+COBERTURA_HACIA_TF!M55/1000</f>
        <v>1.0129049475939356E-4</v>
      </c>
      <c r="N162" s="467">
        <f>+COBERTURA_HACIA_TF!N55/1000</f>
        <v>1.5427518965388429E-3</v>
      </c>
      <c r="O162" s="467">
        <f>+COBERTURA_HACIA_TF!O55/1000</f>
        <v>1.5427518965388429E-3</v>
      </c>
      <c r="P162" s="460">
        <f>+COBERTURA_HACIA_TF!P55/1000</f>
        <v>1.5427518965388429E-3</v>
      </c>
      <c r="Q162" s="460">
        <f>+COBERTURA_HACIA_TF!Q55/1000</f>
        <v>1.5427518965388429E-3</v>
      </c>
      <c r="R162" s="460">
        <f>+COBERTURA_HACIA_TF!R55/1000</f>
        <v>1.5427518965388429E-3</v>
      </c>
      <c r="S162" s="460">
        <f>+COBERTURA_HACIA_TF!S55/1000</f>
        <v>1.5427518965388429E-3</v>
      </c>
      <c r="T162" s="460">
        <f>+COBERTURA_HACIA_TF!T55/1000</f>
        <v>1.5427518965388429E-3</v>
      </c>
      <c r="U162" s="460">
        <f>+COBERTURA_HACIA_TF!U55/1000</f>
        <v>1.5427518965388429E-3</v>
      </c>
      <c r="V162" s="460">
        <f>+COBERTURA_HACIA_TF!V55/1000</f>
        <v>1.5427518965388429E-3</v>
      </c>
      <c r="W162" s="460">
        <f>+COBERTURA_HACIA_TF!W55/1000</f>
        <v>1.5427518965388429E-3</v>
      </c>
      <c r="X162" s="460">
        <f>+COBERTURA_HACIA_TF!X55/1000</f>
        <v>1.5427518965388429E-3</v>
      </c>
      <c r="Y162" s="460">
        <f>+COBERTURA_HACIA_TF!Y55/1000</f>
        <v>1.5427518965388429E-3</v>
      </c>
      <c r="Z162" s="460">
        <f>+COBERTURA_HACIA_TF!Z55/1000</f>
        <v>1.5427518965388429E-3</v>
      </c>
      <c r="AA162" s="460">
        <f>+COBERTURA_HACIA_TF!AA55/1000</f>
        <v>1.5427518965388429E-3</v>
      </c>
      <c r="AB162" s="462">
        <f>+COBERTURA_HACIA_TF!AB55/1000</f>
        <v>1.5427518965388429E-3</v>
      </c>
    </row>
    <row r="163" spans="2:30" x14ac:dyDescent="0.3">
      <c r="B163" s="185" t="s">
        <v>10</v>
      </c>
      <c r="C163" s="460">
        <f>+COBERTURA_HACIA_TF!C56/1000</f>
        <v>1.0024835220064532E-4</v>
      </c>
      <c r="D163" s="460">
        <f>+COBERTURA_HACIA_TF!D56/1000</f>
        <v>9.707915949547024E-5</v>
      </c>
      <c r="E163" s="460">
        <f>+COBERTURA_HACIA_TF!E56/1000</f>
        <v>9.4134499492613575E-5</v>
      </c>
      <c r="F163" s="460">
        <f>+COBERTURA_HACIA_TF!F56/1000</f>
        <v>8.9785423959664056E-5</v>
      </c>
      <c r="G163" s="460">
        <f>+COBERTURA_HACIA_TF!G56/1000</f>
        <v>8.5630172146268003E-5</v>
      </c>
      <c r="H163" s="460">
        <f>+COBERTURA_HACIA_TF!H56/1000</f>
        <v>1.7499995386964065E-4</v>
      </c>
      <c r="I163" s="460">
        <f>+COBERTURA_HACIA_TF!I56/1000</f>
        <v>2.7044941266530538E-4</v>
      </c>
      <c r="J163" s="460">
        <f>+COBERTURA_HACIA_TF!J56/1000</f>
        <v>7.2260730883915141E-4</v>
      </c>
      <c r="K163" s="467">
        <f>+COBERTURA_HACIA_TF!K56/1000</f>
        <v>1.1561694378506202E-3</v>
      </c>
      <c r="L163" s="467">
        <f>+COBERTURA_HACIA_TF!L56/1000</f>
        <v>2.639192746630037E-5</v>
      </c>
      <c r="M163" s="467">
        <f>+COBERTURA_HACIA_TF!M56/1000</f>
        <v>2.639192746630037E-5</v>
      </c>
      <c r="N163" s="467">
        <f>+COBERTURA_HACIA_TF!N56/1000</f>
        <v>6.2923944028494465E-4</v>
      </c>
      <c r="O163" s="467">
        <f>+COBERTURA_HACIA_TF!O56/1000</f>
        <v>6.2923944028494465E-4</v>
      </c>
      <c r="P163" s="460">
        <f>+COBERTURA_HACIA_TF!P56/1000</f>
        <v>6.2923944028494465E-4</v>
      </c>
      <c r="Q163" s="460">
        <f>+COBERTURA_HACIA_TF!Q56/1000</f>
        <v>6.2923944028494465E-4</v>
      </c>
      <c r="R163" s="460">
        <f>+COBERTURA_HACIA_TF!R56/1000</f>
        <v>6.2923944028494465E-4</v>
      </c>
      <c r="S163" s="460">
        <f>+COBERTURA_HACIA_TF!S56/1000</f>
        <v>6.2923944028494465E-4</v>
      </c>
      <c r="T163" s="460">
        <f>+COBERTURA_HACIA_TF!T56/1000</f>
        <v>6.2923944028494465E-4</v>
      </c>
      <c r="U163" s="460">
        <f>+COBERTURA_HACIA_TF!U56/1000</f>
        <v>6.2923944028494465E-4</v>
      </c>
      <c r="V163" s="460">
        <f>+COBERTURA_HACIA_TF!V56/1000</f>
        <v>6.2923944028494465E-4</v>
      </c>
      <c r="W163" s="460">
        <f>+COBERTURA_HACIA_TF!W56/1000</f>
        <v>6.2923944028494465E-4</v>
      </c>
      <c r="X163" s="460">
        <f>+COBERTURA_HACIA_TF!X56/1000</f>
        <v>6.2923944028494465E-4</v>
      </c>
      <c r="Y163" s="460">
        <f>+COBERTURA_HACIA_TF!Y56/1000</f>
        <v>6.2923944028494465E-4</v>
      </c>
      <c r="Z163" s="460">
        <f>+COBERTURA_HACIA_TF!Z56/1000</f>
        <v>6.2923944028494465E-4</v>
      </c>
      <c r="AA163" s="460">
        <f>+COBERTURA_HACIA_TF!AA56/1000</f>
        <v>6.2923944028494465E-4</v>
      </c>
      <c r="AB163" s="462">
        <f>+COBERTURA_HACIA_TF!AB56/1000</f>
        <v>6.2923944028494465E-4</v>
      </c>
    </row>
    <row r="164" spans="2:30" x14ac:dyDescent="0.3">
      <c r="B164" s="185" t="s">
        <v>11</v>
      </c>
      <c r="C164" s="460">
        <f>+COBERTURA_HACIA_TF!C57/1000</f>
        <v>4.1922144906818661E-4</v>
      </c>
      <c r="D164" s="460">
        <f>+COBERTURA_HACIA_TF!D57/1000</f>
        <v>4.0517286662775402E-4</v>
      </c>
      <c r="E164" s="460">
        <f>+COBERTURA_HACIA_TF!E57/1000</f>
        <v>3.9211960585833937E-4</v>
      </c>
      <c r="F164" s="460">
        <f>+COBERTURA_HACIA_TF!F57/1000</f>
        <v>3.8958499403285576E-4</v>
      </c>
      <c r="G164" s="460">
        <f>+COBERTURA_HACIA_TF!G57/1000</f>
        <v>3.8716334136108571E-4</v>
      </c>
      <c r="H164" s="460">
        <f>+COBERTURA_HACIA_TF!H57/1000</f>
        <v>7.7037408093181224E-4</v>
      </c>
      <c r="I164" s="460">
        <f>+COBERTURA_HACIA_TF!I57/1000</f>
        <v>1.1613151149190493E-3</v>
      </c>
      <c r="J164" s="460">
        <f>+COBERTURA_HACIA_TF!J57/1000</f>
        <v>3.1391493428224865E-3</v>
      </c>
      <c r="K164" s="467">
        <f>+COBERTURA_HACIA_TF!K57/1000</f>
        <v>5.0811797506937848E-3</v>
      </c>
      <c r="L164" s="467">
        <f>+COBERTURA_HACIA_TF!L57/1000</f>
        <v>1.1598829984024442E-4</v>
      </c>
      <c r="M164" s="467">
        <f>+COBERTURA_HACIA_TF!M57/1000</f>
        <v>1.1598829984024442E-4</v>
      </c>
      <c r="N164" s="467">
        <f>+COBERTURA_HACIA_TF!N57/1000</f>
        <v>1.7503450361763158E-3</v>
      </c>
      <c r="O164" s="467">
        <f>+COBERTURA_HACIA_TF!O57/1000</f>
        <v>1.7503450361763158E-3</v>
      </c>
      <c r="P164" s="460">
        <f>+COBERTURA_HACIA_TF!P57/1000</f>
        <v>1.7503450361763158E-3</v>
      </c>
      <c r="Q164" s="460">
        <f>+COBERTURA_HACIA_TF!Q57/1000</f>
        <v>1.7503450361763158E-3</v>
      </c>
      <c r="R164" s="460">
        <f>+COBERTURA_HACIA_TF!R57/1000</f>
        <v>1.7503450361763158E-3</v>
      </c>
      <c r="S164" s="460">
        <f>+COBERTURA_HACIA_TF!S57/1000</f>
        <v>1.7503450361763158E-3</v>
      </c>
      <c r="T164" s="460">
        <f>+COBERTURA_HACIA_TF!T57/1000</f>
        <v>1.7503450361763158E-3</v>
      </c>
      <c r="U164" s="460">
        <f>+COBERTURA_HACIA_TF!U57/1000</f>
        <v>1.7503450361763158E-3</v>
      </c>
      <c r="V164" s="460">
        <f>+COBERTURA_HACIA_TF!V57/1000</f>
        <v>1.7503450361763158E-3</v>
      </c>
      <c r="W164" s="460">
        <f>+COBERTURA_HACIA_TF!W57/1000</f>
        <v>1.7503450361763158E-3</v>
      </c>
      <c r="X164" s="460">
        <f>+COBERTURA_HACIA_TF!X57/1000</f>
        <v>1.7503450361763158E-3</v>
      </c>
      <c r="Y164" s="460">
        <f>+COBERTURA_HACIA_TF!Y57/1000</f>
        <v>1.7503450361763158E-3</v>
      </c>
      <c r="Z164" s="460">
        <f>+COBERTURA_HACIA_TF!Z57/1000</f>
        <v>1.7503450361763158E-3</v>
      </c>
      <c r="AA164" s="460">
        <f>+COBERTURA_HACIA_TF!AA57/1000</f>
        <v>1.7503450361763158E-3</v>
      </c>
      <c r="AB164" s="462">
        <f>+COBERTURA_HACIA_TF!AB57/1000</f>
        <v>1.7503450361763158E-3</v>
      </c>
    </row>
    <row r="165" spans="2:30" ht="15" thickBot="1" x14ac:dyDescent="0.35">
      <c r="B165" s="186" t="s">
        <v>12</v>
      </c>
      <c r="C165" s="463">
        <f>+COBERTURA_HACIA_TF!C58/1000</f>
        <v>5.9044140444052139E-5</v>
      </c>
      <c r="D165" s="463">
        <f>+COBERTURA_HACIA_TF!D58/1000</f>
        <v>5.6875730270782288E-5</v>
      </c>
      <c r="E165" s="463">
        <f>+COBERTURA_HACIA_TF!E58/1000</f>
        <v>5.4860948810321191E-5</v>
      </c>
      <c r="F165" s="463">
        <f>+COBERTURA_HACIA_TF!F58/1000</f>
        <v>5.3610602636708646E-5</v>
      </c>
      <c r="G165" s="463">
        <f>+COBERTURA_HACIA_TF!G58/1000</f>
        <v>5.2415980201224569E-5</v>
      </c>
      <c r="H165" s="463">
        <f>+COBERTURA_HACIA_TF!H58/1000</f>
        <v>1.9319562217976586E-4</v>
      </c>
      <c r="I165" s="463">
        <f>+COBERTURA_HACIA_TF!I58/1000</f>
        <v>4.1922161263966101E-4</v>
      </c>
      <c r="J165" s="463">
        <f>+COBERTURA_HACIA_TF!J58/1000</f>
        <v>1.0733793492119388E-3</v>
      </c>
      <c r="K165" s="468">
        <f>+COBERTURA_HACIA_TF!K58/1000</f>
        <v>1.6419470553027569E-3</v>
      </c>
      <c r="L165" s="468">
        <f>+COBERTURA_HACIA_TF!L58/1000</f>
        <v>3.7480793185137553E-5</v>
      </c>
      <c r="M165" s="468">
        <f>+COBERTURA_HACIA_TF!M58/1000</f>
        <v>3.7480793185137553E-5</v>
      </c>
      <c r="N165" s="468">
        <f>+COBERTURA_HACIA_TF!N58/1000</f>
        <v>7.387005571463229E-4</v>
      </c>
      <c r="O165" s="468">
        <f>+COBERTURA_HACIA_TF!O58/1000</f>
        <v>7.387005571463229E-4</v>
      </c>
      <c r="P165" s="463">
        <f>+COBERTURA_HACIA_TF!P58/1000</f>
        <v>7.387005571463229E-4</v>
      </c>
      <c r="Q165" s="463">
        <f>+COBERTURA_HACIA_TF!Q58/1000</f>
        <v>7.387005571463229E-4</v>
      </c>
      <c r="R165" s="463">
        <f>+COBERTURA_HACIA_TF!R58/1000</f>
        <v>7.387005571463229E-4</v>
      </c>
      <c r="S165" s="463">
        <f>+COBERTURA_HACIA_TF!S58/1000</f>
        <v>7.387005571463229E-4</v>
      </c>
      <c r="T165" s="463">
        <f>+COBERTURA_HACIA_TF!T58/1000</f>
        <v>7.387005571463229E-4</v>
      </c>
      <c r="U165" s="463">
        <f>+COBERTURA_HACIA_TF!U58/1000</f>
        <v>7.387005571463229E-4</v>
      </c>
      <c r="V165" s="463">
        <f>+COBERTURA_HACIA_TF!V58/1000</f>
        <v>7.387005571463229E-4</v>
      </c>
      <c r="W165" s="463">
        <f>+COBERTURA_HACIA_TF!W58/1000</f>
        <v>7.387005571463229E-4</v>
      </c>
      <c r="X165" s="463">
        <f>+COBERTURA_HACIA_TF!X58/1000</f>
        <v>7.387005571463229E-4</v>
      </c>
      <c r="Y165" s="463">
        <f>+COBERTURA_HACIA_TF!Y58/1000</f>
        <v>7.387005571463229E-4</v>
      </c>
      <c r="Z165" s="463">
        <f>+COBERTURA_HACIA_TF!Z58/1000</f>
        <v>7.387005571463229E-4</v>
      </c>
      <c r="AA165" s="463">
        <f>+COBERTURA_HACIA_TF!AA58/1000</f>
        <v>7.387005571463229E-4</v>
      </c>
      <c r="AB165" s="465">
        <f>+COBERTURA_HACIA_TF!AB58/1000</f>
        <v>7.387005571463229E-4</v>
      </c>
    </row>
    <row r="166" spans="2:30" ht="15" thickBot="1" x14ac:dyDescent="0.35">
      <c r="B166" s="142" t="s">
        <v>35</v>
      </c>
      <c r="C166" s="337"/>
      <c r="D166" s="337"/>
      <c r="E166" s="337"/>
      <c r="F166" s="337"/>
      <c r="G166" s="337"/>
      <c r="H166" s="337"/>
      <c r="I166" s="337"/>
      <c r="J166" s="337"/>
      <c r="K166" s="337"/>
      <c r="L166" s="337"/>
      <c r="M166" s="337"/>
      <c r="N166" s="337"/>
      <c r="O166" s="337"/>
      <c r="P166" s="337"/>
      <c r="Q166" s="337"/>
      <c r="R166" s="337"/>
      <c r="S166" s="337"/>
      <c r="T166" s="337"/>
      <c r="U166" s="337"/>
      <c r="V166" s="337"/>
      <c r="W166" s="337"/>
      <c r="X166" s="337"/>
      <c r="Y166" s="337"/>
      <c r="Z166" s="337"/>
      <c r="AA166" s="337"/>
      <c r="AB166" s="352"/>
      <c r="AD166" s="417" t="s">
        <v>232</v>
      </c>
    </row>
    <row r="167" spans="2:30" x14ac:dyDescent="0.3">
      <c r="B167" s="191" t="s">
        <v>2</v>
      </c>
      <c r="C167" s="361">
        <f t="shared" ref="C167:O167" si="128">+C145/C156</f>
        <v>-21.198191666666659</v>
      </c>
      <c r="D167" s="361">
        <f t="shared" si="128"/>
        <v>-21.198191666666663</v>
      </c>
      <c r="E167" s="361">
        <f t="shared" si="128"/>
        <v>-21.198191666666663</v>
      </c>
      <c r="F167" s="361">
        <f t="shared" si="128"/>
        <v>-21.198191666666663</v>
      </c>
      <c r="G167" s="361">
        <f t="shared" si="128"/>
        <v>-21.198191666666663</v>
      </c>
      <c r="H167" s="361">
        <f t="shared" si="128"/>
        <v>-21.198191666666666</v>
      </c>
      <c r="I167" s="361">
        <f t="shared" si="128"/>
        <v>-21.198191666666663</v>
      </c>
      <c r="J167" s="361">
        <f t="shared" si="128"/>
        <v>-21.198191666666666</v>
      </c>
      <c r="K167" s="371">
        <f t="shared" si="128"/>
        <v>-21.198191666666666</v>
      </c>
      <c r="L167" s="371">
        <f t="shared" si="128"/>
        <v>-21.198191666666663</v>
      </c>
      <c r="M167" s="371">
        <f t="shared" si="128"/>
        <v>-21.198191666666663</v>
      </c>
      <c r="N167" s="371">
        <f t="shared" si="128"/>
        <v>-21.19819166666667</v>
      </c>
      <c r="O167" s="371">
        <f t="shared" si="128"/>
        <v>-21.19819166666667</v>
      </c>
      <c r="P167" s="340">
        <f>IF(AD167="CONSTANTE",O167,AVERAGE(C167:O167))</f>
        <v>-21.19819166666667</v>
      </c>
      <c r="Q167" s="340">
        <f t="shared" ref="Q167:AB167" si="129">+P167</f>
        <v>-21.19819166666667</v>
      </c>
      <c r="R167" s="340">
        <f t="shared" si="129"/>
        <v>-21.19819166666667</v>
      </c>
      <c r="S167" s="340">
        <f t="shared" si="129"/>
        <v>-21.19819166666667</v>
      </c>
      <c r="T167" s="340">
        <f t="shared" si="129"/>
        <v>-21.19819166666667</v>
      </c>
      <c r="U167" s="340">
        <f t="shared" si="129"/>
        <v>-21.19819166666667</v>
      </c>
      <c r="V167" s="340">
        <f t="shared" si="129"/>
        <v>-21.19819166666667</v>
      </c>
      <c r="W167" s="340">
        <f t="shared" si="129"/>
        <v>-21.19819166666667</v>
      </c>
      <c r="X167" s="340">
        <f t="shared" si="129"/>
        <v>-21.19819166666667</v>
      </c>
      <c r="Y167" s="340">
        <f t="shared" si="129"/>
        <v>-21.19819166666667</v>
      </c>
      <c r="Z167" s="340">
        <f t="shared" si="129"/>
        <v>-21.19819166666667</v>
      </c>
      <c r="AA167" s="340">
        <f t="shared" si="129"/>
        <v>-21.19819166666667</v>
      </c>
      <c r="AB167" s="353">
        <f t="shared" si="129"/>
        <v>-21.19819166666667</v>
      </c>
      <c r="AD167" s="418" t="s">
        <v>233</v>
      </c>
    </row>
    <row r="168" spans="2:30" x14ac:dyDescent="0.3">
      <c r="B168" s="185" t="s">
        <v>4</v>
      </c>
      <c r="C168" s="363">
        <f t="shared" ref="C168:O168" si="130">+C146/C157</f>
        <v>-21.198191666666659</v>
      </c>
      <c r="D168" s="363">
        <f t="shared" si="130"/>
        <v>-21.198191666666666</v>
      </c>
      <c r="E168" s="363">
        <f t="shared" si="130"/>
        <v>-21.198191666666666</v>
      </c>
      <c r="F168" s="363">
        <f t="shared" si="130"/>
        <v>-21.198191666666663</v>
      </c>
      <c r="G168" s="363">
        <f t="shared" si="130"/>
        <v>-21.198191666666663</v>
      </c>
      <c r="H168" s="363">
        <f t="shared" si="130"/>
        <v>-21.19819166666667</v>
      </c>
      <c r="I168" s="363">
        <f t="shared" si="130"/>
        <v>-21.198191666666659</v>
      </c>
      <c r="J168" s="363">
        <f t="shared" si="130"/>
        <v>-21.198191666666666</v>
      </c>
      <c r="K168" s="372">
        <f t="shared" si="130"/>
        <v>-21.198191666666666</v>
      </c>
      <c r="L168" s="372">
        <f t="shared" si="130"/>
        <v>-21.198191666666666</v>
      </c>
      <c r="M168" s="372">
        <f t="shared" si="130"/>
        <v>-21.198191666666666</v>
      </c>
      <c r="N168" s="372">
        <f t="shared" si="130"/>
        <v>-21.198191666666666</v>
      </c>
      <c r="O168" s="372">
        <f t="shared" si="130"/>
        <v>-21.198191666666666</v>
      </c>
      <c r="P168" s="376">
        <f t="shared" ref="P168:P176" si="131">IF(AD168="CONSTANTE",O168,AVERAGE(C168:O168))</f>
        <v>-21.198191666666666</v>
      </c>
      <c r="Q168" s="344">
        <f t="shared" ref="Q168:AB168" si="132">+P168</f>
        <v>-21.198191666666666</v>
      </c>
      <c r="R168" s="344">
        <f t="shared" si="132"/>
        <v>-21.198191666666666</v>
      </c>
      <c r="S168" s="344">
        <f t="shared" si="132"/>
        <v>-21.198191666666666</v>
      </c>
      <c r="T168" s="344">
        <f t="shared" si="132"/>
        <v>-21.198191666666666</v>
      </c>
      <c r="U168" s="344">
        <f t="shared" si="132"/>
        <v>-21.198191666666666</v>
      </c>
      <c r="V168" s="344">
        <f t="shared" si="132"/>
        <v>-21.198191666666666</v>
      </c>
      <c r="W168" s="344">
        <f t="shared" si="132"/>
        <v>-21.198191666666666</v>
      </c>
      <c r="X168" s="344">
        <f t="shared" si="132"/>
        <v>-21.198191666666666</v>
      </c>
      <c r="Y168" s="344">
        <f t="shared" si="132"/>
        <v>-21.198191666666666</v>
      </c>
      <c r="Z168" s="344">
        <f t="shared" si="132"/>
        <v>-21.198191666666666</v>
      </c>
      <c r="AA168" s="344">
        <f t="shared" si="132"/>
        <v>-21.198191666666666</v>
      </c>
      <c r="AB168" s="354">
        <f t="shared" si="132"/>
        <v>-21.198191666666666</v>
      </c>
      <c r="AD168" s="418" t="s">
        <v>233</v>
      </c>
    </row>
    <row r="169" spans="2:30" x14ac:dyDescent="0.3">
      <c r="B169" s="185" t="s">
        <v>5</v>
      </c>
      <c r="C169" s="363">
        <f t="shared" ref="C169:O169" si="133">+C147/C158</f>
        <v>-21.198191666666663</v>
      </c>
      <c r="D169" s="363">
        <f t="shared" si="133"/>
        <v>-21.198191666666663</v>
      </c>
      <c r="E169" s="363">
        <f t="shared" si="133"/>
        <v>-21.198191666666659</v>
      </c>
      <c r="F169" s="363">
        <f t="shared" si="133"/>
        <v>-21.198191666666663</v>
      </c>
      <c r="G169" s="363">
        <f t="shared" si="133"/>
        <v>-21.198191666666666</v>
      </c>
      <c r="H169" s="363">
        <f t="shared" si="133"/>
        <v>-21.19819166666667</v>
      </c>
      <c r="I169" s="363">
        <f t="shared" si="133"/>
        <v>-21.198191666666663</v>
      </c>
      <c r="J169" s="363">
        <f t="shared" si="133"/>
        <v>-21.198191666666663</v>
      </c>
      <c r="K169" s="372">
        <f t="shared" si="133"/>
        <v>-21.198191666666666</v>
      </c>
      <c r="L169" s="372">
        <f t="shared" si="133"/>
        <v>-21.198191666666666</v>
      </c>
      <c r="M169" s="372">
        <f t="shared" si="133"/>
        <v>-21.198191666666666</v>
      </c>
      <c r="N169" s="372">
        <f t="shared" si="133"/>
        <v>-21.198191666666663</v>
      </c>
      <c r="O169" s="372">
        <f t="shared" si="133"/>
        <v>-21.198191666666663</v>
      </c>
      <c r="P169" s="376">
        <f t="shared" si="131"/>
        <v>-21.198191666666663</v>
      </c>
      <c r="Q169" s="344">
        <f t="shared" ref="Q169:AB169" si="134">+P169</f>
        <v>-21.198191666666663</v>
      </c>
      <c r="R169" s="344">
        <f t="shared" si="134"/>
        <v>-21.198191666666663</v>
      </c>
      <c r="S169" s="344">
        <f t="shared" si="134"/>
        <v>-21.198191666666663</v>
      </c>
      <c r="T169" s="344">
        <f t="shared" si="134"/>
        <v>-21.198191666666663</v>
      </c>
      <c r="U169" s="344">
        <f t="shared" si="134"/>
        <v>-21.198191666666663</v>
      </c>
      <c r="V169" s="344">
        <f t="shared" si="134"/>
        <v>-21.198191666666663</v>
      </c>
      <c r="W169" s="344">
        <f t="shared" si="134"/>
        <v>-21.198191666666663</v>
      </c>
      <c r="X169" s="344">
        <f t="shared" si="134"/>
        <v>-21.198191666666663</v>
      </c>
      <c r="Y169" s="344">
        <f t="shared" si="134"/>
        <v>-21.198191666666663</v>
      </c>
      <c r="Z169" s="344">
        <f t="shared" si="134"/>
        <v>-21.198191666666663</v>
      </c>
      <c r="AA169" s="344">
        <f t="shared" si="134"/>
        <v>-21.198191666666663</v>
      </c>
      <c r="AB169" s="354">
        <f t="shared" si="134"/>
        <v>-21.198191666666663</v>
      </c>
      <c r="AD169" s="418" t="s">
        <v>233</v>
      </c>
    </row>
    <row r="170" spans="2:30" x14ac:dyDescent="0.3">
      <c r="B170" s="185" t="s">
        <v>6</v>
      </c>
      <c r="C170" s="363">
        <f t="shared" ref="C170:O170" si="135">+C148/C159</f>
        <v>-21.198191666666663</v>
      </c>
      <c r="D170" s="363">
        <f t="shared" si="135"/>
        <v>-21.198191666666663</v>
      </c>
      <c r="E170" s="363">
        <f t="shared" si="135"/>
        <v>-21.198191666666663</v>
      </c>
      <c r="F170" s="363">
        <f t="shared" si="135"/>
        <v>-21.198191666666663</v>
      </c>
      <c r="G170" s="363">
        <f t="shared" si="135"/>
        <v>-21.198191666666663</v>
      </c>
      <c r="H170" s="363">
        <f t="shared" si="135"/>
        <v>-21.19819166666667</v>
      </c>
      <c r="I170" s="363">
        <f t="shared" si="135"/>
        <v>-21.198191666666663</v>
      </c>
      <c r="J170" s="363">
        <f t="shared" si="135"/>
        <v>-21.198191666666666</v>
      </c>
      <c r="K170" s="372">
        <f t="shared" si="135"/>
        <v>-21.198191666666666</v>
      </c>
      <c r="L170" s="372">
        <f t="shared" si="135"/>
        <v>-21.198191666666663</v>
      </c>
      <c r="M170" s="372">
        <f t="shared" si="135"/>
        <v>-21.198191666666663</v>
      </c>
      <c r="N170" s="372">
        <f t="shared" si="135"/>
        <v>-21.198191666666666</v>
      </c>
      <c r="O170" s="372">
        <f t="shared" si="135"/>
        <v>-21.198191666666666</v>
      </c>
      <c r="P170" s="376">
        <f t="shared" si="131"/>
        <v>-21.198191666666666</v>
      </c>
      <c r="Q170" s="344">
        <f t="shared" ref="Q170:AB170" si="136">+P170</f>
        <v>-21.198191666666666</v>
      </c>
      <c r="R170" s="344">
        <f t="shared" si="136"/>
        <v>-21.198191666666666</v>
      </c>
      <c r="S170" s="344">
        <f t="shared" si="136"/>
        <v>-21.198191666666666</v>
      </c>
      <c r="T170" s="344">
        <f t="shared" si="136"/>
        <v>-21.198191666666666</v>
      </c>
      <c r="U170" s="344">
        <f t="shared" si="136"/>
        <v>-21.198191666666666</v>
      </c>
      <c r="V170" s="344">
        <f t="shared" si="136"/>
        <v>-21.198191666666666</v>
      </c>
      <c r="W170" s="344">
        <f t="shared" si="136"/>
        <v>-21.198191666666666</v>
      </c>
      <c r="X170" s="344">
        <f t="shared" si="136"/>
        <v>-21.198191666666666</v>
      </c>
      <c r="Y170" s="344">
        <f t="shared" si="136"/>
        <v>-21.198191666666666</v>
      </c>
      <c r="Z170" s="344">
        <f t="shared" si="136"/>
        <v>-21.198191666666666</v>
      </c>
      <c r="AA170" s="344">
        <f t="shared" si="136"/>
        <v>-21.198191666666666</v>
      </c>
      <c r="AB170" s="354">
        <f t="shared" si="136"/>
        <v>-21.198191666666666</v>
      </c>
      <c r="AD170" s="418" t="s">
        <v>233</v>
      </c>
    </row>
    <row r="171" spans="2:30" x14ac:dyDescent="0.3">
      <c r="B171" s="185" t="s">
        <v>7</v>
      </c>
      <c r="C171" s="363">
        <f t="shared" ref="C171:O171" si="137">+C149/C160</f>
        <v>-21.198191666666663</v>
      </c>
      <c r="D171" s="363">
        <f t="shared" si="137"/>
        <v>-21.198191666666663</v>
      </c>
      <c r="E171" s="363">
        <f t="shared" si="137"/>
        <v>-21.198191666666663</v>
      </c>
      <c r="F171" s="363">
        <f t="shared" si="137"/>
        <v>-21.198191666666663</v>
      </c>
      <c r="G171" s="363">
        <f t="shared" si="137"/>
        <v>-21.198191666666663</v>
      </c>
      <c r="H171" s="363">
        <f t="shared" si="137"/>
        <v>-21.198191666666666</v>
      </c>
      <c r="I171" s="363">
        <f t="shared" si="137"/>
        <v>-21.198191666666666</v>
      </c>
      <c r="J171" s="363">
        <f t="shared" si="137"/>
        <v>-21.198191666666666</v>
      </c>
      <c r="K171" s="372">
        <f t="shared" si="137"/>
        <v>-21.19819166666667</v>
      </c>
      <c r="L171" s="372">
        <f t="shared" si="137"/>
        <v>-21.198191666666663</v>
      </c>
      <c r="M171" s="372">
        <f t="shared" si="137"/>
        <v>-21.198191666666663</v>
      </c>
      <c r="N171" s="372">
        <f t="shared" si="137"/>
        <v>-21.198191666666666</v>
      </c>
      <c r="O171" s="372">
        <f t="shared" si="137"/>
        <v>-21.198191666666666</v>
      </c>
      <c r="P171" s="376">
        <f t="shared" si="131"/>
        <v>-21.198191666666666</v>
      </c>
      <c r="Q171" s="344">
        <f t="shared" ref="Q171:AB171" si="138">+P171</f>
        <v>-21.198191666666666</v>
      </c>
      <c r="R171" s="344">
        <f t="shared" si="138"/>
        <v>-21.198191666666666</v>
      </c>
      <c r="S171" s="344">
        <f t="shared" si="138"/>
        <v>-21.198191666666666</v>
      </c>
      <c r="T171" s="344">
        <f t="shared" si="138"/>
        <v>-21.198191666666666</v>
      </c>
      <c r="U171" s="344">
        <f t="shared" si="138"/>
        <v>-21.198191666666666</v>
      </c>
      <c r="V171" s="344">
        <f t="shared" si="138"/>
        <v>-21.198191666666666</v>
      </c>
      <c r="W171" s="344">
        <f t="shared" si="138"/>
        <v>-21.198191666666666</v>
      </c>
      <c r="X171" s="344">
        <f t="shared" si="138"/>
        <v>-21.198191666666666</v>
      </c>
      <c r="Y171" s="344">
        <f t="shared" si="138"/>
        <v>-21.198191666666666</v>
      </c>
      <c r="Z171" s="344">
        <f t="shared" si="138"/>
        <v>-21.198191666666666</v>
      </c>
      <c r="AA171" s="344">
        <f t="shared" si="138"/>
        <v>-21.198191666666666</v>
      </c>
      <c r="AB171" s="354">
        <f t="shared" si="138"/>
        <v>-21.198191666666666</v>
      </c>
      <c r="AD171" s="418" t="s">
        <v>233</v>
      </c>
    </row>
    <row r="172" spans="2:30" x14ac:dyDescent="0.3">
      <c r="B172" s="185" t="s">
        <v>8</v>
      </c>
      <c r="C172" s="363">
        <f t="shared" ref="C172:O172" si="139">+C150/C161</f>
        <v>-21.198191666666663</v>
      </c>
      <c r="D172" s="363">
        <f t="shared" si="139"/>
        <v>-21.198191666666663</v>
      </c>
      <c r="E172" s="363">
        <f t="shared" si="139"/>
        <v>-21.198191666666663</v>
      </c>
      <c r="F172" s="363">
        <f t="shared" si="139"/>
        <v>-21.198191666666663</v>
      </c>
      <c r="G172" s="363">
        <f t="shared" si="139"/>
        <v>-21.198191666666663</v>
      </c>
      <c r="H172" s="363">
        <f t="shared" si="139"/>
        <v>-21.198191666666666</v>
      </c>
      <c r="I172" s="363">
        <f t="shared" si="139"/>
        <v>-21.198191666666663</v>
      </c>
      <c r="J172" s="363">
        <f t="shared" si="139"/>
        <v>-21.198191666666663</v>
      </c>
      <c r="K172" s="372">
        <f t="shared" si="139"/>
        <v>-21.198191666666666</v>
      </c>
      <c r="L172" s="372">
        <f t="shared" si="139"/>
        <v>-21.198191666666666</v>
      </c>
      <c r="M172" s="372">
        <f t="shared" si="139"/>
        <v>-21.198191666666666</v>
      </c>
      <c r="N172" s="372">
        <f t="shared" si="139"/>
        <v>-21.198191666666666</v>
      </c>
      <c r="O172" s="372">
        <f t="shared" si="139"/>
        <v>-21.198191666666666</v>
      </c>
      <c r="P172" s="376">
        <f t="shared" si="131"/>
        <v>-21.198191666666666</v>
      </c>
      <c r="Q172" s="344">
        <f t="shared" ref="Q172:AB172" si="140">+P172</f>
        <v>-21.198191666666666</v>
      </c>
      <c r="R172" s="344">
        <f t="shared" si="140"/>
        <v>-21.198191666666666</v>
      </c>
      <c r="S172" s="344">
        <f t="shared" si="140"/>
        <v>-21.198191666666666</v>
      </c>
      <c r="T172" s="344">
        <f t="shared" si="140"/>
        <v>-21.198191666666666</v>
      </c>
      <c r="U172" s="344">
        <f t="shared" si="140"/>
        <v>-21.198191666666666</v>
      </c>
      <c r="V172" s="344">
        <f t="shared" si="140"/>
        <v>-21.198191666666666</v>
      </c>
      <c r="W172" s="344">
        <f t="shared" si="140"/>
        <v>-21.198191666666666</v>
      </c>
      <c r="X172" s="344">
        <f t="shared" si="140"/>
        <v>-21.198191666666666</v>
      </c>
      <c r="Y172" s="344">
        <f t="shared" si="140"/>
        <v>-21.198191666666666</v>
      </c>
      <c r="Z172" s="344">
        <f t="shared" si="140"/>
        <v>-21.198191666666666</v>
      </c>
      <c r="AA172" s="344">
        <f t="shared" si="140"/>
        <v>-21.198191666666666</v>
      </c>
      <c r="AB172" s="354">
        <f t="shared" si="140"/>
        <v>-21.198191666666666</v>
      </c>
      <c r="AD172" s="418" t="s">
        <v>233</v>
      </c>
    </row>
    <row r="173" spans="2:30" x14ac:dyDescent="0.3">
      <c r="B173" s="185" t="s">
        <v>9</v>
      </c>
      <c r="C173" s="363">
        <f t="shared" ref="C173:O173" si="141">+C151/C162</f>
        <v>-21.198191666666663</v>
      </c>
      <c r="D173" s="363">
        <f t="shared" si="141"/>
        <v>-21.198191666666659</v>
      </c>
      <c r="E173" s="363">
        <f t="shared" si="141"/>
        <v>-21.198191666666663</v>
      </c>
      <c r="F173" s="363">
        <f t="shared" si="141"/>
        <v>-21.198191666666663</v>
      </c>
      <c r="G173" s="363">
        <f t="shared" si="141"/>
        <v>-21.198191666666659</v>
      </c>
      <c r="H173" s="363">
        <f t="shared" si="141"/>
        <v>-21.198191666666666</v>
      </c>
      <c r="I173" s="363">
        <f t="shared" si="141"/>
        <v>-21.198191666666663</v>
      </c>
      <c r="J173" s="363">
        <f t="shared" si="141"/>
        <v>-21.198191666666666</v>
      </c>
      <c r="K173" s="372">
        <f t="shared" si="141"/>
        <v>-21.198191666666666</v>
      </c>
      <c r="L173" s="372">
        <f t="shared" si="141"/>
        <v>-21.198191666666663</v>
      </c>
      <c r="M173" s="372">
        <f t="shared" si="141"/>
        <v>-21.198191666666663</v>
      </c>
      <c r="N173" s="372">
        <f t="shared" si="141"/>
        <v>-21.19819166666667</v>
      </c>
      <c r="O173" s="372">
        <f t="shared" si="141"/>
        <v>-21.19819166666667</v>
      </c>
      <c r="P173" s="376">
        <f t="shared" si="131"/>
        <v>-21.19819166666667</v>
      </c>
      <c r="Q173" s="344">
        <f t="shared" ref="Q173:AB173" si="142">+P173</f>
        <v>-21.19819166666667</v>
      </c>
      <c r="R173" s="344">
        <f t="shared" si="142"/>
        <v>-21.19819166666667</v>
      </c>
      <c r="S173" s="344">
        <f t="shared" si="142"/>
        <v>-21.19819166666667</v>
      </c>
      <c r="T173" s="344">
        <f t="shared" si="142"/>
        <v>-21.19819166666667</v>
      </c>
      <c r="U173" s="344">
        <f t="shared" si="142"/>
        <v>-21.19819166666667</v>
      </c>
      <c r="V173" s="344">
        <f t="shared" si="142"/>
        <v>-21.19819166666667</v>
      </c>
      <c r="W173" s="344">
        <f t="shared" si="142"/>
        <v>-21.19819166666667</v>
      </c>
      <c r="X173" s="344">
        <f t="shared" si="142"/>
        <v>-21.19819166666667</v>
      </c>
      <c r="Y173" s="344">
        <f t="shared" si="142"/>
        <v>-21.19819166666667</v>
      </c>
      <c r="Z173" s="344">
        <f t="shared" si="142"/>
        <v>-21.19819166666667</v>
      </c>
      <c r="AA173" s="344">
        <f t="shared" si="142"/>
        <v>-21.19819166666667</v>
      </c>
      <c r="AB173" s="354">
        <f t="shared" si="142"/>
        <v>-21.19819166666667</v>
      </c>
      <c r="AD173" s="418" t="s">
        <v>233</v>
      </c>
    </row>
    <row r="174" spans="2:30" x14ac:dyDescent="0.3">
      <c r="B174" s="185" t="s">
        <v>10</v>
      </c>
      <c r="C174" s="363">
        <f t="shared" ref="C174:O174" si="143">+C152/C163</f>
        <v>-21.198191666666663</v>
      </c>
      <c r="D174" s="363">
        <f t="shared" si="143"/>
        <v>-21.198191666666666</v>
      </c>
      <c r="E174" s="363">
        <f t="shared" si="143"/>
        <v>-21.198191666666663</v>
      </c>
      <c r="F174" s="363">
        <f t="shared" si="143"/>
        <v>-21.198191666666663</v>
      </c>
      <c r="G174" s="363">
        <f t="shared" si="143"/>
        <v>-21.198191666666663</v>
      </c>
      <c r="H174" s="363">
        <f t="shared" si="143"/>
        <v>-21.19819166666667</v>
      </c>
      <c r="I174" s="363">
        <f t="shared" si="143"/>
        <v>-21.198191666666659</v>
      </c>
      <c r="J174" s="363">
        <f t="shared" si="143"/>
        <v>-21.198191666666666</v>
      </c>
      <c r="K174" s="372">
        <f t="shared" si="143"/>
        <v>-21.198191666666663</v>
      </c>
      <c r="L174" s="372">
        <f t="shared" si="143"/>
        <v>-21.198191666666663</v>
      </c>
      <c r="M174" s="372">
        <f t="shared" si="143"/>
        <v>-21.198191666666663</v>
      </c>
      <c r="N174" s="372">
        <f t="shared" si="143"/>
        <v>-21.198191666666666</v>
      </c>
      <c r="O174" s="372">
        <f t="shared" si="143"/>
        <v>-21.198191666666666</v>
      </c>
      <c r="P174" s="376">
        <f t="shared" si="131"/>
        <v>-21.198191666666666</v>
      </c>
      <c r="Q174" s="344">
        <f t="shared" ref="Q174:AB174" si="144">+P174</f>
        <v>-21.198191666666666</v>
      </c>
      <c r="R174" s="344">
        <f t="shared" si="144"/>
        <v>-21.198191666666666</v>
      </c>
      <c r="S174" s="344">
        <f t="shared" si="144"/>
        <v>-21.198191666666666</v>
      </c>
      <c r="T174" s="344">
        <f t="shared" si="144"/>
        <v>-21.198191666666666</v>
      </c>
      <c r="U174" s="344">
        <f t="shared" si="144"/>
        <v>-21.198191666666666</v>
      </c>
      <c r="V174" s="344">
        <f t="shared" si="144"/>
        <v>-21.198191666666666</v>
      </c>
      <c r="W174" s="344">
        <f t="shared" si="144"/>
        <v>-21.198191666666666</v>
      </c>
      <c r="X174" s="344">
        <f t="shared" si="144"/>
        <v>-21.198191666666666</v>
      </c>
      <c r="Y174" s="344">
        <f t="shared" si="144"/>
        <v>-21.198191666666666</v>
      </c>
      <c r="Z174" s="344">
        <f t="shared" si="144"/>
        <v>-21.198191666666666</v>
      </c>
      <c r="AA174" s="344">
        <f t="shared" si="144"/>
        <v>-21.198191666666666</v>
      </c>
      <c r="AB174" s="354">
        <f t="shared" si="144"/>
        <v>-21.198191666666666</v>
      </c>
      <c r="AD174" s="418" t="s">
        <v>233</v>
      </c>
    </row>
    <row r="175" spans="2:30" x14ac:dyDescent="0.3">
      <c r="B175" s="185" t="s">
        <v>11</v>
      </c>
      <c r="C175" s="363">
        <f t="shared" ref="C175:O175" si="145">+C153/C164</f>
        <v>-21.198191666666659</v>
      </c>
      <c r="D175" s="363">
        <f t="shared" si="145"/>
        <v>-21.198191666666663</v>
      </c>
      <c r="E175" s="363">
        <f t="shared" si="145"/>
        <v>-21.198191666666666</v>
      </c>
      <c r="F175" s="363">
        <f t="shared" si="145"/>
        <v>-21.198191666666663</v>
      </c>
      <c r="G175" s="363">
        <f t="shared" si="145"/>
        <v>-21.198191666666659</v>
      </c>
      <c r="H175" s="363">
        <f t="shared" si="145"/>
        <v>-21.19819166666667</v>
      </c>
      <c r="I175" s="363">
        <f t="shared" si="145"/>
        <v>-21.198191666666659</v>
      </c>
      <c r="J175" s="363">
        <f t="shared" si="145"/>
        <v>-21.198191666666663</v>
      </c>
      <c r="K175" s="372">
        <f t="shared" si="145"/>
        <v>-21.198191666666666</v>
      </c>
      <c r="L175" s="372">
        <f t="shared" si="145"/>
        <v>-21.198191666666663</v>
      </c>
      <c r="M175" s="372">
        <f t="shared" si="145"/>
        <v>-21.198191666666663</v>
      </c>
      <c r="N175" s="372">
        <f t="shared" si="145"/>
        <v>-21.198191666666666</v>
      </c>
      <c r="O175" s="372">
        <f t="shared" si="145"/>
        <v>-21.198191666666666</v>
      </c>
      <c r="P175" s="376">
        <f t="shared" si="131"/>
        <v>-21.198191666666666</v>
      </c>
      <c r="Q175" s="344">
        <f t="shared" ref="Q175:AB175" si="146">+P175</f>
        <v>-21.198191666666666</v>
      </c>
      <c r="R175" s="344">
        <f t="shared" si="146"/>
        <v>-21.198191666666666</v>
      </c>
      <c r="S175" s="344">
        <f t="shared" si="146"/>
        <v>-21.198191666666666</v>
      </c>
      <c r="T175" s="344">
        <f t="shared" si="146"/>
        <v>-21.198191666666666</v>
      </c>
      <c r="U175" s="344">
        <f t="shared" si="146"/>
        <v>-21.198191666666666</v>
      </c>
      <c r="V175" s="344">
        <f t="shared" si="146"/>
        <v>-21.198191666666666</v>
      </c>
      <c r="W175" s="344">
        <f t="shared" si="146"/>
        <v>-21.198191666666666</v>
      </c>
      <c r="X175" s="344">
        <f t="shared" si="146"/>
        <v>-21.198191666666666</v>
      </c>
      <c r="Y175" s="344">
        <f t="shared" si="146"/>
        <v>-21.198191666666666</v>
      </c>
      <c r="Z175" s="344">
        <f t="shared" si="146"/>
        <v>-21.198191666666666</v>
      </c>
      <c r="AA175" s="344">
        <f t="shared" si="146"/>
        <v>-21.198191666666666</v>
      </c>
      <c r="AB175" s="354">
        <f t="shared" si="146"/>
        <v>-21.198191666666666</v>
      </c>
      <c r="AD175" s="418" t="s">
        <v>233</v>
      </c>
    </row>
    <row r="176" spans="2:30" ht="15" thickBot="1" x14ac:dyDescent="0.35">
      <c r="B176" s="186" t="s">
        <v>12</v>
      </c>
      <c r="C176" s="365">
        <f t="shared" ref="C176:O176" si="147">+C154/C165</f>
        <v>-21.198191666666663</v>
      </c>
      <c r="D176" s="365">
        <f t="shared" si="147"/>
        <v>-21.198191666666659</v>
      </c>
      <c r="E176" s="365">
        <f t="shared" si="147"/>
        <v>-21.198191666666663</v>
      </c>
      <c r="F176" s="365">
        <f t="shared" si="147"/>
        <v>-21.198191666666663</v>
      </c>
      <c r="G176" s="365">
        <f t="shared" si="147"/>
        <v>-21.198191666666659</v>
      </c>
      <c r="H176" s="365">
        <f t="shared" si="147"/>
        <v>-21.19819166666667</v>
      </c>
      <c r="I176" s="365">
        <f t="shared" si="147"/>
        <v>-21.198191666666663</v>
      </c>
      <c r="J176" s="365">
        <f t="shared" si="147"/>
        <v>-21.198191666666666</v>
      </c>
      <c r="K176" s="373">
        <f t="shared" si="147"/>
        <v>-21.198191666666663</v>
      </c>
      <c r="L176" s="373">
        <f t="shared" si="147"/>
        <v>-21.198191666666666</v>
      </c>
      <c r="M176" s="373">
        <f t="shared" si="147"/>
        <v>-21.198191666666666</v>
      </c>
      <c r="N176" s="373">
        <f t="shared" si="147"/>
        <v>-21.198191666666666</v>
      </c>
      <c r="O176" s="373">
        <f t="shared" si="147"/>
        <v>-21.198191666666666</v>
      </c>
      <c r="P176" s="383">
        <f t="shared" si="131"/>
        <v>-21.198191666666666</v>
      </c>
      <c r="Q176" s="348">
        <f t="shared" ref="Q176:AB176" si="148">+P176</f>
        <v>-21.198191666666666</v>
      </c>
      <c r="R176" s="348">
        <f t="shared" si="148"/>
        <v>-21.198191666666666</v>
      </c>
      <c r="S176" s="348">
        <f t="shared" si="148"/>
        <v>-21.198191666666666</v>
      </c>
      <c r="T176" s="348">
        <f t="shared" si="148"/>
        <v>-21.198191666666666</v>
      </c>
      <c r="U176" s="348">
        <f t="shared" si="148"/>
        <v>-21.198191666666666</v>
      </c>
      <c r="V176" s="348">
        <f t="shared" si="148"/>
        <v>-21.198191666666666</v>
      </c>
      <c r="W176" s="348">
        <f t="shared" si="148"/>
        <v>-21.198191666666666</v>
      </c>
      <c r="X176" s="348">
        <f t="shared" si="148"/>
        <v>-21.198191666666666</v>
      </c>
      <c r="Y176" s="348">
        <f t="shared" si="148"/>
        <v>-21.198191666666666</v>
      </c>
      <c r="Z176" s="348">
        <f t="shared" si="148"/>
        <v>-21.198191666666666</v>
      </c>
      <c r="AA176" s="348">
        <f t="shared" si="148"/>
        <v>-21.198191666666666</v>
      </c>
      <c r="AB176" s="355">
        <f t="shared" si="148"/>
        <v>-21.198191666666666</v>
      </c>
      <c r="AD176" s="419" t="s">
        <v>233</v>
      </c>
    </row>
    <row r="177" spans="2:28" ht="15" thickBot="1" x14ac:dyDescent="0.35"/>
    <row r="178" spans="2:28" ht="15" thickBot="1" x14ac:dyDescent="0.35">
      <c r="B178" s="191" t="s">
        <v>231</v>
      </c>
      <c r="C178" s="367">
        <v>2010</v>
      </c>
      <c r="D178" s="367">
        <v>2011</v>
      </c>
      <c r="E178" s="367">
        <v>2012</v>
      </c>
      <c r="F178" s="367">
        <v>2013</v>
      </c>
      <c r="G178" s="367">
        <v>2014</v>
      </c>
      <c r="H178" s="367">
        <v>2015</v>
      </c>
      <c r="I178" s="367">
        <v>2016</v>
      </c>
      <c r="J178" s="367">
        <v>2017</v>
      </c>
      <c r="K178" s="367">
        <v>2018</v>
      </c>
      <c r="L178" s="367">
        <v>2019</v>
      </c>
      <c r="M178" s="367">
        <v>2020</v>
      </c>
      <c r="N178" s="367">
        <v>2021</v>
      </c>
      <c r="O178" s="367">
        <v>2022</v>
      </c>
      <c r="P178" s="367">
        <v>2023</v>
      </c>
      <c r="Q178" s="367">
        <v>2024</v>
      </c>
      <c r="R178" s="367">
        <v>2025</v>
      </c>
      <c r="S178" s="367">
        <v>2026</v>
      </c>
      <c r="T178" s="367">
        <v>2027</v>
      </c>
      <c r="U178" s="367">
        <v>2028</v>
      </c>
      <c r="V178" s="367">
        <v>2029</v>
      </c>
      <c r="W178" s="367">
        <v>2030</v>
      </c>
      <c r="X178" s="367">
        <v>2031</v>
      </c>
      <c r="Y178" s="367">
        <v>2032</v>
      </c>
      <c r="Z178" s="367">
        <v>2033</v>
      </c>
      <c r="AA178" s="367">
        <v>2034</v>
      </c>
      <c r="AB178" s="368">
        <v>2035</v>
      </c>
    </row>
    <row r="179" spans="2:28" x14ac:dyDescent="0.3">
      <c r="B179" s="369" t="s">
        <v>20</v>
      </c>
      <c r="C179" s="361">
        <f>+C3</f>
        <v>-14847.231389105997</v>
      </c>
      <c r="D179" s="361">
        <f t="shared" ref="D179:AB179" si="149">+D3</f>
        <v>-16094.970144438628</v>
      </c>
      <c r="E179" s="361">
        <f t="shared" si="149"/>
        <v>-17342.70889977126</v>
      </c>
      <c r="F179" s="361">
        <f t="shared" si="149"/>
        <v>-18167.069473224245</v>
      </c>
      <c r="G179" s="361">
        <f t="shared" si="149"/>
        <v>-18991.430046677237</v>
      </c>
      <c r="H179" s="361">
        <f t="shared" si="149"/>
        <v>-18595.446144527188</v>
      </c>
      <c r="I179" s="361">
        <f t="shared" si="149"/>
        <v>-18199.462242377147</v>
      </c>
      <c r="J179" s="361">
        <f t="shared" si="149"/>
        <v>-19541.652593002706</v>
      </c>
      <c r="K179" s="362">
        <f t="shared" si="149"/>
        <v>-20883.842943628264</v>
      </c>
      <c r="L179" s="362">
        <f t="shared" si="149"/>
        <v>-21497.47159225541</v>
      </c>
      <c r="M179" s="362">
        <f t="shared" si="149"/>
        <v>-21095.745220344306</v>
      </c>
      <c r="N179" s="362">
        <f t="shared" si="149"/>
        <v>-18176.499946502554</v>
      </c>
      <c r="O179" s="362">
        <f t="shared" si="149"/>
        <v>-16962.798101735618</v>
      </c>
      <c r="P179" s="342">
        <f t="shared" si="149"/>
        <v>-16145.5878944164</v>
      </c>
      <c r="Q179" s="342">
        <f t="shared" si="149"/>
        <v>-16137.676556348135</v>
      </c>
      <c r="R179" s="342">
        <f t="shared" si="149"/>
        <v>-16129.769094835523</v>
      </c>
      <c r="S179" s="342">
        <f t="shared" si="149"/>
        <v>-16121.865507979055</v>
      </c>
      <c r="T179" s="342">
        <f t="shared" si="149"/>
        <v>-16113.965793880143</v>
      </c>
      <c r="U179" s="342">
        <f t="shared" si="149"/>
        <v>-16106.069950641147</v>
      </c>
      <c r="V179" s="342">
        <f t="shared" si="149"/>
        <v>-16098.177976365339</v>
      </c>
      <c r="W179" s="342">
        <f t="shared" si="149"/>
        <v>-16090.289869156912</v>
      </c>
      <c r="X179" s="342">
        <f t="shared" si="149"/>
        <v>-16082.405627121028</v>
      </c>
      <c r="Y179" s="342">
        <f t="shared" si="149"/>
        <v>-16074.525248363738</v>
      </c>
      <c r="Z179" s="342">
        <f t="shared" si="149"/>
        <v>-16066.648730992039</v>
      </c>
      <c r="AA179" s="342">
        <f t="shared" si="149"/>
        <v>-16058.776073113851</v>
      </c>
      <c r="AB179" s="343">
        <f t="shared" si="149"/>
        <v>-16050.907272838029</v>
      </c>
    </row>
    <row r="180" spans="2:28" ht="15" thickBot="1" x14ac:dyDescent="0.35">
      <c r="B180" s="370" t="s">
        <v>37</v>
      </c>
      <c r="C180" s="363">
        <f>+C38+C73+C109+C144</f>
        <v>-307.52534623708334</v>
      </c>
      <c r="D180" s="363">
        <f t="shared" ref="D180:AB180" si="150">+D38+D73+D109+D144</f>
        <v>-307.52534623708334</v>
      </c>
      <c r="E180" s="363">
        <f t="shared" si="150"/>
        <v>-307.52534623708334</v>
      </c>
      <c r="F180" s="363">
        <f t="shared" si="150"/>
        <v>-307.52534623708334</v>
      </c>
      <c r="G180" s="363">
        <f t="shared" si="150"/>
        <v>-307.52534623708334</v>
      </c>
      <c r="H180" s="363">
        <f t="shared" si="150"/>
        <v>-243.06005551437499</v>
      </c>
      <c r="I180" s="363">
        <f t="shared" si="150"/>
        <v>-178.59476479166671</v>
      </c>
      <c r="J180" s="363">
        <f t="shared" si="150"/>
        <v>-221.67563773391663</v>
      </c>
      <c r="K180" s="364">
        <f t="shared" si="150"/>
        <v>-264.75651067616661</v>
      </c>
      <c r="L180" s="364">
        <f t="shared" si="150"/>
        <v>-9.3666329698333328</v>
      </c>
      <c r="M180" s="364">
        <f t="shared" si="150"/>
        <v>-9.3666329698333328</v>
      </c>
      <c r="N180" s="364">
        <f t="shared" si="150"/>
        <v>-51.356223005083322</v>
      </c>
      <c r="O180" s="364">
        <f t="shared" si="150"/>
        <v>-51.356223005083322</v>
      </c>
      <c r="P180" s="346">
        <f t="shared" si="150"/>
        <v>-51.356223005083329</v>
      </c>
      <c r="Q180" s="346">
        <f t="shared" si="150"/>
        <v>-51.356223005083329</v>
      </c>
      <c r="R180" s="346">
        <f t="shared" si="150"/>
        <v>-51.356223005083329</v>
      </c>
      <c r="S180" s="346">
        <f t="shared" si="150"/>
        <v>-51.356223005083329</v>
      </c>
      <c r="T180" s="346">
        <f t="shared" si="150"/>
        <v>-51.356223005083329</v>
      </c>
      <c r="U180" s="346">
        <f t="shared" si="150"/>
        <v>-51.356223005083329</v>
      </c>
      <c r="V180" s="346">
        <f t="shared" si="150"/>
        <v>-51.356223005083329</v>
      </c>
      <c r="W180" s="346">
        <f t="shared" si="150"/>
        <v>-51.356223005083329</v>
      </c>
      <c r="X180" s="346">
        <f t="shared" si="150"/>
        <v>-51.356223005083329</v>
      </c>
      <c r="Y180" s="346">
        <f t="shared" si="150"/>
        <v>-51.356223005083329</v>
      </c>
      <c r="Z180" s="346">
        <f t="shared" si="150"/>
        <v>-51.356223005083329</v>
      </c>
      <c r="AA180" s="346">
        <f t="shared" si="150"/>
        <v>-51.356223005083329</v>
      </c>
      <c r="AB180" s="347">
        <f t="shared" si="150"/>
        <v>-51.356223005083329</v>
      </c>
    </row>
  </sheetData>
  <dataValidations count="1">
    <dataValidation type="list" allowBlank="1" showInputMessage="1" showErrorMessage="1" sqref="AD167:AD176 AD50:AD59 AD26:AD35 AD85:AD94 AD96:AD105 AD122:AD130 AD132:AD141 AD157:AD165 AD61:AD70" xr:uid="{E26F8980-6609-415D-A342-748CD9581435}">
      <formula1>"CONSTANTE, PROMEDIO"</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8DD39-948C-46CC-AA91-DAE27B0A53F1}">
  <sheetPr>
    <tabColor theme="4"/>
  </sheetPr>
  <dimension ref="B1:AD56"/>
  <sheetViews>
    <sheetView topLeftCell="I1" zoomScale="85" zoomScaleNormal="85" workbookViewId="0">
      <pane ySplit="1" topLeftCell="A6" activePane="bottomLeft" state="frozen"/>
      <selection pane="bottomLeft" activeCell="C15" sqref="C15:AB24"/>
    </sheetView>
  </sheetViews>
  <sheetFormatPr baseColWidth="10" defaultColWidth="11.44140625" defaultRowHeight="14.4" x14ac:dyDescent="0.3"/>
  <cols>
    <col min="2" max="2" width="61.77734375" customWidth="1"/>
    <col min="3" max="3" width="12" bestFit="1" customWidth="1"/>
  </cols>
  <sheetData>
    <row r="1" spans="2:28" ht="15" thickBot="1" x14ac:dyDescent="0.35">
      <c r="B1" s="182" t="s">
        <v>130</v>
      </c>
      <c r="C1" s="183">
        <v>2010</v>
      </c>
      <c r="D1" s="183">
        <v>2011</v>
      </c>
      <c r="E1" s="183">
        <v>2012</v>
      </c>
      <c r="F1" s="183">
        <v>2013</v>
      </c>
      <c r="G1" s="183">
        <v>2014</v>
      </c>
      <c r="H1" s="183">
        <v>2015</v>
      </c>
      <c r="I1" s="183">
        <v>2016</v>
      </c>
      <c r="J1" s="183">
        <v>2017</v>
      </c>
      <c r="K1" s="183">
        <v>2018</v>
      </c>
      <c r="L1" s="183">
        <v>2019</v>
      </c>
      <c r="M1" s="183">
        <v>2020</v>
      </c>
      <c r="N1" s="183">
        <v>2021</v>
      </c>
      <c r="O1" s="183">
        <v>2022</v>
      </c>
      <c r="P1" s="183">
        <v>2023</v>
      </c>
      <c r="Q1" s="183">
        <v>2024</v>
      </c>
      <c r="R1" s="183">
        <v>2025</v>
      </c>
      <c r="S1" s="183">
        <v>2026</v>
      </c>
      <c r="T1" s="183">
        <v>2027</v>
      </c>
      <c r="U1" s="183">
        <v>2028</v>
      </c>
      <c r="V1" s="183">
        <v>2029</v>
      </c>
      <c r="W1" s="183">
        <v>2030</v>
      </c>
      <c r="X1" s="183">
        <v>2031</v>
      </c>
      <c r="Y1" s="183">
        <v>2032</v>
      </c>
      <c r="Z1" s="183">
        <v>2033</v>
      </c>
      <c r="AA1" s="183">
        <v>2034</v>
      </c>
      <c r="AB1" s="184">
        <v>2035</v>
      </c>
    </row>
    <row r="2" spans="2:28" ht="15" thickBot="1" x14ac:dyDescent="0.35">
      <c r="B2" s="131" t="s">
        <v>171</v>
      </c>
      <c r="C2" s="52"/>
      <c r="D2" s="52"/>
      <c r="E2" s="52"/>
      <c r="F2" s="52"/>
      <c r="G2" s="52"/>
      <c r="H2" s="52"/>
      <c r="I2" s="52"/>
      <c r="J2" s="52"/>
      <c r="K2" s="52"/>
      <c r="L2" s="52"/>
      <c r="M2" s="52"/>
      <c r="N2" s="52"/>
      <c r="O2" s="52"/>
      <c r="P2" s="52"/>
      <c r="Q2" s="52"/>
      <c r="R2" s="52"/>
      <c r="S2" s="52"/>
      <c r="T2" s="52"/>
      <c r="U2" s="52"/>
      <c r="V2" s="52"/>
      <c r="W2" s="52"/>
      <c r="X2" s="52"/>
      <c r="Y2" s="52"/>
      <c r="Z2" s="52"/>
      <c r="AA2" s="52"/>
      <c r="AB2" s="52"/>
    </row>
    <row r="3" spans="2:28" ht="15" thickBot="1" x14ac:dyDescent="0.35">
      <c r="B3" s="142" t="s">
        <v>166</v>
      </c>
      <c r="C3" s="391">
        <f>+DATOS_INGEI!C11/1000</f>
        <v>36493.567754299998</v>
      </c>
      <c r="D3" s="391">
        <f>+DATOS_INGEI!D11/1000</f>
        <v>36493.567754299998</v>
      </c>
      <c r="E3" s="391">
        <f>+DATOS_INGEI!E11/1000</f>
        <v>36493.567754299998</v>
      </c>
      <c r="F3" s="391">
        <f>+DATOS_INGEI!F11/1000</f>
        <v>36493.567754299998</v>
      </c>
      <c r="G3" s="391">
        <f>+DATOS_INGEI!G11/1000</f>
        <v>36493.567754299998</v>
      </c>
      <c r="H3" s="391">
        <f>+DATOS_INGEI!H11/1000</f>
        <v>36130.516526949999</v>
      </c>
      <c r="I3" s="391">
        <f>+DATOS_INGEI!I11/1000</f>
        <v>35767.4652996</v>
      </c>
      <c r="J3" s="391">
        <f>+DATOS_INGEI!J11/1000</f>
        <v>33486.562845341665</v>
      </c>
      <c r="K3" s="391">
        <f>+DATOS_INGEI!K11/1000</f>
        <v>31205.660391083336</v>
      </c>
      <c r="L3" s="391">
        <f>+DATOS_INGEI!L11/1000</f>
        <v>32707.711579233339</v>
      </c>
      <c r="M3" s="391">
        <f>+DATOS_INGEI!M11/1000</f>
        <v>32707.711579233339</v>
      </c>
      <c r="N3" s="391">
        <f>+DATOS_INGEI!N11/1000</f>
        <v>35423.802290166677</v>
      </c>
      <c r="O3" s="391">
        <f>+DATOS_INGEI!O11/1000</f>
        <v>35423.802290166677</v>
      </c>
      <c r="P3" s="392">
        <f>+SUM(P4:P13)</f>
        <v>30673.722627079631</v>
      </c>
      <c r="Q3" s="392">
        <f t="shared" ref="Q3:AB3" si="0">+SUM(Q4:Q13)</f>
        <v>30442.354749047499</v>
      </c>
      <c r="R3" s="392">
        <f t="shared" si="0"/>
        <v>30212.732497861172</v>
      </c>
      <c r="S3" s="392">
        <f t="shared" si="0"/>
        <v>29984.84269960926</v>
      </c>
      <c r="T3" s="392">
        <f t="shared" si="0"/>
        <v>29758.672279824936</v>
      </c>
      <c r="U3" s="392">
        <f t="shared" si="0"/>
        <v>29534.237044451285</v>
      </c>
      <c r="V3" s="392">
        <f t="shared" si="0"/>
        <v>29311.437553500393</v>
      </c>
      <c r="W3" s="392">
        <f t="shared" si="0"/>
        <v>29090.319471766714</v>
      </c>
      <c r="X3" s="392">
        <f t="shared" si="0"/>
        <v>28870.95444955393</v>
      </c>
      <c r="Y3" s="392">
        <f t="shared" si="0"/>
        <v>28653.18780259286</v>
      </c>
      <c r="Z3" s="392">
        <f t="shared" si="0"/>
        <v>28437.064138950034</v>
      </c>
      <c r="AA3" s="392">
        <f t="shared" si="0"/>
        <v>28222.571059531867</v>
      </c>
      <c r="AB3" s="393">
        <f t="shared" si="0"/>
        <v>28009.72350778753</v>
      </c>
    </row>
    <row r="4" spans="2:28" x14ac:dyDescent="0.3">
      <c r="B4" s="191" t="s">
        <v>2</v>
      </c>
      <c r="C4" s="378">
        <f>+C$3*COBERTURA_BOSQUE!C35</f>
        <v>88.775093472078666</v>
      </c>
      <c r="D4" s="378">
        <f>+D$3*COBERTURA_BOSQUE!D35</f>
        <v>92.816098819930332</v>
      </c>
      <c r="E4" s="378">
        <f>+E$3*COBERTURA_BOSQUE!E35</f>
        <v>96.570804805375104</v>
      </c>
      <c r="F4" s="378">
        <f>+F$3*COBERTURA_BOSQUE!F35</f>
        <v>95.202313235673955</v>
      </c>
      <c r="G4" s="378">
        <f>+G$3*COBERTURA_BOSQUE!G35</f>
        <v>93.894810748412809</v>
      </c>
      <c r="H4" s="378">
        <f>+H$3*COBERTURA_BOSQUE!H35</f>
        <v>92.066426458364418</v>
      </c>
      <c r="I4" s="378">
        <f>+I$3*COBERTURA_BOSQUE!I35</f>
        <v>90.277946752526518</v>
      </c>
      <c r="J4" s="378">
        <f>+J$3*COBERTURA_BOSQUE!J35</f>
        <v>83.040081121536204</v>
      </c>
      <c r="K4" s="394">
        <f>+K$3*COBERTURA_BOSQUE!K35</f>
        <v>76.0480572054595</v>
      </c>
      <c r="L4" s="394">
        <f>+L$3*COBERTURA_BOSQUE!L35</f>
        <v>79.708549348564389</v>
      </c>
      <c r="M4" s="394">
        <f>+M$3*COBERTURA_BOSQUE!M35</f>
        <v>79.708549348564389</v>
      </c>
      <c r="N4" s="394">
        <f>+N$3*COBERTURA_BOSQUE!N35</f>
        <v>81.091953777324917</v>
      </c>
      <c r="O4" s="394">
        <f>+O$3*COBERTURA_BOSQUE!P35</f>
        <v>81.091953777324917</v>
      </c>
      <c r="P4" s="395">
        <f>+P15*P26</f>
        <v>87.348746175619254</v>
      </c>
      <c r="Q4" s="395">
        <f t="shared" ref="Q4:AB4" si="1">+Q15*Q26</f>
        <v>86.689886007353337</v>
      </c>
      <c r="R4" s="395">
        <f t="shared" si="1"/>
        <v>86.035996814346092</v>
      </c>
      <c r="S4" s="395">
        <f t="shared" si="1"/>
        <v>85.387041081599605</v>
      </c>
      <c r="T4" s="395">
        <f t="shared" si="1"/>
        <v>84.742981577301478</v>
      </c>
      <c r="U4" s="395">
        <f t="shared" si="1"/>
        <v>84.103863311616607</v>
      </c>
      <c r="V4" s="395">
        <f t="shared" si="1"/>
        <v>83.46940311192941</v>
      </c>
      <c r="W4" s="395">
        <f t="shared" si="1"/>
        <v>82.839731016663606</v>
      </c>
      <c r="X4" s="395">
        <f t="shared" si="1"/>
        <v>82.215051062488186</v>
      </c>
      <c r="Y4" s="395">
        <f t="shared" si="1"/>
        <v>81.594922759113444</v>
      </c>
      <c r="Z4" s="395">
        <f t="shared" si="1"/>
        <v>80.979473135747057</v>
      </c>
      <c r="AA4" s="395">
        <f t="shared" si="1"/>
        <v>80.368666883819088</v>
      </c>
      <c r="AB4" s="396">
        <f t="shared" si="1"/>
        <v>79.76254655739335</v>
      </c>
    </row>
    <row r="5" spans="2:28" x14ac:dyDescent="0.3">
      <c r="B5" s="185" t="s">
        <v>4</v>
      </c>
      <c r="C5" s="375">
        <f>+C$3*COBERTURA_BOSQUE!C36</f>
        <v>866.90528850916428</v>
      </c>
      <c r="D5" s="375">
        <f>+D$3*COBERTURA_BOSQUE!D36</f>
        <v>874.0665874812189</v>
      </c>
      <c r="E5" s="375">
        <f>+E$3*COBERTURA_BOSQUE!E36</f>
        <v>880.72051881744653</v>
      </c>
      <c r="F5" s="375">
        <f>+F$3*COBERTURA_BOSQUE!F36</f>
        <v>887.82952706789513</v>
      </c>
      <c r="G5" s="375">
        <f>+G$3*COBERTURA_BOSQUE!G36</f>
        <v>894.62171064813469</v>
      </c>
      <c r="H5" s="375">
        <f>+H$3*COBERTURA_BOSQUE!H36</f>
        <v>873.55218764716619</v>
      </c>
      <c r="I5" s="375">
        <f>+I$3*COBERTURA_BOSQUE!I36</f>
        <v>853.02568961543648</v>
      </c>
      <c r="J5" s="375">
        <f>+J$3*COBERTURA_BOSQUE!J36</f>
        <v>785.76321358539781</v>
      </c>
      <c r="K5" s="397">
        <f>+K$3*COBERTURA_BOSQUE!K36</f>
        <v>720.63652072331524</v>
      </c>
      <c r="L5" s="397">
        <f>+L$3*COBERTURA_BOSQUE!L36</f>
        <v>755.32359122947355</v>
      </c>
      <c r="M5" s="397">
        <f>+M$3*COBERTURA_BOSQUE!M36</f>
        <v>755.32359122947355</v>
      </c>
      <c r="N5" s="397">
        <f>+N$3*COBERTURA_BOSQUE!N36</f>
        <v>828.97565597405287</v>
      </c>
      <c r="O5" s="397">
        <f>+O$3*COBERTURA_BOSQUE!P36</f>
        <v>828.97565597405287</v>
      </c>
      <c r="P5" s="398">
        <f>+P16*P27</f>
        <v>780.0159008885895</v>
      </c>
      <c r="Q5" s="398">
        <f t="shared" ref="P5:AB13" si="2">+Q16*Q27</f>
        <v>774.13234296462917</v>
      </c>
      <c r="R5" s="398">
        <f t="shared" si="2"/>
        <v>768.29317537154907</v>
      </c>
      <c r="S5" s="398">
        <f t="shared" si="2"/>
        <v>762.4980631040263</v>
      </c>
      <c r="T5" s="398">
        <f t="shared" si="2"/>
        <v>756.74667368555777</v>
      </c>
      <c r="U5" s="398">
        <f t="shared" si="2"/>
        <v>751.03940905258594</v>
      </c>
      <c r="V5" s="398">
        <f t="shared" si="2"/>
        <v>745.37374050089363</v>
      </c>
      <c r="W5" s="398">
        <f t="shared" si="2"/>
        <v>739.75082926109553</v>
      </c>
      <c r="X5" s="398">
        <f t="shared" si="2"/>
        <v>734.1724973610186</v>
      </c>
      <c r="Y5" s="398">
        <f t="shared" si="2"/>
        <v>728.63481126474835</v>
      </c>
      <c r="Z5" s="398">
        <f t="shared" si="2"/>
        <v>723.13890533088977</v>
      </c>
      <c r="AA5" s="398">
        <f t="shared" si="2"/>
        <v>717.68446425731031</v>
      </c>
      <c r="AB5" s="399">
        <f t="shared" si="2"/>
        <v>712.27186804770577</v>
      </c>
    </row>
    <row r="6" spans="2:28" x14ac:dyDescent="0.3">
      <c r="B6" s="185" t="s">
        <v>5</v>
      </c>
      <c r="C6" s="375">
        <f>+C$3*COBERTURA_BOSQUE!C37</f>
        <v>8289.4331609765668</v>
      </c>
      <c r="D6" s="375">
        <f>+D$3*COBERTURA_BOSQUE!D37</f>
        <v>8024.5447753630015</v>
      </c>
      <c r="E6" s="375">
        <f>+E$3*COBERTURA_BOSQUE!E37</f>
        <v>7778.4233473211398</v>
      </c>
      <c r="F6" s="375">
        <f>+F$3*COBERTURA_BOSQUE!F37</f>
        <v>7824.3744426949888</v>
      </c>
      <c r="G6" s="375">
        <f>+G$3*COBERTURA_BOSQUE!G37</f>
        <v>7868.2776517639277</v>
      </c>
      <c r="H6" s="375">
        <f>+H$3*COBERTURA_BOSQUE!H37</f>
        <v>7698.2145753377781</v>
      </c>
      <c r="I6" s="375">
        <f>+I$3*COBERTURA_BOSQUE!I37</f>
        <v>7532.2471813108868</v>
      </c>
      <c r="J6" s="375">
        <f>+J$3*COBERTURA_BOSQUE!J37</f>
        <v>6997.9633615968442</v>
      </c>
      <c r="K6" s="397">
        <f>+K$3*COBERTURA_BOSQUE!K37</f>
        <v>6472.6362283832677</v>
      </c>
      <c r="L6" s="397">
        <f>+L$3*COBERTURA_BOSQUE!L37</f>
        <v>6784.1896714273335</v>
      </c>
      <c r="M6" s="397">
        <f>+M$3*COBERTURA_BOSQUE!M37</f>
        <v>6784.1896714273335</v>
      </c>
      <c r="N6" s="397">
        <f>+N$3*COBERTURA_BOSQUE!N37</f>
        <v>7478.8846006713657</v>
      </c>
      <c r="O6" s="397">
        <f>+O$3*COBERTURA_BOSQUE!P37</f>
        <v>7478.8846006713657</v>
      </c>
      <c r="P6" s="398">
        <f t="shared" si="2"/>
        <v>4668.8290622567911</v>
      </c>
      <c r="Q6" s="398">
        <f t="shared" si="2"/>
        <v>4633.612695265344</v>
      </c>
      <c r="R6" s="398">
        <f t="shared" si="2"/>
        <v>4598.6620290969959</v>
      </c>
      <c r="S6" s="398">
        <f t="shared" si="2"/>
        <v>4563.975058558538</v>
      </c>
      <c r="T6" s="398">
        <f t="shared" si="2"/>
        <v>4529.5497935931553</v>
      </c>
      <c r="U6" s="398">
        <f t="shared" si="2"/>
        <v>4495.3886400140364</v>
      </c>
      <c r="V6" s="398">
        <f t="shared" si="2"/>
        <v>4461.4764621198146</v>
      </c>
      <c r="W6" s="398">
        <f t="shared" si="2"/>
        <v>4427.8202105216697</v>
      </c>
      <c r="X6" s="398">
        <f t="shared" si="2"/>
        <v>4394.4307910696771</v>
      </c>
      <c r="Y6" s="398">
        <f t="shared" si="2"/>
        <v>4361.2846593633003</v>
      </c>
      <c r="Z6" s="398">
        <f t="shared" si="2"/>
        <v>4328.3886051697937</v>
      </c>
      <c r="AA6" s="398">
        <f t="shared" si="2"/>
        <v>4295.740741230501</v>
      </c>
      <c r="AB6" s="399">
        <f t="shared" si="2"/>
        <v>4263.343342078927</v>
      </c>
    </row>
    <row r="7" spans="2:28" x14ac:dyDescent="0.3">
      <c r="B7" s="185" t="s">
        <v>6</v>
      </c>
      <c r="C7" s="375">
        <f>+C$3*COBERTURA_BOSQUE!C38</f>
        <v>3369.6011233018994</v>
      </c>
      <c r="D7" s="375">
        <f>+D$3*COBERTURA_BOSQUE!D38</f>
        <v>3252.8297391969427</v>
      </c>
      <c r="E7" s="375">
        <f>+E$3*COBERTURA_BOSQUE!E38</f>
        <v>3144.3314381341534</v>
      </c>
      <c r="F7" s="375">
        <f>+F$3*COBERTURA_BOSQUE!F38</f>
        <v>3191.8638805873525</v>
      </c>
      <c r="G7" s="375">
        <f>+G$3*COBERTURA_BOSQUE!G38</f>
        <v>3237.2779613965758</v>
      </c>
      <c r="H7" s="375">
        <f>+H$3*COBERTURA_BOSQUE!H38</f>
        <v>3161.4703928923141</v>
      </c>
      <c r="I7" s="375">
        <f>+I$3*COBERTURA_BOSQUE!I38</f>
        <v>3087.608421651933</v>
      </c>
      <c r="J7" s="375">
        <f>+J$3*COBERTURA_BOSQUE!J38</f>
        <v>2891.4974018353219</v>
      </c>
      <c r="K7" s="397">
        <f>+K$3*COBERTURA_BOSQUE!K38</f>
        <v>2695.2557697043403</v>
      </c>
      <c r="L7" s="397">
        <f>+L$3*COBERTURA_BOSQUE!L38</f>
        <v>2824.9890322123611</v>
      </c>
      <c r="M7" s="397">
        <f>+M$3*COBERTURA_BOSQUE!M38</f>
        <v>2824.9890322123611</v>
      </c>
      <c r="N7" s="397">
        <f>+N$3*COBERTURA_BOSQUE!N38</f>
        <v>3063.7354922380832</v>
      </c>
      <c r="O7" s="397">
        <f>+O$3*COBERTURA_BOSQUE!P38</f>
        <v>3063.7354922380832</v>
      </c>
      <c r="P7" s="398">
        <f t="shared" si="2"/>
        <v>2241.7218390226953</v>
      </c>
      <c r="Q7" s="398">
        <f t="shared" si="2"/>
        <v>2224.8128243804663</v>
      </c>
      <c r="R7" s="398">
        <f t="shared" si="2"/>
        <v>2208.0313850531275</v>
      </c>
      <c r="S7" s="398">
        <f t="shared" si="2"/>
        <v>2191.3765582542192</v>
      </c>
      <c r="T7" s="398">
        <f t="shared" si="2"/>
        <v>2174.8473884649652</v>
      </c>
      <c r="U7" s="398">
        <f t="shared" si="2"/>
        <v>2158.4450308281021</v>
      </c>
      <c r="V7" s="398">
        <f t="shared" si="2"/>
        <v>2142.1622179898968</v>
      </c>
      <c r="W7" s="398">
        <f t="shared" si="2"/>
        <v>2126.002287261841</v>
      </c>
      <c r="X7" s="398">
        <f t="shared" si="2"/>
        <v>2109.9704750494575</v>
      </c>
      <c r="Y7" s="398">
        <f t="shared" si="2"/>
        <v>2094.0554765917091</v>
      </c>
      <c r="Z7" s="398">
        <f t="shared" si="2"/>
        <v>2078.2605519714416</v>
      </c>
      <c r="AA7" s="398">
        <f t="shared" si="2"/>
        <v>2062.5847950280559</v>
      </c>
      <c r="AB7" s="399">
        <f t="shared" si="2"/>
        <v>2047.029297870806</v>
      </c>
    </row>
    <row r="8" spans="2:28" x14ac:dyDescent="0.3">
      <c r="B8" s="185" t="s">
        <v>7</v>
      </c>
      <c r="C8" s="375">
        <f>+C$3*COBERTURA_BOSQUE!C39</f>
        <v>2320.5570405595304</v>
      </c>
      <c r="D8" s="375">
        <f>+D$3*COBERTURA_BOSQUE!D39</f>
        <v>2253.2643179503034</v>
      </c>
      <c r="E8" s="375">
        <f>+E$3*COBERTURA_BOSQUE!E39</f>
        <v>2190.7391870464144</v>
      </c>
      <c r="F8" s="375">
        <f>+F$3*COBERTURA_BOSQUE!F39</f>
        <v>2177.3497510164766</v>
      </c>
      <c r="G8" s="375">
        <f>+G$3*COBERTURA_BOSQUE!G39</f>
        <v>2164.557037272546</v>
      </c>
      <c r="H8" s="375">
        <f>+H$3*COBERTURA_BOSQUE!H39</f>
        <v>2122.7073027341607</v>
      </c>
      <c r="I8" s="375">
        <f>+I$3*COBERTURA_BOSQUE!I39</f>
        <v>2081.7641016749062</v>
      </c>
      <c r="J8" s="375">
        <f>+J$3*COBERTURA_BOSQUE!J39</f>
        <v>2011.0990663743785</v>
      </c>
      <c r="K8" s="397">
        <f>+K$3*COBERTURA_BOSQUE!K39</f>
        <v>1930.1260148664796</v>
      </c>
      <c r="L8" s="397">
        <f>+L$3*COBERTURA_BOSQUE!L39</f>
        <v>2023.0305724876291</v>
      </c>
      <c r="M8" s="397">
        <f>+M$3*COBERTURA_BOSQUE!M39</f>
        <v>2023.0305724876291</v>
      </c>
      <c r="N8" s="397">
        <f>+N$3*COBERTURA_BOSQUE!N39</f>
        <v>2230.9000138950182</v>
      </c>
      <c r="O8" s="397">
        <f>+O$3*COBERTURA_BOSQUE!P39</f>
        <v>2230.9000138950182</v>
      </c>
      <c r="P8" s="398">
        <f t="shared" si="2"/>
        <v>1068.7665501344159</v>
      </c>
      <c r="Q8" s="398">
        <f t="shared" si="2"/>
        <v>1060.7049838282114</v>
      </c>
      <c r="R8" s="398">
        <f t="shared" si="2"/>
        <v>1052.704240513872</v>
      </c>
      <c r="S8" s="398">
        <f t="shared" si="2"/>
        <v>1044.7638611719301</v>
      </c>
      <c r="T8" s="398">
        <f t="shared" si="2"/>
        <v>1036.8833902478714</v>
      </c>
      <c r="U8" s="398">
        <f t="shared" si="2"/>
        <v>1029.0633784692182</v>
      </c>
      <c r="V8" s="398">
        <f t="shared" si="2"/>
        <v>1021.300361041882</v>
      </c>
      <c r="W8" s="398">
        <f t="shared" si="2"/>
        <v>1013.5959290673222</v>
      </c>
      <c r="X8" s="398">
        <f t="shared" si="2"/>
        <v>1005.9525790618185</v>
      </c>
      <c r="Y8" s="398">
        <f t="shared" si="2"/>
        <v>998.3649213511286</v>
      </c>
      <c r="Z8" s="398">
        <f t="shared" si="2"/>
        <v>990.83451021707128</v>
      </c>
      <c r="AA8" s="398">
        <f t="shared" si="2"/>
        <v>983.36091363720641</v>
      </c>
      <c r="AB8" s="399">
        <f t="shared" si="2"/>
        <v>975.94465228712431</v>
      </c>
    </row>
    <row r="9" spans="2:28" x14ac:dyDescent="0.3">
      <c r="B9" s="185" t="s">
        <v>8</v>
      </c>
      <c r="C9" s="375">
        <f>+C$3*COBERTURA_BOSQUE!C40</f>
        <v>16980.669538816383</v>
      </c>
      <c r="D9" s="375">
        <f>+D$3*COBERTURA_BOSQUE!D40</f>
        <v>17564.456456104966</v>
      </c>
      <c r="E9" s="375">
        <f>+E$3*COBERTURA_BOSQUE!E40</f>
        <v>18106.882917810373</v>
      </c>
      <c r="F9" s="375">
        <f>+F$3*COBERTURA_BOSQUE!F40</f>
        <v>18072.355178718844</v>
      </c>
      <c r="G9" s="375">
        <f>+G$3*COBERTURA_BOSQUE!G40</f>
        <v>18039.366225230769</v>
      </c>
      <c r="H9" s="375">
        <f>+H$3*COBERTURA_BOSQUE!H40</f>
        <v>17837.085655561714</v>
      </c>
      <c r="I9" s="375">
        <f>+I$3*COBERTURA_BOSQUE!I40</f>
        <v>17635.823284714043</v>
      </c>
      <c r="J9" s="375">
        <f>+J$3*COBERTURA_BOSQUE!J40</f>
        <v>16606.63017830396</v>
      </c>
      <c r="K9" s="397">
        <f>+K$3*COBERTURA_BOSQUE!K40</f>
        <v>15561.590832951093</v>
      </c>
      <c r="L9" s="397">
        <f>+L$3*COBERTURA_BOSQUE!L40</f>
        <v>16310.631414281566</v>
      </c>
      <c r="M9" s="397">
        <f>+M$3*COBERTURA_BOSQUE!M40</f>
        <v>16310.631414281566</v>
      </c>
      <c r="N9" s="397">
        <f>+N$3*COBERTURA_BOSQUE!N40</f>
        <v>17419.051247762298</v>
      </c>
      <c r="O9" s="397">
        <f>+O$3*COBERTURA_BOSQUE!P40</f>
        <v>17419.051247762298</v>
      </c>
      <c r="P9" s="398">
        <f t="shared" si="2"/>
        <v>17202.474946313465</v>
      </c>
      <c r="Q9" s="398">
        <f t="shared" si="2"/>
        <v>17072.718927664606</v>
      </c>
      <c r="R9" s="398">
        <f t="shared" si="2"/>
        <v>16943.941893615869</v>
      </c>
      <c r="S9" s="398">
        <f t="shared" si="2"/>
        <v>16816.136455958032</v>
      </c>
      <c r="T9" s="398">
        <f t="shared" si="2"/>
        <v>16689.295282252489</v>
      </c>
      <c r="U9" s="398">
        <f t="shared" si="2"/>
        <v>16563.427236807733</v>
      </c>
      <c r="V9" s="398">
        <f t="shared" si="2"/>
        <v>16438.476551567117</v>
      </c>
      <c r="W9" s="398">
        <f t="shared" si="2"/>
        <v>16314.468836316981</v>
      </c>
      <c r="X9" s="398">
        <f t="shared" si="2"/>
        <v>16191.444274068986</v>
      </c>
      <c r="Y9" s="398">
        <f t="shared" si="2"/>
        <v>16069.31611460055</v>
      </c>
      <c r="Z9" s="398">
        <f t="shared" si="2"/>
        <v>15948.109375062557</v>
      </c>
      <c r="AA9" s="398">
        <f t="shared" si="2"/>
        <v>15827.817101780043</v>
      </c>
      <c r="AB9" s="399">
        <f t="shared" si="2"/>
        <v>15708.447675356607</v>
      </c>
    </row>
    <row r="10" spans="2:28" x14ac:dyDescent="0.3">
      <c r="B10" s="185" t="s">
        <v>9</v>
      </c>
      <c r="C10" s="375">
        <f>+C$3*COBERTURA_BOSQUE!C41</f>
        <v>1881.3253938870814</v>
      </c>
      <c r="D10" s="375">
        <f>+D$3*COBERTURA_BOSQUE!D41</f>
        <v>1825.6425684929038</v>
      </c>
      <c r="E10" s="375">
        <f>+E$3*COBERTURA_BOSQUE!E41</f>
        <v>1773.9047904409281</v>
      </c>
      <c r="F10" s="375">
        <f>+F$3*COBERTURA_BOSQUE!F41</f>
        <v>1760.5084990261919</v>
      </c>
      <c r="G10" s="375">
        <f>+G$3*COBERTURA_BOSQUE!G41</f>
        <v>1747.7092354189863</v>
      </c>
      <c r="H10" s="375">
        <f>+H$3*COBERTURA_BOSQUE!H41</f>
        <v>1676.7784158583208</v>
      </c>
      <c r="I10" s="375">
        <f>+I$3*COBERTURA_BOSQUE!I41</f>
        <v>1608.2368242931782</v>
      </c>
      <c r="J10" s="375">
        <f>+J$3*COBERTURA_BOSQUE!J41</f>
        <v>1477.1420571675064</v>
      </c>
      <c r="K10" s="397">
        <f>+K$3*COBERTURA_BOSQUE!K41</f>
        <v>1350.7849488489069</v>
      </c>
      <c r="L10" s="397">
        <f>+L$3*COBERTURA_BOSQUE!L41</f>
        <v>1415.8035420120045</v>
      </c>
      <c r="M10" s="397">
        <f>+M$3*COBERTURA_BOSQUE!M41</f>
        <v>1415.8035420120045</v>
      </c>
      <c r="N10" s="397">
        <f>+N$3*COBERTURA_BOSQUE!N41</f>
        <v>1430.2574762044399</v>
      </c>
      <c r="O10" s="397">
        <f>+O$3*COBERTURA_BOSQUE!P41</f>
        <v>1430.2574762044399</v>
      </c>
      <c r="P10" s="398">
        <f t="shared" si="2"/>
        <v>1639.9858571584903</v>
      </c>
      <c r="Q10" s="398">
        <f t="shared" si="2"/>
        <v>1627.6156583278307</v>
      </c>
      <c r="R10" s="398">
        <f t="shared" si="2"/>
        <v>1615.3387903058838</v>
      </c>
      <c r="S10" s="398">
        <f t="shared" si="2"/>
        <v>1603.154548742915</v>
      </c>
      <c r="T10" s="398">
        <f t="shared" si="2"/>
        <v>1591.0622346060443</v>
      </c>
      <c r="U10" s="398">
        <f t="shared" si="2"/>
        <v>1579.0626929678901</v>
      </c>
      <c r="V10" s="398">
        <f t="shared" si="2"/>
        <v>1567.1506072199738</v>
      </c>
      <c r="W10" s="398">
        <f t="shared" si="2"/>
        <v>1555.3284188532734</v>
      </c>
      <c r="X10" s="398">
        <f t="shared" si="2"/>
        <v>1543.5999586869611</v>
      </c>
      <c r="Y10" s="398">
        <f t="shared" si="2"/>
        <v>1531.9569564495446</v>
      </c>
      <c r="Z10" s="398">
        <f t="shared" si="2"/>
        <v>1520.4017971335184</v>
      </c>
      <c r="AA10" s="398">
        <f t="shared" si="2"/>
        <v>1508.9338178151679</v>
      </c>
      <c r="AB10" s="399">
        <f t="shared" si="2"/>
        <v>1497.5538174534458</v>
      </c>
    </row>
    <row r="11" spans="2:28" x14ac:dyDescent="0.3">
      <c r="B11" s="185" t="s">
        <v>10</v>
      </c>
      <c r="C11" s="375">
        <f>+C$3*COBERTURA_BOSQUE!C42</f>
        <v>467.23116644842651</v>
      </c>
      <c r="D11" s="375">
        <f>+D$3*COBERTURA_BOSQUE!D42</f>
        <v>452.46039394360656</v>
      </c>
      <c r="E11" s="375">
        <f>+E$3*COBERTURA_BOSQUE!E42</f>
        <v>438.7361092274345</v>
      </c>
      <c r="F11" s="375">
        <f>+F$3*COBERTURA_BOSQUE!F42</f>
        <v>418.46621361692854</v>
      </c>
      <c r="G11" s="375">
        <f>+G$3*COBERTURA_BOSQUE!G42</f>
        <v>399.09967931445766</v>
      </c>
      <c r="H11" s="375">
        <f>+H$3*COBERTURA_BOSQUE!H42</f>
        <v>410.17442267288612</v>
      </c>
      <c r="I11" s="375">
        <f>+I$3*COBERTURA_BOSQUE!I42</f>
        <v>420.57782533928309</v>
      </c>
      <c r="J11" s="375">
        <f>+J$3*COBERTURA_BOSQUE!J42</f>
        <v>385.58895801044468</v>
      </c>
      <c r="K11" s="397">
        <f>+K$3*COBERTURA_BOSQUE!K42</f>
        <v>351.95620751259565</v>
      </c>
      <c r="L11" s="397">
        <f>+L$3*COBERTURA_BOSQUE!L42</f>
        <v>368.89724426829019</v>
      </c>
      <c r="M11" s="397">
        <f>+M$3*COBERTURA_BOSQUE!M42</f>
        <v>368.89724426829019</v>
      </c>
      <c r="N11" s="397">
        <f>+N$3*COBERTURA_BOSQUE!N42</f>
        <v>583.35654346582101</v>
      </c>
      <c r="O11" s="397">
        <f>+O$3*COBERTURA_BOSQUE!P42</f>
        <v>583.35654346582101</v>
      </c>
      <c r="P11" s="398">
        <f t="shared" si="2"/>
        <v>388.2886412641484</v>
      </c>
      <c r="Q11" s="398">
        <f t="shared" si="2"/>
        <v>385.35983082644975</v>
      </c>
      <c r="R11" s="398">
        <f t="shared" si="2"/>
        <v>382.45311770913014</v>
      </c>
      <c r="S11" s="398">
        <f t="shared" si="2"/>
        <v>379.56833514794613</v>
      </c>
      <c r="T11" s="398">
        <f t="shared" si="2"/>
        <v>376.70531763749017</v>
      </c>
      <c r="U11" s="398">
        <f t="shared" si="2"/>
        <v>373.86426526003601</v>
      </c>
      <c r="V11" s="398">
        <f t="shared" si="2"/>
        <v>371.04391923723887</v>
      </c>
      <c r="W11" s="398">
        <f t="shared" si="2"/>
        <v>368.24485762482448</v>
      </c>
      <c r="X11" s="398">
        <f t="shared" si="2"/>
        <v>365.46798742059678</v>
      </c>
      <c r="Y11" s="398">
        <f t="shared" si="2"/>
        <v>362.71135052688913</v>
      </c>
      <c r="Z11" s="398">
        <f t="shared" si="2"/>
        <v>359.97551162265336</v>
      </c>
      <c r="AA11" s="398">
        <f t="shared" si="2"/>
        <v>357.2603137518114</v>
      </c>
      <c r="AB11" s="399">
        <f t="shared" si="2"/>
        <v>354.56594607860814</v>
      </c>
    </row>
    <row r="12" spans="2:28" x14ac:dyDescent="0.3">
      <c r="B12" s="185" t="s">
        <v>11</v>
      </c>
      <c r="C12" s="375">
        <f>+C$3*COBERTURA_BOSQUE!C43</f>
        <v>1953.8807606163082</v>
      </c>
      <c r="D12" s="375">
        <f>+D$3*COBERTURA_BOSQUE!D43</f>
        <v>1888.4040179417495</v>
      </c>
      <c r="E12" s="375">
        <f>+E$3*COBERTURA_BOSQUE!E43</f>
        <v>1827.5662074304878</v>
      </c>
      <c r="F12" s="375">
        <f>+F$3*COBERTURA_BOSQUE!F43</f>
        <v>1815.7530492715939</v>
      </c>
      <c r="G12" s="375">
        <f>+G$3*COBERTURA_BOSQUE!G43</f>
        <v>1804.4663639772618</v>
      </c>
      <c r="H12" s="375">
        <f>+H$3*COBERTURA_BOSQUE!H43</f>
        <v>1805.6447267622941</v>
      </c>
      <c r="I12" s="375">
        <f>+I$3*COBERTURA_BOSQUE!I43</f>
        <v>1805.9694815116557</v>
      </c>
      <c r="J12" s="375">
        <f>+J$3*COBERTURA_BOSQUE!J43</f>
        <v>1675.0748426314744</v>
      </c>
      <c r="K12" s="397">
        <f>+K$3*COBERTURA_BOSQUE!K43</f>
        <v>1546.7912368178688</v>
      </c>
      <c r="L12" s="397">
        <f>+L$3*COBERTURA_BOSQUE!L43</f>
        <v>1621.2443836497227</v>
      </c>
      <c r="M12" s="397">
        <f>+M$3*COBERTURA_BOSQUE!M43</f>
        <v>1621.2443836497227</v>
      </c>
      <c r="N12" s="397">
        <f>+N$3*COBERTURA_BOSQUE!N43</f>
        <v>1622.7133342340867</v>
      </c>
      <c r="O12" s="397">
        <f>+O$3*COBERTURA_BOSQUE!P43</f>
        <v>1622.7133342340867</v>
      </c>
      <c r="P12" s="398">
        <f t="shared" si="2"/>
        <v>2049.5638421763215</v>
      </c>
      <c r="Q12" s="398">
        <f t="shared" si="2"/>
        <v>2034.1042501724128</v>
      </c>
      <c r="R12" s="398">
        <f t="shared" si="2"/>
        <v>2018.7612978639395</v>
      </c>
      <c r="S12" s="398">
        <f t="shared" si="2"/>
        <v>2003.5341049934652</v>
      </c>
      <c r="T12" s="398">
        <f t="shared" si="2"/>
        <v>1988.4217979482628</v>
      </c>
      <c r="U12" s="398">
        <f t="shared" si="2"/>
        <v>1973.4254328534676</v>
      </c>
      <c r="V12" s="398">
        <f t="shared" si="2"/>
        <v>1958.5383653051324</v>
      </c>
      <c r="W12" s="398">
        <f t="shared" si="2"/>
        <v>1943.7636465439784</v>
      </c>
      <c r="X12" s="398">
        <f t="shared" si="2"/>
        <v>1929.1060641164511</v>
      </c>
      <c r="Y12" s="398">
        <f t="shared" si="2"/>
        <v>1914.5552822935317</v>
      </c>
      <c r="Z12" s="398">
        <f t="shared" si="2"/>
        <v>1900.1142817072528</v>
      </c>
      <c r="AA12" s="398">
        <f t="shared" si="2"/>
        <v>1885.7822338721326</v>
      </c>
      <c r="AB12" s="399">
        <f t="shared" si="2"/>
        <v>1871.5601372829881</v>
      </c>
    </row>
    <row r="13" spans="2:28" ht="15" thickBot="1" x14ac:dyDescent="0.35">
      <c r="B13" s="186" t="s">
        <v>12</v>
      </c>
      <c r="C13" s="381">
        <f>+C$3*COBERTURA_BOSQUE!C44</f>
        <v>275.18918771256978</v>
      </c>
      <c r="D13" s="381">
        <f>+D$3*COBERTURA_BOSQUE!D44</f>
        <v>265.0827990053748</v>
      </c>
      <c r="E13" s="381">
        <f>+E$3*COBERTURA_BOSQUE!E44</f>
        <v>255.69243326623757</v>
      </c>
      <c r="F13" s="381">
        <f>+F$3*COBERTURA_BOSQUE!F44</f>
        <v>249.8648990640589</v>
      </c>
      <c r="G13" s="381">
        <f>+G$3*COBERTURA_BOSQUE!G44</f>
        <v>244.29707852891903</v>
      </c>
      <c r="H13" s="381">
        <f>+H$3*COBERTURA_BOSQUE!H44</f>
        <v>452.82242102500282</v>
      </c>
      <c r="I13" s="381">
        <f>+I$3*COBERTURA_BOSQUE!I44</f>
        <v>651.93454273614907</v>
      </c>
      <c r="J13" s="381">
        <f>+J$3*COBERTURA_BOSQUE!J44</f>
        <v>572.76368471480396</v>
      </c>
      <c r="K13" s="400">
        <f>+K$3*COBERTURA_BOSQUE!K44</f>
        <v>499.83457407001418</v>
      </c>
      <c r="L13" s="400">
        <f>+L$3*COBERTURA_BOSQUE!L44</f>
        <v>523.89357831639904</v>
      </c>
      <c r="M13" s="400">
        <f>+M$3*COBERTURA_BOSQUE!M44</f>
        <v>523.89357831639904</v>
      </c>
      <c r="N13" s="400">
        <f>+N$3*COBERTURA_BOSQUE!N44</f>
        <v>684.83597194418508</v>
      </c>
      <c r="O13" s="400">
        <f>+O$3*COBERTURA_BOSQUE!P44</f>
        <v>684.83597194418508</v>
      </c>
      <c r="P13" s="398">
        <f t="shared" si="2"/>
        <v>546.72724168909258</v>
      </c>
      <c r="Q13" s="398">
        <f t="shared" si="2"/>
        <v>542.60334961019976</v>
      </c>
      <c r="R13" s="398">
        <f t="shared" si="2"/>
        <v>538.5105715164608</v>
      </c>
      <c r="S13" s="398">
        <f t="shared" si="2"/>
        <v>534.44867259658997</v>
      </c>
      <c r="T13" s="398">
        <f t="shared" si="2"/>
        <v>530.41741981179803</v>
      </c>
      <c r="U13" s="398">
        <f t="shared" si="2"/>
        <v>526.41709488660138</v>
      </c>
      <c r="V13" s="398">
        <f t="shared" si="2"/>
        <v>522.44592540651422</v>
      </c>
      <c r="W13" s="398">
        <f t="shared" si="2"/>
        <v>518.50472529906085</v>
      </c>
      <c r="X13" s="398">
        <f t="shared" si="2"/>
        <v>514.59477165647354</v>
      </c>
      <c r="Y13" s="398">
        <f t="shared" si="2"/>
        <v>510.71330739234162</v>
      </c>
      <c r="Z13" s="398">
        <f t="shared" si="2"/>
        <v>506.86112759911151</v>
      </c>
      <c r="AA13" s="398">
        <f t="shared" si="2"/>
        <v>503.03801127582034</v>
      </c>
      <c r="AB13" s="399">
        <f t="shared" si="2"/>
        <v>499.24422477392625</v>
      </c>
    </row>
    <row r="14" spans="2:28" ht="15" thickBot="1" x14ac:dyDescent="0.35">
      <c r="B14" s="142" t="s">
        <v>34</v>
      </c>
      <c r="C14" s="391"/>
      <c r="D14" s="391"/>
      <c r="E14" s="391"/>
      <c r="F14" s="391"/>
      <c r="G14" s="391"/>
      <c r="H14" s="391"/>
      <c r="I14" s="391"/>
      <c r="J14" s="391"/>
      <c r="K14" s="391"/>
      <c r="L14" s="391"/>
      <c r="M14" s="391"/>
      <c r="N14" s="391"/>
      <c r="O14" s="391"/>
      <c r="P14" s="391"/>
      <c r="Q14" s="391"/>
      <c r="R14" s="391"/>
      <c r="S14" s="391"/>
      <c r="T14" s="391"/>
      <c r="U14" s="391"/>
      <c r="V14" s="391"/>
      <c r="W14" s="391"/>
      <c r="X14" s="391"/>
      <c r="Y14" s="391"/>
      <c r="Z14" s="391"/>
      <c r="AA14" s="391"/>
      <c r="AB14" s="401"/>
    </row>
    <row r="15" spans="2:28" x14ac:dyDescent="0.3">
      <c r="B15" s="191" t="s">
        <v>2</v>
      </c>
      <c r="C15" s="378">
        <f>+COBERTURA_CAMBIOS_TF!E4/1000</f>
        <v>2.9216550000000003</v>
      </c>
      <c r="D15" s="378">
        <f>+COBERTURA_CAMBIOS_TF!F4/1000</f>
        <v>2.9216550000000003</v>
      </c>
      <c r="E15" s="378">
        <f>+COBERTURA_CAMBIOS_TF!G4/1000</f>
        <v>2.9216550000000003</v>
      </c>
      <c r="F15" s="378">
        <f>+COBERTURA_CAMBIOS_TF!H4/1000</f>
        <v>2.9216550000000003</v>
      </c>
      <c r="G15" s="378">
        <f>+COBERTURA_CAMBIOS_TF!I4/1000</f>
        <v>2.9216550000000003</v>
      </c>
      <c r="H15" s="378">
        <f>+COBERTURA_CAMBIOS_TF!J4/1000</f>
        <v>2.0444325000000001</v>
      </c>
      <c r="I15" s="378">
        <f>+COBERTURA_CAMBIOS_TF!K4/1000</f>
        <v>1.1672100000000001</v>
      </c>
      <c r="J15" s="378">
        <f>+COBERTURA_CAMBIOS_TF!L4/1000</f>
        <v>1.0525499999999999</v>
      </c>
      <c r="K15" s="394">
        <f>+COBERTURA_CAMBIOS_TF!M4/1000</f>
        <v>0.93789</v>
      </c>
      <c r="L15" s="394">
        <f>+COBERTURA_CAMBIOS_TF!N4/1000</f>
        <v>3.3829199999999999</v>
      </c>
      <c r="M15" s="394">
        <f>+COBERTURA_CAMBIOS_TF!O4/1000</f>
        <v>3.3829199999999999</v>
      </c>
      <c r="N15" s="394">
        <f>+COBERTURA_CAMBIOS_TF!P4/1000</f>
        <v>2.392925</v>
      </c>
      <c r="O15" s="394">
        <f>+COBERTURA_CAMBIOS_TF!Q4/1000</f>
        <v>2.392925</v>
      </c>
      <c r="P15" s="378">
        <f>+COBERTURA_CAMBIOS_TF!R4/1000</f>
        <v>2.0379782831148416</v>
      </c>
      <c r="Q15" s="378">
        <f>+COBERTURA_CAMBIOS_TF!S4/1000</f>
        <v>2.0226060794676859</v>
      </c>
      <c r="R15" s="378">
        <f>+COBERTURA_CAMBIOS_TF!T4/1000</f>
        <v>2.0073498561873544</v>
      </c>
      <c r="S15" s="378">
        <f>+COBERTURA_CAMBIOS_TF!U4/1000</f>
        <v>1.9922087379922384</v>
      </c>
      <c r="T15" s="378">
        <f>+COBERTURA_CAMBIOS_TF!V4/1000</f>
        <v>1.9771818562078765</v>
      </c>
      <c r="U15" s="378">
        <f>+COBERTURA_CAMBIOS_TF!W4/1000</f>
        <v>1.9622702609894513</v>
      </c>
      <c r="V15" s="378">
        <f>+COBERTURA_CAMBIOS_TF!X4/1000</f>
        <v>1.947467345491803</v>
      </c>
      <c r="W15" s="378">
        <f>+COBERTURA_CAMBIOS_TF!Y4/1000</f>
        <v>1.9327761437079209</v>
      </c>
      <c r="X15" s="378">
        <f>+COBERTURA_CAMBIOS_TF!Z4/1000</f>
        <v>1.9182014161217107</v>
      </c>
      <c r="Y15" s="378">
        <f>+COBERTURA_CAMBIOS_TF!AA4/1000</f>
        <v>1.903732885428876</v>
      </c>
      <c r="Z15" s="378">
        <f>+COBERTURA_CAMBIOS_TF!AB4/1000</f>
        <v>1.889373515412847</v>
      </c>
      <c r="AA15" s="378">
        <f>+COBERTURA_CAMBIOS_TF!AC4/1000</f>
        <v>1.8751224822713155</v>
      </c>
      <c r="AB15" s="379">
        <f>+COBERTURA_CAMBIOS_TF!AD4/1000</f>
        <v>1.860980778854914</v>
      </c>
    </row>
    <row r="16" spans="2:28" x14ac:dyDescent="0.3">
      <c r="B16" s="185" t="s">
        <v>4</v>
      </c>
      <c r="C16" s="375">
        <f>+COBERTURA_CAMBIOS_TF!E5/1000</f>
        <v>14.129010000000008</v>
      </c>
      <c r="D16" s="375">
        <f>+COBERTURA_CAMBIOS_TF!F5/1000</f>
        <v>14.129010000000008</v>
      </c>
      <c r="E16" s="375">
        <f>+COBERTURA_CAMBIOS_TF!G5/1000</f>
        <v>14.129010000000008</v>
      </c>
      <c r="F16" s="375">
        <f>+COBERTURA_CAMBIOS_TF!H5/1000</f>
        <v>14.129010000000008</v>
      </c>
      <c r="G16" s="375">
        <f>+COBERTURA_CAMBIOS_TF!I5/1000</f>
        <v>14.129010000000008</v>
      </c>
      <c r="H16" s="375">
        <f>+COBERTURA_CAMBIOS_TF!J5/1000</f>
        <v>13.915642500000002</v>
      </c>
      <c r="I16" s="375">
        <f>+COBERTURA_CAMBIOS_TF!K5/1000</f>
        <v>13.702274999999998</v>
      </c>
      <c r="J16" s="375">
        <f>+COBERTURA_CAMBIOS_TF!L5/1000</f>
        <v>11.8720075</v>
      </c>
      <c r="K16" s="397">
        <f>+COBERTURA_CAMBIOS_TF!M5/1000</f>
        <v>10.041739999999999</v>
      </c>
      <c r="L16" s="397">
        <f>+COBERTURA_CAMBIOS_TF!N5/1000</f>
        <v>11.193215</v>
      </c>
      <c r="M16" s="397">
        <f>+COBERTURA_CAMBIOS_TF!O5/1000</f>
        <v>11.193215</v>
      </c>
      <c r="N16" s="397">
        <f>+COBERTURA_CAMBIOS_TF!P5/1000</f>
        <v>14.441400000000002</v>
      </c>
      <c r="O16" s="397">
        <f>+COBERTURA_CAMBIOS_TF!Q5/1000</f>
        <v>14.441400000000002</v>
      </c>
      <c r="P16" s="375">
        <f>+COBERTURA_CAMBIOS_TF!R5/1000</f>
        <v>12.299282082712443</v>
      </c>
      <c r="Q16" s="375">
        <f>+COBERTURA_CAMBIOS_TF!S5/1000</f>
        <v>12.206510206556676</v>
      </c>
      <c r="R16" s="375">
        <f>+COBERTURA_CAMBIOS_TF!T5/1000</f>
        <v>12.114438276646387</v>
      </c>
      <c r="S16" s="375">
        <f>+COBERTURA_CAMBIOS_TF!U5/1000</f>
        <v>12.023061010621356</v>
      </c>
      <c r="T16" s="375">
        <f>+COBERTURA_CAMBIOS_TF!V5/1000</f>
        <v>11.93237316599577</v>
      </c>
      <c r="U16" s="375">
        <f>+COBERTURA_CAMBIOS_TF!W5/1000</f>
        <v>11.842381080498996</v>
      </c>
      <c r="V16" s="375">
        <f>+COBERTURA_CAMBIOS_TF!X5/1000</f>
        <v>11.753044881550958</v>
      </c>
      <c r="W16" s="375">
        <f>+COBERTURA_CAMBIOS_TF!Y5/1000</f>
        <v>11.664382879423119</v>
      </c>
      <c r="X16" s="375">
        <f>+COBERTURA_CAMBIOS_TF!Z5/1000</f>
        <v>11.576423803830071</v>
      </c>
      <c r="Y16" s="375">
        <f>+COBERTURA_CAMBIOS_TF!AA5/1000</f>
        <v>11.489105630821095</v>
      </c>
      <c r="Z16" s="375">
        <f>+COBERTURA_CAMBIOS_TF!AB5/1000</f>
        <v>11.402446246950106</v>
      </c>
      <c r="AA16" s="375">
        <f>+COBERTURA_CAMBIOS_TF!AC5/1000</f>
        <v>11.316440680536571</v>
      </c>
      <c r="AB16" s="380">
        <f>+COBERTURA_CAMBIOS_TF!AD5/1000</f>
        <v>11.231094923474556</v>
      </c>
    </row>
    <row r="17" spans="2:30" x14ac:dyDescent="0.3">
      <c r="B17" s="185" t="s">
        <v>5</v>
      </c>
      <c r="C17" s="375">
        <f>+COBERTURA_CAMBIOS_TF!E6/1000</f>
        <v>13.631910000000001</v>
      </c>
      <c r="D17" s="375">
        <f>+COBERTURA_CAMBIOS_TF!F6/1000</f>
        <v>13.631910000000001</v>
      </c>
      <c r="E17" s="375">
        <f>+COBERTURA_CAMBIOS_TF!G6/1000</f>
        <v>13.631910000000001</v>
      </c>
      <c r="F17" s="375">
        <f>+COBERTURA_CAMBIOS_TF!H6/1000</f>
        <v>13.631910000000001</v>
      </c>
      <c r="G17" s="375">
        <f>+COBERTURA_CAMBIOS_TF!I6/1000</f>
        <v>13.631910000000001</v>
      </c>
      <c r="H17" s="375">
        <f>+COBERTURA_CAMBIOS_TF!J6/1000</f>
        <v>13.444094999999999</v>
      </c>
      <c r="I17" s="375">
        <f>+COBERTURA_CAMBIOS_TF!K6/1000</f>
        <v>13.256279999999997</v>
      </c>
      <c r="J17" s="375">
        <f>+COBERTURA_CAMBIOS_TF!L6/1000</f>
        <v>12.232394999999999</v>
      </c>
      <c r="K17" s="397">
        <f>+COBERTURA_CAMBIOS_TF!M6/1000</f>
        <v>11.20851</v>
      </c>
      <c r="L17" s="397">
        <f>+COBERTURA_CAMBIOS_TF!N6/1000</f>
        <v>11.090655</v>
      </c>
      <c r="M17" s="397">
        <f>+COBERTURA_CAMBIOS_TF!O6/1000</f>
        <v>11.090655</v>
      </c>
      <c r="N17" s="397">
        <f>+COBERTURA_CAMBIOS_TF!P6/1000</f>
        <v>8.7539400000000001</v>
      </c>
      <c r="O17" s="397">
        <f>+COBERTURA_CAMBIOS_TF!Q6/1000</f>
        <v>8.7539400000000001</v>
      </c>
      <c r="P17" s="375">
        <f>+COBERTURA_CAMBIOS_TF!R6/1000</f>
        <v>7.4554528920423069</v>
      </c>
      <c r="Q17" s="375">
        <f>+COBERTURA_CAMBIOS_TF!S6/1000</f>
        <v>7.3992173859587549</v>
      </c>
      <c r="R17" s="375">
        <f>+COBERTURA_CAMBIOS_TF!T6/1000</f>
        <v>7.3434061661241907</v>
      </c>
      <c r="S17" s="375">
        <f>+COBERTURA_CAMBIOS_TF!U6/1000</f>
        <v>7.288016030531578</v>
      </c>
      <c r="T17" s="375">
        <f>+COBERTURA_CAMBIOS_TF!V6/1000</f>
        <v>7.2330438013445395</v>
      </c>
      <c r="U17" s="375">
        <f>+COBERTURA_CAMBIOS_TF!W6/1000</f>
        <v>7.1784933203029757</v>
      </c>
      <c r="V17" s="375">
        <f>+COBERTURA_CAMBIOS_TF!X6/1000</f>
        <v>7.1243404178545156</v>
      </c>
      <c r="W17" s="375">
        <f>+COBERTURA_CAMBIOS_TF!Y6/1000</f>
        <v>7.0705961931320527</v>
      </c>
      <c r="X17" s="375">
        <f>+COBERTURA_CAMBIOS_TF!Z6/1000</f>
        <v>7.0172780612198418</v>
      </c>
      <c r="Y17" s="375">
        <f>+COBERTURA_CAMBIOS_TF!AA6/1000</f>
        <v>6.9643484250744407</v>
      </c>
      <c r="Z17" s="375">
        <f>+COBERTURA_CAMBIOS_TF!AB6/1000</f>
        <v>6.9118181269839791</v>
      </c>
      <c r="AA17" s="375">
        <f>+COBERTURA_CAMBIOS_TF!AC6/1000</f>
        <v>6.8596841532660493</v>
      </c>
      <c r="AB17" s="380">
        <f>+COBERTURA_CAMBIOS_TF!AD6/1000</f>
        <v>6.8079501360256538</v>
      </c>
    </row>
    <row r="18" spans="2:30" x14ac:dyDescent="0.3">
      <c r="B18" s="185" t="s">
        <v>6</v>
      </c>
      <c r="C18" s="375">
        <f>+COBERTURA_CAMBIOS_TF!E7/1000</f>
        <v>19.148415</v>
      </c>
      <c r="D18" s="375">
        <f>+COBERTURA_CAMBIOS_TF!F7/1000</f>
        <v>19.148415</v>
      </c>
      <c r="E18" s="375">
        <f>+COBERTURA_CAMBIOS_TF!G7/1000</f>
        <v>19.148415</v>
      </c>
      <c r="F18" s="375">
        <f>+COBERTURA_CAMBIOS_TF!H7/1000</f>
        <v>19.148415</v>
      </c>
      <c r="G18" s="375">
        <f>+COBERTURA_CAMBIOS_TF!I7/1000</f>
        <v>19.148415</v>
      </c>
      <c r="H18" s="375">
        <f>+COBERTURA_CAMBIOS_TF!J7/1000</f>
        <v>15.017677500000001</v>
      </c>
      <c r="I18" s="375">
        <f>+COBERTURA_CAMBIOS_TF!K7/1000</f>
        <v>10.886940000000001</v>
      </c>
      <c r="J18" s="375">
        <f>+COBERTURA_CAMBIOS_TF!L7/1000</f>
        <v>10.514340000000001</v>
      </c>
      <c r="K18" s="397">
        <f>+COBERTURA_CAMBIOS_TF!M7/1000</f>
        <v>10.14174</v>
      </c>
      <c r="L18" s="397">
        <f>+COBERTURA_CAMBIOS_TF!N7/1000</f>
        <v>8.8615349999999999</v>
      </c>
      <c r="M18" s="397">
        <f>+COBERTURA_CAMBIOS_TF!O7/1000</f>
        <v>8.8615349999999999</v>
      </c>
      <c r="N18" s="397">
        <f>+COBERTURA_CAMBIOS_TF!P7/1000</f>
        <v>11.154645</v>
      </c>
      <c r="O18" s="397">
        <f>+COBERTURA_CAMBIOS_TF!Q7/1000</f>
        <v>11.154645</v>
      </c>
      <c r="P18" s="375">
        <f>+COBERTURA_CAMBIOS_TF!R7/1000</f>
        <v>9.5000571542591405</v>
      </c>
      <c r="Q18" s="375">
        <f>+COBERTURA_CAMBIOS_TF!S7/1000</f>
        <v>9.4283994656346621</v>
      </c>
      <c r="R18" s="375">
        <f>+COBERTURA_CAMBIOS_TF!T7/1000</f>
        <v>9.3572824207072891</v>
      </c>
      <c r="S18" s="375">
        <f>+COBERTURA_CAMBIOS_TF!U7/1000</f>
        <v>9.2867019393426187</v>
      </c>
      <c r="T18" s="375">
        <f>+COBERTURA_CAMBIOS_TF!V7/1000</f>
        <v>9.2166539722055258</v>
      </c>
      <c r="U18" s="375">
        <f>+COBERTURA_CAMBIOS_TF!W7/1000</f>
        <v>9.1471434146054218</v>
      </c>
      <c r="V18" s="375">
        <f>+COBERTURA_CAMBIOS_TF!X7/1000</f>
        <v>9.078139468664256</v>
      </c>
      <c r="W18" s="375">
        <f>+COBERTURA_CAMBIOS_TF!Y7/1000</f>
        <v>9.0096562773721871</v>
      </c>
      <c r="X18" s="375">
        <f>+COBERTURA_CAMBIOS_TF!Z7/1000</f>
        <v>8.941716031774904</v>
      </c>
      <c r="Y18" s="375">
        <f>+COBERTURA_CAMBIOS_TF!AA7/1000</f>
        <v>8.874270824110571</v>
      </c>
      <c r="Z18" s="375">
        <f>+COBERTURA_CAMBIOS_TF!AB7/1000</f>
        <v>8.8073344700867491</v>
      </c>
      <c r="AA18" s="375">
        <f>+COBERTURA_CAMBIOS_TF!AC7/1000</f>
        <v>8.7409031295403405</v>
      </c>
      <c r="AB18" s="380">
        <f>+COBERTURA_CAMBIOS_TF!AD7/1000</f>
        <v>8.6749814306549808</v>
      </c>
    </row>
    <row r="19" spans="2:30" x14ac:dyDescent="0.3">
      <c r="B19" s="185" t="s">
        <v>7</v>
      </c>
      <c r="C19" s="375">
        <f>+COBERTURA_CAMBIOS_TF!E8/1000</f>
        <v>2.5439550000000004</v>
      </c>
      <c r="D19" s="375">
        <f>+COBERTURA_CAMBIOS_TF!F8/1000</f>
        <v>2.5439550000000004</v>
      </c>
      <c r="E19" s="375">
        <f>+COBERTURA_CAMBIOS_TF!G8/1000</f>
        <v>2.5439550000000004</v>
      </c>
      <c r="F19" s="375">
        <f>+COBERTURA_CAMBIOS_TF!H8/1000</f>
        <v>2.5439550000000004</v>
      </c>
      <c r="G19" s="375">
        <f>+COBERTURA_CAMBIOS_TF!I8/1000</f>
        <v>2.5439550000000004</v>
      </c>
      <c r="H19" s="375">
        <f>+COBERTURA_CAMBIOS_TF!J8/1000</f>
        <v>2.7403950000000004</v>
      </c>
      <c r="I19" s="375">
        <f>+COBERTURA_CAMBIOS_TF!K8/1000</f>
        <v>2.9368349999999999</v>
      </c>
      <c r="J19" s="375">
        <f>+COBERTURA_CAMBIOS_TF!L8/1000</f>
        <v>2.6194975</v>
      </c>
      <c r="K19" s="397">
        <f>+COBERTURA_CAMBIOS_TF!M8/1000</f>
        <v>2.3021599999999998</v>
      </c>
      <c r="L19" s="397">
        <f>+COBERTURA_CAMBIOS_TF!N8/1000</f>
        <v>3.16913</v>
      </c>
      <c r="M19" s="397">
        <f>+COBERTURA_CAMBIOS_TF!O8/1000</f>
        <v>3.16913</v>
      </c>
      <c r="N19" s="397">
        <f>+COBERTURA_CAMBIOS_TF!P8/1000</f>
        <v>1.3572899999999999</v>
      </c>
      <c r="O19" s="397">
        <f>+COBERTURA_CAMBIOS_TF!Q8/1000</f>
        <v>1.3572899999999999</v>
      </c>
      <c r="P19" s="375">
        <f>+COBERTURA_CAMBIOS_TF!R8/1000</f>
        <v>1.1559608194527382</v>
      </c>
      <c r="Q19" s="375">
        <f>+COBERTURA_CAMBIOS_TF!S8/1000</f>
        <v>1.1472415581769988</v>
      </c>
      <c r="R19" s="375">
        <f>+COBERTURA_CAMBIOS_TF!T8/1000</f>
        <v>1.1385880820771792</v>
      </c>
      <c r="S19" s="375">
        <f>+COBERTURA_CAMBIOS_TF!U8/1000</f>
        <v>1.1299998946851595</v>
      </c>
      <c r="T19" s="375">
        <f>+COBERTURA_CAMBIOS_TF!V8/1000</f>
        <v>1.1214765032804577</v>
      </c>
      <c r="U19" s="375">
        <f>+COBERTURA_CAMBIOS_TF!W8/1000</f>
        <v>1.1130185035211602</v>
      </c>
      <c r="V19" s="375">
        <f>+COBERTURA_CAMBIOS_TF!X8/1000</f>
        <v>1.1046221479413558</v>
      </c>
      <c r="W19" s="375">
        <f>+COBERTURA_CAMBIOS_TF!Y8/1000</f>
        <v>1.0962891574509537</v>
      </c>
      <c r="X19" s="375">
        <f>+COBERTURA_CAMBIOS_TF!Z8/1000</f>
        <v>1.0880222322420623</v>
      </c>
      <c r="Y19" s="375">
        <f>+COBERTURA_CAMBIOS_TF!AA8/1000</f>
        <v>1.0798155429291596</v>
      </c>
      <c r="Z19" s="375">
        <f>+COBERTURA_CAMBIOS_TF!AB8/1000</f>
        <v>1.0716707705986201</v>
      </c>
      <c r="AA19" s="375">
        <f>+COBERTURA_CAMBIOS_TF!AC8/1000</f>
        <v>1.0635874479818772</v>
      </c>
      <c r="AB19" s="380">
        <f>+COBERTURA_CAMBIOS_TF!AD8/1000</f>
        <v>1.0555661382333279</v>
      </c>
    </row>
    <row r="20" spans="2:30" x14ac:dyDescent="0.3">
      <c r="B20" s="185" t="s">
        <v>8</v>
      </c>
      <c r="C20" s="375">
        <f>+COBERTURA_CAMBIOS_TF!E9/1000</f>
        <v>22.227494999999998</v>
      </c>
      <c r="D20" s="375">
        <f>+COBERTURA_CAMBIOS_TF!F9/1000</f>
        <v>22.227494999999998</v>
      </c>
      <c r="E20" s="375">
        <f>+COBERTURA_CAMBIOS_TF!G9/1000</f>
        <v>22.227494999999998</v>
      </c>
      <c r="F20" s="375">
        <f>+COBERTURA_CAMBIOS_TF!H9/1000</f>
        <v>22.227494999999998</v>
      </c>
      <c r="G20" s="375">
        <f>+COBERTURA_CAMBIOS_TF!I9/1000</f>
        <v>22.227494999999998</v>
      </c>
      <c r="H20" s="375">
        <f>+COBERTURA_CAMBIOS_TF!J9/1000</f>
        <v>24.651502500000003</v>
      </c>
      <c r="I20" s="375">
        <f>+COBERTURA_CAMBIOS_TF!K9/1000</f>
        <v>27.075510000000001</v>
      </c>
      <c r="J20" s="375">
        <f>+COBERTURA_CAMBIOS_TF!L9/1000</f>
        <v>25.636365000000001</v>
      </c>
      <c r="K20" s="397">
        <f>+COBERTURA_CAMBIOS_TF!M9/1000</f>
        <v>24.197220000000002</v>
      </c>
      <c r="L20" s="397">
        <f>+COBERTURA_CAMBIOS_TF!N9/1000</f>
        <v>26.998740000000002</v>
      </c>
      <c r="M20" s="397">
        <f>+COBERTURA_CAMBIOS_TF!O9/1000</f>
        <v>26.998740000000002</v>
      </c>
      <c r="N20" s="397">
        <f>+COBERTURA_CAMBIOS_TF!P9/1000</f>
        <v>28.947380000000003</v>
      </c>
      <c r="O20" s="397">
        <f>+COBERTURA_CAMBIOS_TF!Q9/1000</f>
        <v>28.947380000000003</v>
      </c>
      <c r="P20" s="375">
        <f>+COBERTURA_CAMBIOS_TF!R9/1000</f>
        <v>24.653564901981007</v>
      </c>
      <c r="Q20" s="375">
        <f>+COBERTURA_CAMBIOS_TF!S9/1000</f>
        <v>24.467606286307053</v>
      </c>
      <c r="R20" s="375">
        <f>+COBERTURA_CAMBIOS_TF!T9/1000</f>
        <v>24.28305069318959</v>
      </c>
      <c r="S20" s="375">
        <f>+COBERTURA_CAMBIOS_TF!U9/1000</f>
        <v>24.099887534286182</v>
      </c>
      <c r="T20" s="375">
        <f>+COBERTURA_CAMBIOS_TF!V9/1000</f>
        <v>23.91810630118151</v>
      </c>
      <c r="U20" s="375">
        <f>+COBERTURA_CAMBIOS_TF!W9/1000</f>
        <v>23.737719697675786</v>
      </c>
      <c r="V20" s="375">
        <f>+COBERTURA_CAMBIOS_TF!X9/1000</f>
        <v>23.558647800304026</v>
      </c>
      <c r="W20" s="375">
        <f>+COBERTURA_CAMBIOS_TF!Y9/1000</f>
        <v>23.380927311490247</v>
      </c>
      <c r="X20" s="375">
        <f>+COBERTURA_CAMBIOS_TF!Z9/1000</f>
        <v>23.204615819139043</v>
      </c>
      <c r="Y20" s="375">
        <f>+COBERTURA_CAMBIOS_TF!AA9/1000</f>
        <v>23.029588997986203</v>
      </c>
      <c r="Z20" s="375">
        <f>+COBERTURA_CAMBIOS_TF!AB9/1000</f>
        <v>22.855882701125832</v>
      </c>
      <c r="AA20" s="375">
        <f>+COBERTURA_CAMBIOS_TF!AC9/1000</f>
        <v>22.683486962964167</v>
      </c>
      <c r="AB20" s="380">
        <f>+COBERTURA_CAMBIOS_TF!AD9/1000</f>
        <v>22.512413794084296</v>
      </c>
    </row>
    <row r="21" spans="2:30" x14ac:dyDescent="0.3">
      <c r="B21" s="185" t="s">
        <v>9</v>
      </c>
      <c r="C21" s="375">
        <f>+COBERTURA_CAMBIOS_TF!E10/1000</f>
        <v>19.344360000000002</v>
      </c>
      <c r="D21" s="375">
        <f>+COBERTURA_CAMBIOS_TF!F10/1000</f>
        <v>19.344360000000002</v>
      </c>
      <c r="E21" s="375">
        <f>+COBERTURA_CAMBIOS_TF!G10/1000</f>
        <v>19.344360000000002</v>
      </c>
      <c r="F21" s="375">
        <f>+COBERTURA_CAMBIOS_TF!H10/1000</f>
        <v>19.344360000000002</v>
      </c>
      <c r="G21" s="375">
        <f>+COBERTURA_CAMBIOS_TF!I10/1000</f>
        <v>19.344360000000002</v>
      </c>
      <c r="H21" s="375">
        <f>+COBERTURA_CAMBIOS_TF!J10/1000</f>
        <v>19.871790000000001</v>
      </c>
      <c r="I21" s="375">
        <f>+COBERTURA_CAMBIOS_TF!K10/1000</f>
        <v>20.399220000000003</v>
      </c>
      <c r="J21" s="375">
        <f>+COBERTURA_CAMBIOS_TF!L10/1000</f>
        <v>19.175940000000001</v>
      </c>
      <c r="K21" s="397">
        <f>+COBERTURA_CAMBIOS_TF!M10/1000</f>
        <v>17.952660000000002</v>
      </c>
      <c r="L21" s="397">
        <f>+COBERTURA_CAMBIOS_TF!N10/1000</f>
        <v>16.612379999999998</v>
      </c>
      <c r="M21" s="397">
        <f>+COBERTURA_CAMBIOS_TF!O10/1000</f>
        <v>16.612379999999998</v>
      </c>
      <c r="N21" s="397">
        <f>+COBERTURA_CAMBIOS_TF!P10/1000</f>
        <v>23.323995000000004</v>
      </c>
      <c r="O21" s="397">
        <f>+COBERTURA_CAMBIOS_TF!Q10/1000</f>
        <v>23.323995000000004</v>
      </c>
      <c r="P21" s="375">
        <f>+COBERTURA_CAMBIOS_TF!R10/1000</f>
        <v>19.86430635539315</v>
      </c>
      <c r="Q21" s="375">
        <f>+COBERTURA_CAMBIOS_TF!S10/1000</f>
        <v>19.714472490560254</v>
      </c>
      <c r="R21" s="375">
        <f>+COBERTURA_CAMBIOS_TF!T10/1000</f>
        <v>19.565769093876561</v>
      </c>
      <c r="S21" s="375">
        <f>+COBERTURA_CAMBIOS_TF!U10/1000</f>
        <v>19.418187633915512</v>
      </c>
      <c r="T21" s="375">
        <f>+COBERTURA_CAMBIOS_TF!V10/1000</f>
        <v>19.271719643650862</v>
      </c>
      <c r="U21" s="375">
        <f>+COBERTURA_CAMBIOS_TF!W10/1000</f>
        <v>19.126375359013196</v>
      </c>
      <c r="V21" s="375">
        <f>+COBERTURA_CAMBIOS_TF!X10/1000</f>
        <v>18.982090382654736</v>
      </c>
      <c r="W21" s="375">
        <f>+COBERTURA_CAMBIOS_TF!Y10/1000</f>
        <v>18.838894287101695</v>
      </c>
      <c r="X21" s="375">
        <f>+COBERTURA_CAMBIOS_TF!Z10/1000</f>
        <v>18.696833473099115</v>
      </c>
      <c r="Y21" s="375">
        <f>+COBERTURA_CAMBIOS_TF!AA10/1000</f>
        <v>18.555807767096201</v>
      </c>
      <c r="Z21" s="375">
        <f>+COBERTURA_CAMBIOS_TF!AB10/1000</f>
        <v>18.415846057282057</v>
      </c>
      <c r="AA21" s="375">
        <f>+COBERTURA_CAMBIOS_TF!AC10/1000</f>
        <v>18.276940314002214</v>
      </c>
      <c r="AB21" s="380">
        <f>+COBERTURA_CAMBIOS_TF!AD10/1000</f>
        <v>18.139100214636112</v>
      </c>
    </row>
    <row r="22" spans="2:30" x14ac:dyDescent="0.3">
      <c r="B22" s="185" t="s">
        <v>10</v>
      </c>
      <c r="C22" s="375">
        <f>+COBERTURA_CAMBIOS_TF!E11/1000</f>
        <v>0.3635250000000001</v>
      </c>
      <c r="D22" s="375">
        <f>+COBERTURA_CAMBIOS_TF!F11/1000</f>
        <v>0.3635250000000001</v>
      </c>
      <c r="E22" s="375">
        <f>+COBERTURA_CAMBIOS_TF!G11/1000</f>
        <v>0.3635250000000001</v>
      </c>
      <c r="F22" s="375">
        <f>+COBERTURA_CAMBIOS_TF!H11/1000</f>
        <v>0.3635250000000001</v>
      </c>
      <c r="G22" s="375">
        <f>+COBERTURA_CAMBIOS_TF!I11/1000</f>
        <v>0.3635250000000001</v>
      </c>
      <c r="H22" s="375">
        <f>+COBERTURA_CAMBIOS_TF!J11/1000</f>
        <v>0.56131500000000023</v>
      </c>
      <c r="I22" s="375">
        <f>+COBERTURA_CAMBIOS_TF!K11/1000</f>
        <v>0.75910500000000058</v>
      </c>
      <c r="J22" s="375">
        <f>+COBERTURA_CAMBIOS_TF!L11/1000</f>
        <v>0.53824750000000032</v>
      </c>
      <c r="K22" s="397">
        <f>+COBERTURA_CAMBIOS_TF!M11/1000</f>
        <v>0.31739000000000001</v>
      </c>
      <c r="L22" s="397">
        <f>+COBERTURA_CAMBIOS_TF!N11/1000</f>
        <v>0.13797499999999999</v>
      </c>
      <c r="M22" s="397">
        <f>+COBERTURA_CAMBIOS_TF!O11/1000</f>
        <v>0.13797499999999999</v>
      </c>
      <c r="N22" s="397">
        <f>+COBERTURA_CAMBIOS_TF!P11/1000</f>
        <v>0.32957999999999998</v>
      </c>
      <c r="O22" s="397">
        <f>+COBERTURA_CAMBIOS_TF!Q11/1000</f>
        <v>0.32957999999999998</v>
      </c>
      <c r="P22" s="375">
        <f>+COBERTURA_CAMBIOS_TF!R11/1000</f>
        <v>0.28069282679105673</v>
      </c>
      <c r="Q22" s="375">
        <f>+COBERTURA_CAMBIOS_TF!S11/1000</f>
        <v>0.27857559750972544</v>
      </c>
      <c r="R22" s="375">
        <f>+COBERTURA_CAMBIOS_TF!T11/1000</f>
        <v>0.27647434232256679</v>
      </c>
      <c r="S22" s="375">
        <f>+COBERTURA_CAMBIOS_TF!U11/1000</f>
        <v>0.27438894067615233</v>
      </c>
      <c r="T22" s="375">
        <f>+COBERTURA_CAMBIOS_TF!V11/1000</f>
        <v>0.27231927292706287</v>
      </c>
      <c r="U22" s="375">
        <f>+COBERTURA_CAMBIOS_TF!W11/1000</f>
        <v>0.2702654837142423</v>
      </c>
      <c r="V22" s="375">
        <f>+COBERTURA_CAMBIOS_TF!X11/1000</f>
        <v>0.26822666307017073</v>
      </c>
      <c r="W22" s="375">
        <f>+COBERTURA_CAMBIOS_TF!Y11/1000</f>
        <v>0.26620322886979597</v>
      </c>
      <c r="X22" s="375">
        <f>+COBERTURA_CAMBIOS_TF!Z11/1000</f>
        <v>0.26419583677941988</v>
      </c>
      <c r="Y22" s="375">
        <f>+COBERTURA_CAMBIOS_TF!AA11/1000</f>
        <v>0.2622030712954434</v>
      </c>
      <c r="Z22" s="375">
        <f>+COBERTURA_CAMBIOS_TF!AB11/1000</f>
        <v>0.26022534062278002</v>
      </c>
      <c r="AA22" s="375">
        <f>+COBERTURA_CAMBIOS_TF!AC11/1000</f>
        <v>0.25826253129829813</v>
      </c>
      <c r="AB22" s="380">
        <f>+COBERTURA_CAMBIOS_TF!AD11/1000</f>
        <v>0.25631478006832747</v>
      </c>
    </row>
    <row r="23" spans="2:30" x14ac:dyDescent="0.3">
      <c r="B23" s="185" t="s">
        <v>11</v>
      </c>
      <c r="C23" s="375">
        <f>+COBERTURA_CAMBIOS_TF!E12/1000</f>
        <v>0.42367500000000002</v>
      </c>
      <c r="D23" s="375">
        <f>+COBERTURA_CAMBIOS_TF!F12/1000</f>
        <v>0.42367500000000002</v>
      </c>
      <c r="E23" s="375">
        <f>+COBERTURA_CAMBIOS_TF!G12/1000</f>
        <v>0.42367500000000002</v>
      </c>
      <c r="F23" s="375">
        <f>+COBERTURA_CAMBIOS_TF!H12/1000</f>
        <v>0.42367500000000002</v>
      </c>
      <c r="G23" s="375">
        <f>+COBERTURA_CAMBIOS_TF!I12/1000</f>
        <v>0.42367500000000002</v>
      </c>
      <c r="H23" s="375">
        <f>+COBERTURA_CAMBIOS_TF!J12/1000</f>
        <v>0.50665499999999997</v>
      </c>
      <c r="I23" s="375">
        <f>+COBERTURA_CAMBIOS_TF!K12/1000</f>
        <v>0.58963500000000002</v>
      </c>
      <c r="J23" s="375">
        <f>+COBERTURA_CAMBIOS_TF!L12/1000</f>
        <v>0.46327499999999999</v>
      </c>
      <c r="K23" s="397">
        <f>+COBERTURA_CAMBIOS_TF!M12/1000</f>
        <v>0.33691500000000002</v>
      </c>
      <c r="L23" s="397">
        <f>+COBERTURA_CAMBIOS_TF!N12/1000</f>
        <v>0.62104999999999999</v>
      </c>
      <c r="M23" s="397">
        <f>+COBERTURA_CAMBIOS_TF!O12/1000</f>
        <v>0.62104999999999999</v>
      </c>
      <c r="N23" s="397">
        <f>+COBERTURA_CAMBIOS_TF!P12/1000</f>
        <v>0.66789500000000002</v>
      </c>
      <c r="O23" s="397">
        <f>+COBERTURA_CAMBIOS_TF!Q12/1000</f>
        <v>0.66789500000000002</v>
      </c>
      <c r="P23" s="375">
        <f>+COBERTURA_CAMBIOS_TF!R12/1000</f>
        <v>0.56882497587721592</v>
      </c>
      <c r="Q23" s="375">
        <f>+COBERTURA_CAMBIOS_TF!S12/1000</f>
        <v>0.56453440347945283</v>
      </c>
      <c r="R23" s="375">
        <f>+COBERTURA_CAMBIOS_TF!T12/1000</f>
        <v>0.56027620263829958</v>
      </c>
      <c r="S23" s="375">
        <f>+COBERTURA_CAMBIOS_TF!U12/1000</f>
        <v>0.55605012905181983</v>
      </c>
      <c r="T23" s="375">
        <f>+COBERTURA_CAMBIOS_TF!V12/1000</f>
        <v>0.55185594026221452</v>
      </c>
      <c r="U23" s="375">
        <f>+COBERTURA_CAMBIOS_TF!W12/1000</f>
        <v>0.54769392938079942</v>
      </c>
      <c r="V23" s="375">
        <f>+COBERTURA_CAMBIOS_TF!X12/1000</f>
        <v>0.54356225235527555</v>
      </c>
      <c r="W23" s="375">
        <f>+COBERTURA_CAMBIOS_TF!Y12/1000</f>
        <v>0.53946175601065716</v>
      </c>
      <c r="X23" s="375">
        <f>+COBERTURA_CAMBIOS_TF!Z12/1000</f>
        <v>0.53539376905695324</v>
      </c>
      <c r="Y23" s="375">
        <f>+COBERTURA_CAMBIOS_TF!AA12/1000</f>
        <v>0.53135542297126703</v>
      </c>
      <c r="Z23" s="375">
        <f>+COBERTURA_CAMBIOS_TF!AB12/1000</f>
        <v>0.52734754498225522</v>
      </c>
      <c r="AA23" s="375">
        <f>+COBERTURA_CAMBIOS_TF!AC12/1000</f>
        <v>0.52336990515649273</v>
      </c>
      <c r="AB23" s="380">
        <f>+COBERTURA_CAMBIOS_TF!AD12/1000</f>
        <v>0.51942278061088532</v>
      </c>
    </row>
    <row r="24" spans="2:30" ht="15" thickBot="1" x14ac:dyDescent="0.35">
      <c r="B24" s="186" t="s">
        <v>12</v>
      </c>
      <c r="C24" s="381">
        <f>+COBERTURA_CAMBIOS_TF!E13/1000</f>
        <v>2.3009899999999996</v>
      </c>
      <c r="D24" s="381">
        <f>+COBERTURA_CAMBIOS_TF!F13/1000</f>
        <v>2.3009899999999996</v>
      </c>
      <c r="E24" s="381">
        <f>+COBERTURA_CAMBIOS_TF!G13/1000</f>
        <v>2.3009899999999996</v>
      </c>
      <c r="F24" s="381">
        <f>+COBERTURA_CAMBIOS_TF!H13/1000</f>
        <v>2.3009899999999996</v>
      </c>
      <c r="G24" s="381">
        <f>+COBERTURA_CAMBIOS_TF!I13/1000</f>
        <v>2.3009899999999996</v>
      </c>
      <c r="H24" s="381">
        <f>+COBERTURA_CAMBIOS_TF!J13/1000</f>
        <v>6.7188400000000001</v>
      </c>
      <c r="I24" s="381">
        <f>+COBERTURA_CAMBIOS_TF!K13/1000</f>
        <v>11.13669</v>
      </c>
      <c r="J24" s="381">
        <f>+COBERTURA_CAMBIOS_TF!L13/1000</f>
        <v>9.8690625000000001</v>
      </c>
      <c r="K24" s="400">
        <f>+COBERTURA_CAMBIOS_TF!M13/1000</f>
        <v>8.6014349999999986</v>
      </c>
      <c r="L24" s="400">
        <f>+COBERTURA_CAMBIOS_TF!N13/1000</f>
        <v>1.9037299999999999</v>
      </c>
      <c r="M24" s="400">
        <f>+COBERTURA_CAMBIOS_TF!O13/1000</f>
        <v>1.9037299999999999</v>
      </c>
      <c r="N24" s="400">
        <f>+COBERTURA_CAMBIOS_TF!P13/1000</f>
        <v>5.155120000000001</v>
      </c>
      <c r="O24" s="400">
        <f>+COBERTURA_CAMBIOS_TF!Q13/1000</f>
        <v>5.155120000000001</v>
      </c>
      <c r="P24" s="381">
        <f>+COBERTURA_CAMBIOS_TF!R13/1000</f>
        <v>4.3904521064600788</v>
      </c>
      <c r="Q24" s="381">
        <f>+COBERTURA_CAMBIOS_TF!S13/1000</f>
        <v>4.357335500437939</v>
      </c>
      <c r="R24" s="381">
        <f>+COBERTURA_CAMBIOS_TF!T13/1000</f>
        <v>4.3244687529398353</v>
      </c>
      <c r="S24" s="381">
        <f>+COBERTURA_CAMBIOS_TF!U13/1000</f>
        <v>4.2918499783313511</v>
      </c>
      <c r="T24" s="381">
        <f>+COBERTURA_CAMBIOS_TF!V13/1000</f>
        <v>4.2594773052119681</v>
      </c>
      <c r="U24" s="381">
        <f>+COBERTURA_CAMBIOS_TF!W13/1000</f>
        <v>4.2273529959492846</v>
      </c>
      <c r="V24" s="381">
        <f>+COBERTURA_CAMBIOS_TF!X13/1000</f>
        <v>4.1954628173017143</v>
      </c>
      <c r="W24" s="381">
        <f>+COBERTURA_CAMBIOS_TF!Y13/1000</f>
        <v>4.1638133054531909</v>
      </c>
      <c r="X24" s="381">
        <f>+COBERTURA_CAMBIOS_TF!Z13/1000</f>
        <v>4.132414715997097</v>
      </c>
      <c r="Y24" s="381">
        <f>+COBERTURA_CAMBIOS_TF!AA13/1000</f>
        <v>4.1012449083578089</v>
      </c>
      <c r="Z24" s="381">
        <f>+COBERTURA_CAMBIOS_TF!AB13/1000</f>
        <v>4.0703102674655813</v>
      </c>
      <c r="AA24" s="381">
        <f>+COBERTURA_CAMBIOS_TF!AC13/1000</f>
        <v>4.0396090185887585</v>
      </c>
      <c r="AB24" s="382">
        <f>+COBERTURA_CAMBIOS_TF!AD13/1000</f>
        <v>4.009143300642747</v>
      </c>
    </row>
    <row r="25" spans="2:30" ht="15" thickBot="1" x14ac:dyDescent="0.35">
      <c r="B25" s="142" t="s">
        <v>35</v>
      </c>
      <c r="C25" s="391"/>
      <c r="D25" s="391"/>
      <c r="E25" s="391"/>
      <c r="F25" s="391"/>
      <c r="G25" s="391"/>
      <c r="H25" s="391"/>
      <c r="I25" s="391"/>
      <c r="J25" s="391"/>
      <c r="K25" s="391"/>
      <c r="L25" s="391"/>
      <c r="M25" s="391"/>
      <c r="N25" s="391"/>
      <c r="O25" s="391"/>
      <c r="P25" s="391"/>
      <c r="Q25" s="391"/>
      <c r="R25" s="391"/>
      <c r="S25" s="391"/>
      <c r="T25" s="391"/>
      <c r="U25" s="391"/>
      <c r="V25" s="391"/>
      <c r="W25" s="391"/>
      <c r="X25" s="391"/>
      <c r="Y25" s="391"/>
      <c r="Z25" s="391"/>
      <c r="AA25" s="391"/>
      <c r="AB25" s="401"/>
      <c r="AD25" s="417" t="s">
        <v>232</v>
      </c>
    </row>
    <row r="26" spans="2:30" x14ac:dyDescent="0.3">
      <c r="B26" s="191" t="s">
        <v>2</v>
      </c>
      <c r="C26" s="402">
        <f t="shared" ref="C26:O26" si="3">+C4/C15</f>
        <v>30.385207518368411</v>
      </c>
      <c r="D26" s="402">
        <f t="shared" si="3"/>
        <v>31.768329532381586</v>
      </c>
      <c r="E26" s="402">
        <f t="shared" si="3"/>
        <v>33.053459359635241</v>
      </c>
      <c r="F26" s="402">
        <f t="shared" si="3"/>
        <v>32.585063341042641</v>
      </c>
      <c r="G26" s="402">
        <f t="shared" si="3"/>
        <v>32.137542163059223</v>
      </c>
      <c r="H26" s="402">
        <f t="shared" si="3"/>
        <v>45.032754301432995</v>
      </c>
      <c r="I26" s="402">
        <f t="shared" si="3"/>
        <v>77.345076509391205</v>
      </c>
      <c r="J26" s="402">
        <f t="shared" si="3"/>
        <v>78.894191365290212</v>
      </c>
      <c r="K26" s="403">
        <f t="shared" si="3"/>
        <v>81.084196660012907</v>
      </c>
      <c r="L26" s="403">
        <f t="shared" si="3"/>
        <v>23.562055664504154</v>
      </c>
      <c r="M26" s="403">
        <f t="shared" si="3"/>
        <v>23.562055664504154</v>
      </c>
      <c r="N26" s="403">
        <f t="shared" si="3"/>
        <v>33.888213703866576</v>
      </c>
      <c r="O26" s="403">
        <f t="shared" si="3"/>
        <v>33.888213703866576</v>
      </c>
      <c r="P26" s="340">
        <f>IF(AD26="CONSTANTE",O26,AVERAGE(C26:O26))</f>
        <v>42.860489191335063</v>
      </c>
      <c r="Q26" s="378">
        <f t="shared" ref="Q26:AB26" si="4">+P26</f>
        <v>42.860489191335063</v>
      </c>
      <c r="R26" s="378">
        <f t="shared" si="4"/>
        <v>42.860489191335063</v>
      </c>
      <c r="S26" s="378">
        <f t="shared" si="4"/>
        <v>42.860489191335063</v>
      </c>
      <c r="T26" s="378">
        <f t="shared" si="4"/>
        <v>42.860489191335063</v>
      </c>
      <c r="U26" s="378">
        <f t="shared" si="4"/>
        <v>42.860489191335063</v>
      </c>
      <c r="V26" s="378">
        <f t="shared" si="4"/>
        <v>42.860489191335063</v>
      </c>
      <c r="W26" s="378">
        <f t="shared" si="4"/>
        <v>42.860489191335063</v>
      </c>
      <c r="X26" s="378">
        <f t="shared" si="4"/>
        <v>42.860489191335063</v>
      </c>
      <c r="Y26" s="378">
        <f t="shared" si="4"/>
        <v>42.860489191335063</v>
      </c>
      <c r="Z26" s="378">
        <f t="shared" si="4"/>
        <v>42.860489191335063</v>
      </c>
      <c r="AA26" s="378">
        <f t="shared" si="4"/>
        <v>42.860489191335063</v>
      </c>
      <c r="AB26" s="379">
        <f t="shared" si="4"/>
        <v>42.860489191335063</v>
      </c>
      <c r="AD26" s="418" t="s">
        <v>234</v>
      </c>
    </row>
    <row r="27" spans="2:30" x14ac:dyDescent="0.3">
      <c r="B27" s="185" t="s">
        <v>4</v>
      </c>
      <c r="C27" s="404">
        <f t="shared" ref="C27:O27" si="5">+C5/C16</f>
        <v>61.356407031289791</v>
      </c>
      <c r="D27" s="404">
        <f t="shared" si="5"/>
        <v>61.86325775699914</v>
      </c>
      <c r="E27" s="404">
        <f t="shared" si="5"/>
        <v>62.334198844607371</v>
      </c>
      <c r="F27" s="404">
        <f t="shared" si="5"/>
        <v>62.837348623002931</v>
      </c>
      <c r="G27" s="404">
        <f t="shared" si="5"/>
        <v>63.318074702200235</v>
      </c>
      <c r="H27" s="404">
        <f t="shared" si="5"/>
        <v>62.774836853358806</v>
      </c>
      <c r="I27" s="404">
        <f t="shared" si="5"/>
        <v>62.254311026120597</v>
      </c>
      <c r="J27" s="404">
        <f t="shared" si="5"/>
        <v>66.186212701213151</v>
      </c>
      <c r="K27" s="405">
        <f t="shared" si="5"/>
        <v>71.764108682689979</v>
      </c>
      <c r="L27" s="405">
        <f t="shared" si="5"/>
        <v>67.4804862793642</v>
      </c>
      <c r="M27" s="405">
        <f t="shared" si="5"/>
        <v>67.4804862793642</v>
      </c>
      <c r="N27" s="405">
        <f t="shared" si="5"/>
        <v>57.402721064027915</v>
      </c>
      <c r="O27" s="405">
        <f t="shared" si="5"/>
        <v>57.402721064027915</v>
      </c>
      <c r="P27" s="375">
        <f t="shared" ref="P27:P35" si="6">IF(AD27="CONSTANTE",O27,AVERAGE(C27:O27))</f>
        <v>63.419628531405088</v>
      </c>
      <c r="Q27" s="375">
        <f t="shared" ref="Q27:AB35" si="7">+P27</f>
        <v>63.419628531405088</v>
      </c>
      <c r="R27" s="375">
        <f t="shared" si="7"/>
        <v>63.419628531405088</v>
      </c>
      <c r="S27" s="375">
        <f t="shared" si="7"/>
        <v>63.419628531405088</v>
      </c>
      <c r="T27" s="375">
        <f t="shared" si="7"/>
        <v>63.419628531405088</v>
      </c>
      <c r="U27" s="375">
        <f t="shared" si="7"/>
        <v>63.419628531405088</v>
      </c>
      <c r="V27" s="375">
        <f t="shared" si="7"/>
        <v>63.419628531405088</v>
      </c>
      <c r="W27" s="375">
        <f t="shared" si="7"/>
        <v>63.419628531405088</v>
      </c>
      <c r="X27" s="375">
        <f t="shared" si="7"/>
        <v>63.419628531405088</v>
      </c>
      <c r="Y27" s="375">
        <f t="shared" si="7"/>
        <v>63.419628531405088</v>
      </c>
      <c r="Z27" s="375">
        <f t="shared" si="7"/>
        <v>63.419628531405088</v>
      </c>
      <c r="AA27" s="375">
        <f t="shared" si="7"/>
        <v>63.419628531405088</v>
      </c>
      <c r="AB27" s="380">
        <f t="shared" si="7"/>
        <v>63.419628531405088</v>
      </c>
      <c r="AD27" s="418" t="s">
        <v>234</v>
      </c>
    </row>
    <row r="28" spans="2:30" x14ac:dyDescent="0.3">
      <c r="B28" s="185" t="s">
        <v>5</v>
      </c>
      <c r="C28" s="404">
        <f t="shared" ref="C28:O28" si="8">+C6/C17</f>
        <v>608.09036745229139</v>
      </c>
      <c r="D28" s="404">
        <f t="shared" si="8"/>
        <v>588.65887284782548</v>
      </c>
      <c r="E28" s="404">
        <f t="shared" si="8"/>
        <v>570.60407142661143</v>
      </c>
      <c r="F28" s="404">
        <f t="shared" si="8"/>
        <v>573.97491933962215</v>
      </c>
      <c r="G28" s="404">
        <f t="shared" si="8"/>
        <v>577.19553985933942</v>
      </c>
      <c r="H28" s="404">
        <f t="shared" si="8"/>
        <v>572.60935565672355</v>
      </c>
      <c r="I28" s="404">
        <f t="shared" si="8"/>
        <v>568.20217899070394</v>
      </c>
      <c r="J28" s="404">
        <f t="shared" si="8"/>
        <v>572.08448235990136</v>
      </c>
      <c r="K28" s="405">
        <f t="shared" si="8"/>
        <v>577.47517095343335</v>
      </c>
      <c r="L28" s="405">
        <f t="shared" si="8"/>
        <v>611.70324669078002</v>
      </c>
      <c r="M28" s="405">
        <f t="shared" si="8"/>
        <v>611.70324669078002</v>
      </c>
      <c r="N28" s="405">
        <f t="shared" si="8"/>
        <v>854.34496931340243</v>
      </c>
      <c r="O28" s="405">
        <f t="shared" si="8"/>
        <v>854.34496931340243</v>
      </c>
      <c r="P28" s="375">
        <f t="shared" si="6"/>
        <v>626.230106991909</v>
      </c>
      <c r="Q28" s="375">
        <f t="shared" si="7"/>
        <v>626.230106991909</v>
      </c>
      <c r="R28" s="375">
        <f t="shared" si="7"/>
        <v>626.230106991909</v>
      </c>
      <c r="S28" s="375">
        <f t="shared" si="7"/>
        <v>626.230106991909</v>
      </c>
      <c r="T28" s="375">
        <f t="shared" si="7"/>
        <v>626.230106991909</v>
      </c>
      <c r="U28" s="375">
        <f t="shared" si="7"/>
        <v>626.230106991909</v>
      </c>
      <c r="V28" s="375">
        <f t="shared" si="7"/>
        <v>626.230106991909</v>
      </c>
      <c r="W28" s="375">
        <f t="shared" si="7"/>
        <v>626.230106991909</v>
      </c>
      <c r="X28" s="375">
        <f t="shared" si="7"/>
        <v>626.230106991909</v>
      </c>
      <c r="Y28" s="375">
        <f t="shared" si="7"/>
        <v>626.230106991909</v>
      </c>
      <c r="Z28" s="375">
        <f t="shared" si="7"/>
        <v>626.230106991909</v>
      </c>
      <c r="AA28" s="375">
        <f t="shared" si="7"/>
        <v>626.230106991909</v>
      </c>
      <c r="AB28" s="380">
        <f t="shared" si="7"/>
        <v>626.230106991909</v>
      </c>
      <c r="AD28" s="418" t="s">
        <v>234</v>
      </c>
    </row>
    <row r="29" spans="2:30" x14ac:dyDescent="0.3">
      <c r="B29" s="185" t="s">
        <v>6</v>
      </c>
      <c r="C29" s="404">
        <f t="shared" ref="C29:O29" si="9">+C7/C18</f>
        <v>175.97284805566932</v>
      </c>
      <c r="D29" s="404">
        <f t="shared" si="9"/>
        <v>169.8746209123284</v>
      </c>
      <c r="E29" s="404">
        <f t="shared" si="9"/>
        <v>164.20844430905396</v>
      </c>
      <c r="F29" s="404">
        <f t="shared" si="9"/>
        <v>166.69076164201331</v>
      </c>
      <c r="G29" s="404">
        <f t="shared" si="9"/>
        <v>169.06245041151323</v>
      </c>
      <c r="H29" s="404">
        <f t="shared" si="9"/>
        <v>210.51659904751008</v>
      </c>
      <c r="I29" s="404">
        <f t="shared" si="9"/>
        <v>283.60663525765113</v>
      </c>
      <c r="J29" s="404">
        <f t="shared" si="9"/>
        <v>275.00512650678235</v>
      </c>
      <c r="K29" s="405">
        <f t="shared" si="9"/>
        <v>265.75871297275813</v>
      </c>
      <c r="L29" s="405">
        <f t="shared" si="9"/>
        <v>318.79228962164694</v>
      </c>
      <c r="M29" s="405">
        <f t="shared" si="9"/>
        <v>318.79228962164694</v>
      </c>
      <c r="N29" s="405">
        <f t="shared" si="9"/>
        <v>274.66006244376968</v>
      </c>
      <c r="O29" s="405">
        <f t="shared" si="9"/>
        <v>274.66006244376968</v>
      </c>
      <c r="P29" s="375">
        <f t="shared" si="6"/>
        <v>235.96930024970101</v>
      </c>
      <c r="Q29" s="375">
        <f t="shared" si="7"/>
        <v>235.96930024970101</v>
      </c>
      <c r="R29" s="375">
        <f t="shared" si="7"/>
        <v>235.96930024970101</v>
      </c>
      <c r="S29" s="375">
        <f t="shared" si="7"/>
        <v>235.96930024970101</v>
      </c>
      <c r="T29" s="375">
        <f t="shared" si="7"/>
        <v>235.96930024970101</v>
      </c>
      <c r="U29" s="375">
        <f t="shared" si="7"/>
        <v>235.96930024970101</v>
      </c>
      <c r="V29" s="375">
        <f t="shared" si="7"/>
        <v>235.96930024970101</v>
      </c>
      <c r="W29" s="375">
        <f t="shared" si="7"/>
        <v>235.96930024970101</v>
      </c>
      <c r="X29" s="375">
        <f t="shared" si="7"/>
        <v>235.96930024970101</v>
      </c>
      <c r="Y29" s="375">
        <f t="shared" si="7"/>
        <v>235.96930024970101</v>
      </c>
      <c r="Z29" s="375">
        <f t="shared" si="7"/>
        <v>235.96930024970101</v>
      </c>
      <c r="AA29" s="375">
        <f t="shared" si="7"/>
        <v>235.96930024970101</v>
      </c>
      <c r="AB29" s="380">
        <f t="shared" si="7"/>
        <v>235.96930024970101</v>
      </c>
      <c r="AD29" s="418" t="s">
        <v>234</v>
      </c>
    </row>
    <row r="30" spans="2:30" x14ac:dyDescent="0.3">
      <c r="B30" s="185" t="s">
        <v>7</v>
      </c>
      <c r="C30" s="404">
        <f t="shared" ref="C30:O30" si="10">+C8/C19</f>
        <v>912.18478336272847</v>
      </c>
      <c r="D30" s="404">
        <f t="shared" si="10"/>
        <v>885.73277355546895</v>
      </c>
      <c r="E30" s="404">
        <f t="shared" si="10"/>
        <v>861.15485024161751</v>
      </c>
      <c r="F30" s="404">
        <f t="shared" si="10"/>
        <v>855.89161404839172</v>
      </c>
      <c r="G30" s="404">
        <f t="shared" si="10"/>
        <v>850.86294265132267</v>
      </c>
      <c r="H30" s="404">
        <f t="shared" si="10"/>
        <v>774.5990277803603</v>
      </c>
      <c r="I30" s="404">
        <f t="shared" si="10"/>
        <v>708.84612233064036</v>
      </c>
      <c r="J30" s="404">
        <f t="shared" si="10"/>
        <v>767.74231178856951</v>
      </c>
      <c r="K30" s="405">
        <f t="shared" si="10"/>
        <v>838.39785890923304</v>
      </c>
      <c r="L30" s="405">
        <f t="shared" si="10"/>
        <v>638.35518659304887</v>
      </c>
      <c r="M30" s="405">
        <f t="shared" si="10"/>
        <v>638.35518659304887</v>
      </c>
      <c r="N30" s="405">
        <f t="shared" si="10"/>
        <v>1643.6428573812659</v>
      </c>
      <c r="O30" s="405">
        <f t="shared" si="10"/>
        <v>1643.6428573812659</v>
      </c>
      <c r="P30" s="375">
        <f t="shared" si="6"/>
        <v>924.56987481668943</v>
      </c>
      <c r="Q30" s="375">
        <f t="shared" si="7"/>
        <v>924.56987481668943</v>
      </c>
      <c r="R30" s="375">
        <f t="shared" si="7"/>
        <v>924.56987481668943</v>
      </c>
      <c r="S30" s="375">
        <f t="shared" si="7"/>
        <v>924.56987481668943</v>
      </c>
      <c r="T30" s="375">
        <f t="shared" si="7"/>
        <v>924.56987481668943</v>
      </c>
      <c r="U30" s="375">
        <f t="shared" si="7"/>
        <v>924.56987481668943</v>
      </c>
      <c r="V30" s="375">
        <f t="shared" si="7"/>
        <v>924.56987481668943</v>
      </c>
      <c r="W30" s="375">
        <f t="shared" si="7"/>
        <v>924.56987481668943</v>
      </c>
      <c r="X30" s="375">
        <f t="shared" si="7"/>
        <v>924.56987481668943</v>
      </c>
      <c r="Y30" s="375">
        <f t="shared" si="7"/>
        <v>924.56987481668943</v>
      </c>
      <c r="Z30" s="375">
        <f t="shared" si="7"/>
        <v>924.56987481668943</v>
      </c>
      <c r="AA30" s="375">
        <f t="shared" si="7"/>
        <v>924.56987481668943</v>
      </c>
      <c r="AB30" s="380">
        <f t="shared" si="7"/>
        <v>924.56987481668943</v>
      </c>
      <c r="AD30" s="418" t="s">
        <v>234</v>
      </c>
    </row>
    <row r="31" spans="2:30" x14ac:dyDescent="0.3">
      <c r="B31" s="185" t="s">
        <v>8</v>
      </c>
      <c r="C31" s="404">
        <f t="shared" ref="C31:O31" si="11">+C9/C20</f>
        <v>763.94886328020254</v>
      </c>
      <c r="D31" s="404">
        <f t="shared" si="11"/>
        <v>790.21304272501095</v>
      </c>
      <c r="E31" s="404">
        <f t="shared" si="11"/>
        <v>814.61644318491017</v>
      </c>
      <c r="F31" s="404">
        <f t="shared" si="11"/>
        <v>813.06306350395516</v>
      </c>
      <c r="G31" s="404">
        <f t="shared" si="11"/>
        <v>811.57891274886219</v>
      </c>
      <c r="H31" s="404">
        <f t="shared" si="11"/>
        <v>723.56991852978172</v>
      </c>
      <c r="I31" s="404">
        <f t="shared" si="11"/>
        <v>651.35701173178427</v>
      </c>
      <c r="J31" s="404">
        <f t="shared" si="11"/>
        <v>647.77632001666223</v>
      </c>
      <c r="K31" s="405">
        <f t="shared" si="11"/>
        <v>643.11482198992667</v>
      </c>
      <c r="L31" s="405">
        <f t="shared" si="11"/>
        <v>604.12565231864767</v>
      </c>
      <c r="M31" s="405">
        <f t="shared" si="11"/>
        <v>604.12565231864767</v>
      </c>
      <c r="N31" s="405">
        <f t="shared" si="11"/>
        <v>601.74880240499476</v>
      </c>
      <c r="O31" s="405">
        <f t="shared" si="11"/>
        <v>601.74880240499476</v>
      </c>
      <c r="P31" s="375">
        <f t="shared" si="6"/>
        <v>697.76825439679851</v>
      </c>
      <c r="Q31" s="375">
        <f t="shared" si="7"/>
        <v>697.76825439679851</v>
      </c>
      <c r="R31" s="375">
        <f t="shared" si="7"/>
        <v>697.76825439679851</v>
      </c>
      <c r="S31" s="375">
        <f t="shared" si="7"/>
        <v>697.76825439679851</v>
      </c>
      <c r="T31" s="375">
        <f t="shared" si="7"/>
        <v>697.76825439679851</v>
      </c>
      <c r="U31" s="375">
        <f t="shared" si="7"/>
        <v>697.76825439679851</v>
      </c>
      <c r="V31" s="375">
        <f t="shared" si="7"/>
        <v>697.76825439679851</v>
      </c>
      <c r="W31" s="375">
        <f t="shared" si="7"/>
        <v>697.76825439679851</v>
      </c>
      <c r="X31" s="375">
        <f t="shared" si="7"/>
        <v>697.76825439679851</v>
      </c>
      <c r="Y31" s="375">
        <f t="shared" si="7"/>
        <v>697.76825439679851</v>
      </c>
      <c r="Z31" s="375">
        <f t="shared" si="7"/>
        <v>697.76825439679851</v>
      </c>
      <c r="AA31" s="375">
        <f t="shared" si="7"/>
        <v>697.76825439679851</v>
      </c>
      <c r="AB31" s="380">
        <f t="shared" si="7"/>
        <v>697.76825439679851</v>
      </c>
      <c r="AD31" s="418" t="s">
        <v>234</v>
      </c>
    </row>
    <row r="32" spans="2:30" x14ac:dyDescent="0.3">
      <c r="B32" s="185" t="s">
        <v>9</v>
      </c>
      <c r="C32" s="404">
        <f t="shared" ref="C32:O32" si="12">+C10/C21</f>
        <v>97.254465585167011</v>
      </c>
      <c r="D32" s="404">
        <f t="shared" si="12"/>
        <v>94.375961184185144</v>
      </c>
      <c r="E32" s="404">
        <f t="shared" si="12"/>
        <v>91.701394641173337</v>
      </c>
      <c r="F32" s="404">
        <f t="shared" si="12"/>
        <v>91.008877989563459</v>
      </c>
      <c r="G32" s="404">
        <f t="shared" si="12"/>
        <v>90.34722448398324</v>
      </c>
      <c r="H32" s="404">
        <f t="shared" si="12"/>
        <v>84.379837742766043</v>
      </c>
      <c r="I32" s="404">
        <f t="shared" si="12"/>
        <v>78.838152845705764</v>
      </c>
      <c r="J32" s="404">
        <f t="shared" si="12"/>
        <v>77.031011630590541</v>
      </c>
      <c r="K32" s="405">
        <f t="shared" si="12"/>
        <v>75.241493397017862</v>
      </c>
      <c r="L32" s="405">
        <f t="shared" si="12"/>
        <v>85.225810029147226</v>
      </c>
      <c r="M32" s="405">
        <f t="shared" si="12"/>
        <v>85.225810029147226</v>
      </c>
      <c r="N32" s="405">
        <f t="shared" si="12"/>
        <v>61.321290636721521</v>
      </c>
      <c r="O32" s="405">
        <f t="shared" si="12"/>
        <v>61.321290636721521</v>
      </c>
      <c r="P32" s="375">
        <f t="shared" si="6"/>
        <v>82.55943237168384</v>
      </c>
      <c r="Q32" s="375">
        <f t="shared" si="7"/>
        <v>82.55943237168384</v>
      </c>
      <c r="R32" s="375">
        <f t="shared" si="7"/>
        <v>82.55943237168384</v>
      </c>
      <c r="S32" s="375">
        <f t="shared" si="7"/>
        <v>82.55943237168384</v>
      </c>
      <c r="T32" s="375">
        <f t="shared" si="7"/>
        <v>82.55943237168384</v>
      </c>
      <c r="U32" s="375">
        <f t="shared" si="7"/>
        <v>82.55943237168384</v>
      </c>
      <c r="V32" s="375">
        <f t="shared" si="7"/>
        <v>82.55943237168384</v>
      </c>
      <c r="W32" s="375">
        <f t="shared" si="7"/>
        <v>82.55943237168384</v>
      </c>
      <c r="X32" s="375">
        <f t="shared" si="7"/>
        <v>82.55943237168384</v>
      </c>
      <c r="Y32" s="375">
        <f t="shared" si="7"/>
        <v>82.55943237168384</v>
      </c>
      <c r="Z32" s="375">
        <f t="shared" si="7"/>
        <v>82.55943237168384</v>
      </c>
      <c r="AA32" s="375">
        <f t="shared" si="7"/>
        <v>82.55943237168384</v>
      </c>
      <c r="AB32" s="380">
        <f t="shared" si="7"/>
        <v>82.55943237168384</v>
      </c>
      <c r="AD32" s="418" t="s">
        <v>234</v>
      </c>
    </row>
    <row r="33" spans="2:30" x14ac:dyDescent="0.3">
      <c r="B33" s="185" t="s">
        <v>10</v>
      </c>
      <c r="C33" s="404">
        <f t="shared" ref="C33:O33" si="13">+C11/C22</f>
        <v>1285.2793245263088</v>
      </c>
      <c r="D33" s="404">
        <f t="shared" si="13"/>
        <v>1244.6472565672414</v>
      </c>
      <c r="E33" s="404">
        <f t="shared" si="13"/>
        <v>1206.8939116358831</v>
      </c>
      <c r="F33" s="404">
        <f t="shared" si="13"/>
        <v>1151.1346224246706</v>
      </c>
      <c r="G33" s="404">
        <f t="shared" si="13"/>
        <v>1097.8603378432229</v>
      </c>
      <c r="H33" s="404">
        <f t="shared" si="13"/>
        <v>730.73839586130066</v>
      </c>
      <c r="I33" s="404">
        <f t="shared" si="13"/>
        <v>554.04433555210778</v>
      </c>
      <c r="J33" s="404">
        <f t="shared" si="13"/>
        <v>716.37853963175758</v>
      </c>
      <c r="K33" s="405">
        <f t="shared" si="13"/>
        <v>1108.9076767150686</v>
      </c>
      <c r="L33" s="405">
        <f t="shared" si="13"/>
        <v>2673.6527941169793</v>
      </c>
      <c r="M33" s="405">
        <f t="shared" si="13"/>
        <v>2673.6527941169793</v>
      </c>
      <c r="N33" s="405">
        <f t="shared" si="13"/>
        <v>1769.99982846599</v>
      </c>
      <c r="O33" s="405">
        <f t="shared" si="13"/>
        <v>1769.99982846599</v>
      </c>
      <c r="P33" s="375">
        <f t="shared" si="6"/>
        <v>1383.3222804556538</v>
      </c>
      <c r="Q33" s="375">
        <f t="shared" si="7"/>
        <v>1383.3222804556538</v>
      </c>
      <c r="R33" s="375">
        <f t="shared" si="7"/>
        <v>1383.3222804556538</v>
      </c>
      <c r="S33" s="375">
        <f t="shared" si="7"/>
        <v>1383.3222804556538</v>
      </c>
      <c r="T33" s="375">
        <f t="shared" si="7"/>
        <v>1383.3222804556538</v>
      </c>
      <c r="U33" s="375">
        <f t="shared" si="7"/>
        <v>1383.3222804556538</v>
      </c>
      <c r="V33" s="375">
        <f t="shared" si="7"/>
        <v>1383.3222804556538</v>
      </c>
      <c r="W33" s="375">
        <f t="shared" si="7"/>
        <v>1383.3222804556538</v>
      </c>
      <c r="X33" s="375">
        <f t="shared" si="7"/>
        <v>1383.3222804556538</v>
      </c>
      <c r="Y33" s="375">
        <f t="shared" si="7"/>
        <v>1383.3222804556538</v>
      </c>
      <c r="Z33" s="375">
        <f t="shared" si="7"/>
        <v>1383.3222804556538</v>
      </c>
      <c r="AA33" s="375">
        <f t="shared" si="7"/>
        <v>1383.3222804556538</v>
      </c>
      <c r="AB33" s="380">
        <f t="shared" si="7"/>
        <v>1383.3222804556538</v>
      </c>
      <c r="AD33" s="418" t="s">
        <v>234</v>
      </c>
    </row>
    <row r="34" spans="2:30" x14ac:dyDescent="0.3">
      <c r="B34" s="185" t="s">
        <v>11</v>
      </c>
      <c r="C34" s="404">
        <f t="shared" ref="C34:O34" si="14">+C12/C23</f>
        <v>4611.7442865788826</v>
      </c>
      <c r="D34" s="404">
        <f t="shared" si="14"/>
        <v>4457.1995466849576</v>
      </c>
      <c r="E34" s="404">
        <f t="shared" si="14"/>
        <v>4313.6040772537626</v>
      </c>
      <c r="F34" s="404">
        <f t="shared" si="14"/>
        <v>4285.7214829092909</v>
      </c>
      <c r="G34" s="404">
        <f t="shared" si="14"/>
        <v>4259.0815223396748</v>
      </c>
      <c r="H34" s="404">
        <f t="shared" si="14"/>
        <v>3563.8545494711279</v>
      </c>
      <c r="I34" s="404">
        <f t="shared" si="14"/>
        <v>3062.8600430972647</v>
      </c>
      <c r="J34" s="404">
        <f t="shared" si="14"/>
        <v>3615.7246616620246</v>
      </c>
      <c r="K34" s="405">
        <f t="shared" si="14"/>
        <v>4591.0429539138022</v>
      </c>
      <c r="L34" s="405">
        <f t="shared" si="14"/>
        <v>2610.4893062550886</v>
      </c>
      <c r="M34" s="405">
        <f t="shared" si="14"/>
        <v>2610.4893062550886</v>
      </c>
      <c r="N34" s="405">
        <f t="shared" si="14"/>
        <v>2429.5934753727556</v>
      </c>
      <c r="O34" s="405">
        <f t="shared" si="14"/>
        <v>2429.5934753727556</v>
      </c>
      <c r="P34" s="375">
        <f t="shared" si="6"/>
        <v>3603.1537451666527</v>
      </c>
      <c r="Q34" s="375">
        <f t="shared" si="7"/>
        <v>3603.1537451666527</v>
      </c>
      <c r="R34" s="375">
        <f t="shared" si="7"/>
        <v>3603.1537451666527</v>
      </c>
      <c r="S34" s="375">
        <f t="shared" si="7"/>
        <v>3603.1537451666527</v>
      </c>
      <c r="T34" s="375">
        <f t="shared" si="7"/>
        <v>3603.1537451666527</v>
      </c>
      <c r="U34" s="375">
        <f t="shared" si="7"/>
        <v>3603.1537451666527</v>
      </c>
      <c r="V34" s="375">
        <f t="shared" si="7"/>
        <v>3603.1537451666527</v>
      </c>
      <c r="W34" s="375">
        <f t="shared" si="7"/>
        <v>3603.1537451666527</v>
      </c>
      <c r="X34" s="375">
        <f t="shared" si="7"/>
        <v>3603.1537451666527</v>
      </c>
      <c r="Y34" s="375">
        <f t="shared" si="7"/>
        <v>3603.1537451666527</v>
      </c>
      <c r="Z34" s="375">
        <f t="shared" si="7"/>
        <v>3603.1537451666527</v>
      </c>
      <c r="AA34" s="375">
        <f t="shared" si="7"/>
        <v>3603.1537451666527</v>
      </c>
      <c r="AB34" s="380">
        <f t="shared" si="7"/>
        <v>3603.1537451666527</v>
      </c>
      <c r="AD34" s="418" t="s">
        <v>234</v>
      </c>
    </row>
    <row r="35" spans="2:30" ht="15" thickBot="1" x14ac:dyDescent="0.35">
      <c r="B35" s="186" t="s">
        <v>12</v>
      </c>
      <c r="C35" s="406">
        <f t="shared" ref="C35:O35" si="15">+C13/C24</f>
        <v>119.59599464255378</v>
      </c>
      <c r="D35" s="406">
        <f t="shared" si="15"/>
        <v>115.20380314793843</v>
      </c>
      <c r="E35" s="406">
        <f t="shared" si="15"/>
        <v>111.12279204439724</v>
      </c>
      <c r="F35" s="406">
        <f t="shared" si="15"/>
        <v>108.59017164961992</v>
      </c>
      <c r="G35" s="406">
        <f t="shared" si="15"/>
        <v>106.17042165716455</v>
      </c>
      <c r="H35" s="406">
        <f t="shared" si="15"/>
        <v>67.395922662989861</v>
      </c>
      <c r="I35" s="406">
        <f t="shared" si="15"/>
        <v>58.539345419163958</v>
      </c>
      <c r="J35" s="406">
        <f t="shared" si="15"/>
        <v>58.036281026166769</v>
      </c>
      <c r="K35" s="407">
        <f t="shared" si="15"/>
        <v>58.110602948230643</v>
      </c>
      <c r="L35" s="407">
        <f t="shared" si="15"/>
        <v>275.19321454008661</v>
      </c>
      <c r="M35" s="407">
        <f t="shared" si="15"/>
        <v>275.19321454008661</v>
      </c>
      <c r="N35" s="407">
        <f t="shared" si="15"/>
        <v>132.84578670218829</v>
      </c>
      <c r="O35" s="407">
        <f t="shared" si="15"/>
        <v>132.84578670218829</v>
      </c>
      <c r="P35" s="381">
        <f t="shared" si="6"/>
        <v>124.52641059098268</v>
      </c>
      <c r="Q35" s="381">
        <f t="shared" si="7"/>
        <v>124.52641059098268</v>
      </c>
      <c r="R35" s="381">
        <f t="shared" si="7"/>
        <v>124.52641059098268</v>
      </c>
      <c r="S35" s="381">
        <f t="shared" si="7"/>
        <v>124.52641059098268</v>
      </c>
      <c r="T35" s="381">
        <f t="shared" si="7"/>
        <v>124.52641059098268</v>
      </c>
      <c r="U35" s="381">
        <f t="shared" si="7"/>
        <v>124.52641059098268</v>
      </c>
      <c r="V35" s="381">
        <f t="shared" si="7"/>
        <v>124.52641059098268</v>
      </c>
      <c r="W35" s="381">
        <f t="shared" si="7"/>
        <v>124.52641059098268</v>
      </c>
      <c r="X35" s="381">
        <f t="shared" si="7"/>
        <v>124.52641059098268</v>
      </c>
      <c r="Y35" s="381">
        <f t="shared" si="7"/>
        <v>124.52641059098268</v>
      </c>
      <c r="Z35" s="381">
        <f t="shared" si="7"/>
        <v>124.52641059098268</v>
      </c>
      <c r="AA35" s="381">
        <f t="shared" si="7"/>
        <v>124.52641059098268</v>
      </c>
      <c r="AB35" s="382">
        <f t="shared" si="7"/>
        <v>124.52641059098268</v>
      </c>
      <c r="AD35" s="418" t="s">
        <v>234</v>
      </c>
    </row>
    <row r="36" spans="2:30" x14ac:dyDescent="0.3">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c r="AA36" s="408"/>
      <c r="AB36" s="408"/>
    </row>
    <row r="37" spans="2:30" ht="15" thickBot="1" x14ac:dyDescent="0.35">
      <c r="B37" s="415" t="s">
        <v>172</v>
      </c>
      <c r="C37" s="409"/>
      <c r="D37" s="409"/>
      <c r="E37" s="409"/>
      <c r="F37" s="409"/>
      <c r="G37" s="409"/>
      <c r="H37" s="409"/>
      <c r="I37" s="409"/>
      <c r="J37" s="409"/>
      <c r="K37" s="409"/>
      <c r="L37" s="409"/>
      <c r="M37" s="409"/>
      <c r="N37" s="409"/>
      <c r="O37" s="409"/>
      <c r="P37" s="409"/>
      <c r="Q37" s="409"/>
      <c r="R37" s="409"/>
      <c r="S37" s="409"/>
      <c r="T37" s="409"/>
      <c r="U37" s="409"/>
      <c r="V37" s="409"/>
      <c r="W37" s="409"/>
      <c r="X37" s="409"/>
      <c r="Y37" s="409"/>
      <c r="Z37" s="409"/>
      <c r="AA37" s="409"/>
      <c r="AB37" s="409"/>
    </row>
    <row r="38" spans="2:30" ht="15" thickBot="1" x14ac:dyDescent="0.35">
      <c r="B38" s="142" t="s">
        <v>166</v>
      </c>
      <c r="C38" s="391">
        <f>+SUM(DATOS_INGEI!C12:C15)/1000</f>
        <v>2287.6846545043336</v>
      </c>
      <c r="D38" s="391">
        <f>+SUM(DATOS_INGEI!D12:D15)/1000</f>
        <v>2287.6846545043336</v>
      </c>
      <c r="E38" s="391">
        <f>+SUM(DATOS_INGEI!E12:E15)/1000</f>
        <v>2287.6846545043336</v>
      </c>
      <c r="F38" s="391">
        <f>+SUM(DATOS_INGEI!F12:F15)/1000</f>
        <v>2287.6846545043336</v>
      </c>
      <c r="G38" s="391">
        <f>+SUM(DATOS_INGEI!G12:G15)/1000</f>
        <v>2287.6846545043336</v>
      </c>
      <c r="H38" s="391">
        <f>+SUM(DATOS_INGEI!H12:H15)/1000</f>
        <v>4018.537802792333</v>
      </c>
      <c r="I38" s="391">
        <f>+SUM(DATOS_INGEI!I12:I15)/1000</f>
        <v>5749.3909510803323</v>
      </c>
      <c r="J38" s="391">
        <f>+SUM(DATOS_INGEI!J12:J15)/1000</f>
        <v>3613.2466412294993</v>
      </c>
      <c r="K38" s="391">
        <f>+SUM(DATOS_INGEI!K12:K15)/1000</f>
        <v>1477.1023313786661</v>
      </c>
      <c r="L38" s="391">
        <f>+SUM(DATOS_INGEI!L12:L15)/1000</f>
        <v>3922.1010817559995</v>
      </c>
      <c r="M38" s="391">
        <f>+SUM(DATOS_INGEI!M12:M15)/1000</f>
        <v>3922.1010817559995</v>
      </c>
      <c r="N38" s="391">
        <f>+SUM(DATOS_INGEI!N12:N15)/1000</f>
        <v>1344.6666331560002</v>
      </c>
      <c r="O38" s="391">
        <f>+SUM(DATOS_INGEI!O12:O15)/1000</f>
        <v>1344.6666331560002</v>
      </c>
      <c r="P38" s="392">
        <f>+SUM(P39:P42)</f>
        <v>2238.5793313749055</v>
      </c>
      <c r="Q38" s="392">
        <f t="shared" ref="Q38:AB38" si="16">+SUM(Q39:Q42)</f>
        <v>2238.5793313749055</v>
      </c>
      <c r="R38" s="392">
        <f t="shared" si="16"/>
        <v>2238.5793313749055</v>
      </c>
      <c r="S38" s="392">
        <f t="shared" si="16"/>
        <v>2238.5793313749055</v>
      </c>
      <c r="T38" s="392">
        <f t="shared" si="16"/>
        <v>2238.5793313749055</v>
      </c>
      <c r="U38" s="392">
        <f t="shared" si="16"/>
        <v>2238.5793313749055</v>
      </c>
      <c r="V38" s="392">
        <f t="shared" si="16"/>
        <v>2238.5793313749055</v>
      </c>
      <c r="W38" s="392">
        <f t="shared" si="16"/>
        <v>2238.5793313749055</v>
      </c>
      <c r="X38" s="392">
        <f t="shared" si="16"/>
        <v>2238.5793313749055</v>
      </c>
      <c r="Y38" s="392">
        <f t="shared" si="16"/>
        <v>2238.5793313749055</v>
      </c>
      <c r="Z38" s="392">
        <f t="shared" si="16"/>
        <v>2238.5793313749055</v>
      </c>
      <c r="AA38" s="392">
        <f t="shared" si="16"/>
        <v>2238.5793313749055</v>
      </c>
      <c r="AB38" s="393">
        <f t="shared" si="16"/>
        <v>2238.5793313749055</v>
      </c>
    </row>
    <row r="39" spans="2:30" x14ac:dyDescent="0.3">
      <c r="B39" s="191" t="s">
        <v>173</v>
      </c>
      <c r="C39" s="378">
        <f>+DATOS_INGEI!C12/1000</f>
        <v>2402.0908511709999</v>
      </c>
      <c r="D39" s="378">
        <f>+DATOS_INGEI!D12/1000</f>
        <v>2402.0908511709999</v>
      </c>
      <c r="E39" s="378">
        <f>+DATOS_INGEI!E12/1000</f>
        <v>2402.0908511709999</v>
      </c>
      <c r="F39" s="378">
        <f>+DATOS_INGEI!F12/1000</f>
        <v>2402.0908511709999</v>
      </c>
      <c r="G39" s="378">
        <f>+DATOS_INGEI!G12/1000</f>
        <v>2402.0908511709999</v>
      </c>
      <c r="H39" s="378">
        <f>+DATOS_INGEI!H12/1000</f>
        <v>4191.6042975839991</v>
      </c>
      <c r="I39" s="378">
        <f>+DATOS_INGEI!I12/1000</f>
        <v>5981.1177439969988</v>
      </c>
      <c r="J39" s="378">
        <f>+DATOS_INGEI!J12/1000</f>
        <v>3778.452366437833</v>
      </c>
      <c r="K39" s="394">
        <f>+DATOS_INGEI!K12/1000</f>
        <v>1575.7869888786661</v>
      </c>
      <c r="L39" s="394">
        <f>+DATOS_INGEI!L12/1000</f>
        <v>3938.8332734226665</v>
      </c>
      <c r="M39" s="394">
        <f>+DATOS_INGEI!M12/1000</f>
        <v>3938.8332734226665</v>
      </c>
      <c r="N39" s="394">
        <f>+DATOS_INGEI!N12/1000</f>
        <v>1418.412805656</v>
      </c>
      <c r="O39" s="394">
        <f>+DATOS_INGEI!O12/1000</f>
        <v>1418.412805656</v>
      </c>
      <c r="P39" s="395">
        <f>+P44*P49</f>
        <v>2309.6801413749054</v>
      </c>
      <c r="Q39" s="395">
        <f t="shared" ref="Q39:AB39" si="17">+Q44*Q49</f>
        <v>2309.6801413749054</v>
      </c>
      <c r="R39" s="395">
        <f t="shared" si="17"/>
        <v>2309.6801413749054</v>
      </c>
      <c r="S39" s="395">
        <f t="shared" si="17"/>
        <v>2309.6801413749054</v>
      </c>
      <c r="T39" s="395">
        <f t="shared" si="17"/>
        <v>2309.6801413749054</v>
      </c>
      <c r="U39" s="395">
        <f t="shared" si="17"/>
        <v>2309.6801413749054</v>
      </c>
      <c r="V39" s="395">
        <f t="shared" si="17"/>
        <v>2309.6801413749054</v>
      </c>
      <c r="W39" s="395">
        <f t="shared" si="17"/>
        <v>2309.6801413749054</v>
      </c>
      <c r="X39" s="395">
        <f t="shared" si="17"/>
        <v>2309.6801413749054</v>
      </c>
      <c r="Y39" s="395">
        <f t="shared" si="17"/>
        <v>2309.6801413749054</v>
      </c>
      <c r="Z39" s="395">
        <f t="shared" si="17"/>
        <v>2309.6801413749054</v>
      </c>
      <c r="AA39" s="395">
        <f t="shared" si="17"/>
        <v>2309.6801413749054</v>
      </c>
      <c r="AB39" s="396">
        <f t="shared" si="17"/>
        <v>2309.6801413749054</v>
      </c>
    </row>
    <row r="40" spans="2:30" x14ac:dyDescent="0.3">
      <c r="B40" s="185" t="s">
        <v>174</v>
      </c>
      <c r="C40" s="375">
        <f>+DATOS_INGEI!C13/1000</f>
        <v>-99.146666666666661</v>
      </c>
      <c r="D40" s="375">
        <f>+DATOS_INGEI!D13/1000</f>
        <v>-99.146666666666661</v>
      </c>
      <c r="E40" s="375">
        <f>+DATOS_INGEI!E13/1000</f>
        <v>-99.146666666666661</v>
      </c>
      <c r="F40" s="375">
        <f>+DATOS_INGEI!F13/1000</f>
        <v>-99.146666666666661</v>
      </c>
      <c r="G40" s="375">
        <f>+DATOS_INGEI!G13/1000</f>
        <v>-99.146666666666661</v>
      </c>
      <c r="H40" s="375">
        <f>+DATOS_INGEI!H13/1000</f>
        <v>-110.44616916666666</v>
      </c>
      <c r="I40" s="375">
        <f>+DATOS_INGEI!I13/1000</f>
        <v>-121.74567166666665</v>
      </c>
      <c r="J40" s="375">
        <f>+DATOS_INGEI!J13/1000</f>
        <v>-100.97742416666667</v>
      </c>
      <c r="K40" s="397">
        <f>+DATOS_INGEI!K13/1000</f>
        <v>-80.209176666666664</v>
      </c>
      <c r="L40" s="397">
        <f>+DATOS_INGEI!L13/1000</f>
        <v>-9.4782783333333338</v>
      </c>
      <c r="M40" s="397">
        <f>+DATOS_INGEI!M13/1000</f>
        <v>-9.4782783333333338</v>
      </c>
      <c r="N40" s="397">
        <f>+DATOS_INGEI!N13/1000</f>
        <v>-30.542118749999993</v>
      </c>
      <c r="O40" s="397">
        <f>+DATOS_INGEI!O13/1000</f>
        <v>-30.542118749999993</v>
      </c>
      <c r="P40" s="398">
        <f t="shared" ref="P40:AB42" si="18">+P45*P50</f>
        <v>-30.542118749999997</v>
      </c>
      <c r="Q40" s="398">
        <f t="shared" si="18"/>
        <v>-30.542118749999997</v>
      </c>
      <c r="R40" s="398">
        <f t="shared" si="18"/>
        <v>-30.542118749999997</v>
      </c>
      <c r="S40" s="398">
        <f t="shared" si="18"/>
        <v>-30.542118749999997</v>
      </c>
      <c r="T40" s="398">
        <f t="shared" si="18"/>
        <v>-30.542118749999997</v>
      </c>
      <c r="U40" s="398">
        <f t="shared" si="18"/>
        <v>-30.542118749999997</v>
      </c>
      <c r="V40" s="398">
        <f t="shared" si="18"/>
        <v>-30.542118749999997</v>
      </c>
      <c r="W40" s="398">
        <f t="shared" si="18"/>
        <v>-30.542118749999997</v>
      </c>
      <c r="X40" s="398">
        <f t="shared" si="18"/>
        <v>-30.542118749999997</v>
      </c>
      <c r="Y40" s="398">
        <f t="shared" si="18"/>
        <v>-30.542118749999997</v>
      </c>
      <c r="Z40" s="398">
        <f t="shared" si="18"/>
        <v>-30.542118749999997</v>
      </c>
      <c r="AA40" s="398">
        <f t="shared" si="18"/>
        <v>-30.542118749999997</v>
      </c>
      <c r="AB40" s="399">
        <f t="shared" si="18"/>
        <v>-30.542118749999997</v>
      </c>
    </row>
    <row r="41" spans="2:30" x14ac:dyDescent="0.3">
      <c r="B41" s="185" t="s">
        <v>175</v>
      </c>
      <c r="C41" s="375">
        <f>+DATOS_INGEI!C14/1000</f>
        <v>0</v>
      </c>
      <c r="D41" s="375">
        <f>+DATOS_INGEI!D14/1000</f>
        <v>0</v>
      </c>
      <c r="E41" s="375">
        <f>+DATOS_INGEI!E14/1000</f>
        <v>0</v>
      </c>
      <c r="F41" s="375">
        <f>+DATOS_INGEI!F14/1000</f>
        <v>0</v>
      </c>
      <c r="G41" s="375">
        <f>+DATOS_INGEI!G14/1000</f>
        <v>0</v>
      </c>
      <c r="H41" s="375">
        <f>+DATOS_INGEI!H14/1000</f>
        <v>0</v>
      </c>
      <c r="I41" s="375">
        <f>+DATOS_INGEI!I14/1000</f>
        <v>0</v>
      </c>
      <c r="J41" s="375">
        <f>+DATOS_INGEI!J14/1000</f>
        <v>0</v>
      </c>
      <c r="K41" s="397">
        <f>+DATOS_INGEI!K14/1000</f>
        <v>0</v>
      </c>
      <c r="L41" s="397">
        <f>+DATOS_INGEI!L14/1000</f>
        <v>0</v>
      </c>
      <c r="M41" s="397">
        <f>+DATOS_INGEI!M14/1000</f>
        <v>0</v>
      </c>
      <c r="N41" s="397">
        <f>+DATOS_INGEI!N14/1000</f>
        <v>-3.1263375</v>
      </c>
      <c r="O41" s="397">
        <f>+DATOS_INGEI!O14/1000</f>
        <v>-3.1263375</v>
      </c>
      <c r="P41" s="398">
        <f t="shared" si="18"/>
        <v>-0.48097500000000004</v>
      </c>
      <c r="Q41" s="398">
        <f t="shared" si="18"/>
        <v>-0.48097500000000004</v>
      </c>
      <c r="R41" s="398">
        <f t="shared" si="18"/>
        <v>-0.48097500000000004</v>
      </c>
      <c r="S41" s="398">
        <f t="shared" si="18"/>
        <v>-0.48097500000000004</v>
      </c>
      <c r="T41" s="398">
        <f t="shared" si="18"/>
        <v>-0.48097500000000004</v>
      </c>
      <c r="U41" s="398">
        <f t="shared" si="18"/>
        <v>-0.48097500000000004</v>
      </c>
      <c r="V41" s="398">
        <f t="shared" si="18"/>
        <v>-0.48097500000000004</v>
      </c>
      <c r="W41" s="398">
        <f t="shared" si="18"/>
        <v>-0.48097500000000004</v>
      </c>
      <c r="X41" s="398">
        <f t="shared" si="18"/>
        <v>-0.48097500000000004</v>
      </c>
      <c r="Y41" s="398">
        <f t="shared" si="18"/>
        <v>-0.48097500000000004</v>
      </c>
      <c r="Z41" s="398">
        <f t="shared" si="18"/>
        <v>-0.48097500000000004</v>
      </c>
      <c r="AA41" s="398">
        <f t="shared" si="18"/>
        <v>-0.48097500000000004</v>
      </c>
      <c r="AB41" s="399">
        <f t="shared" si="18"/>
        <v>-0.48097500000000004</v>
      </c>
    </row>
    <row r="42" spans="2:30" ht="15" thickBot="1" x14ac:dyDescent="0.35">
      <c r="B42" s="186" t="s">
        <v>176</v>
      </c>
      <c r="C42" s="381">
        <f>+DATOS_INGEI!C15/1000</f>
        <v>-15.259529999999996</v>
      </c>
      <c r="D42" s="381">
        <f>+DATOS_INGEI!D15/1000</f>
        <v>-15.259529999999996</v>
      </c>
      <c r="E42" s="381">
        <f>+DATOS_INGEI!E15/1000</f>
        <v>-15.259529999999996</v>
      </c>
      <c r="F42" s="381">
        <f>+DATOS_INGEI!F15/1000</f>
        <v>-15.259529999999996</v>
      </c>
      <c r="G42" s="381">
        <f>+DATOS_INGEI!G15/1000</f>
        <v>-15.259529999999996</v>
      </c>
      <c r="H42" s="381">
        <f>+DATOS_INGEI!H15/1000</f>
        <v>-62.620325625</v>
      </c>
      <c r="I42" s="381">
        <f>+DATOS_INGEI!I15/1000</f>
        <v>-109.98112125</v>
      </c>
      <c r="J42" s="381">
        <f>+DATOS_INGEI!J15/1000</f>
        <v>-64.228301041666668</v>
      </c>
      <c r="K42" s="400">
        <f>+DATOS_INGEI!K15/1000</f>
        <v>-18.475480833333332</v>
      </c>
      <c r="L42" s="400">
        <f>+DATOS_INGEI!L15/1000</f>
        <v>-7.2539133333333341</v>
      </c>
      <c r="M42" s="400">
        <f>+DATOS_INGEI!M15/1000</f>
        <v>-7.2539133333333341</v>
      </c>
      <c r="N42" s="400">
        <f>+DATOS_INGEI!N15/1000</f>
        <v>-40.077716249999995</v>
      </c>
      <c r="O42" s="400">
        <f>+DATOS_INGEI!O15/1000</f>
        <v>-40.077716249999995</v>
      </c>
      <c r="P42" s="398">
        <f t="shared" si="18"/>
        <v>-40.077716249999995</v>
      </c>
      <c r="Q42" s="398">
        <f t="shared" si="18"/>
        <v>-40.077716249999995</v>
      </c>
      <c r="R42" s="398">
        <f t="shared" si="18"/>
        <v>-40.077716249999995</v>
      </c>
      <c r="S42" s="398">
        <f t="shared" si="18"/>
        <v>-40.077716249999995</v>
      </c>
      <c r="T42" s="398">
        <f t="shared" si="18"/>
        <v>-40.077716249999995</v>
      </c>
      <c r="U42" s="398">
        <f t="shared" si="18"/>
        <v>-40.077716249999995</v>
      </c>
      <c r="V42" s="398">
        <f t="shared" si="18"/>
        <v>-40.077716249999995</v>
      </c>
      <c r="W42" s="398">
        <f t="shared" si="18"/>
        <v>-40.077716249999995</v>
      </c>
      <c r="X42" s="398">
        <f t="shared" si="18"/>
        <v>-40.077716249999995</v>
      </c>
      <c r="Y42" s="398">
        <f t="shared" si="18"/>
        <v>-40.077716249999995</v>
      </c>
      <c r="Z42" s="398">
        <f t="shared" si="18"/>
        <v>-40.077716249999995</v>
      </c>
      <c r="AA42" s="398">
        <f t="shared" si="18"/>
        <v>-40.077716249999995</v>
      </c>
      <c r="AB42" s="399">
        <f t="shared" si="18"/>
        <v>-40.077716249999995</v>
      </c>
    </row>
    <row r="43" spans="2:30" ht="15" thickBot="1" x14ac:dyDescent="0.35">
      <c r="B43" s="142" t="s">
        <v>34</v>
      </c>
      <c r="C43" s="391"/>
      <c r="D43" s="391"/>
      <c r="E43" s="391"/>
      <c r="F43" s="391"/>
      <c r="G43" s="391"/>
      <c r="H43" s="391"/>
      <c r="I43" s="391"/>
      <c r="J43" s="391"/>
      <c r="K43" s="391"/>
      <c r="L43" s="391"/>
      <c r="M43" s="391"/>
      <c r="N43" s="391"/>
      <c r="O43" s="391"/>
      <c r="P43" s="391"/>
      <c r="Q43" s="391"/>
      <c r="R43" s="391"/>
      <c r="S43" s="391"/>
      <c r="T43" s="391"/>
      <c r="U43" s="391"/>
      <c r="V43" s="391"/>
      <c r="W43" s="391"/>
      <c r="X43" s="391"/>
      <c r="Y43" s="391"/>
      <c r="Z43" s="391"/>
      <c r="AA43" s="391"/>
      <c r="AB43" s="401"/>
    </row>
    <row r="44" spans="2:30" x14ac:dyDescent="0.3">
      <c r="B44" s="191" t="s">
        <v>173</v>
      </c>
      <c r="C44" s="378">
        <f>+COBERTURA_CAMBIOS_TF!E14/1000</f>
        <v>24.385999999999999</v>
      </c>
      <c r="D44" s="378">
        <f>+COBERTURA_CAMBIOS_TF!F14/1000</f>
        <v>24.385999999999999</v>
      </c>
      <c r="E44" s="378">
        <f>+COBERTURA_CAMBIOS_TF!G14/1000</f>
        <v>24.385999999999999</v>
      </c>
      <c r="F44" s="378">
        <f>+COBERTURA_CAMBIOS_TF!H14/1000</f>
        <v>24.385999999999999</v>
      </c>
      <c r="G44" s="378">
        <f>+COBERTURA_CAMBIOS_TF!I14/1000</f>
        <v>24.385999999999999</v>
      </c>
      <c r="H44" s="378">
        <f>+COBERTURA_CAMBIOS_TF!J14/1000</f>
        <v>38.966809999999995</v>
      </c>
      <c r="I44" s="378">
        <f>+COBERTURA_CAMBIOS_TF!K14/1000</f>
        <v>53.547619999999995</v>
      </c>
      <c r="J44" s="378">
        <f>+COBERTURA_CAMBIOS_TF!L14/1000</f>
        <v>34.203540000000004</v>
      </c>
      <c r="K44" s="394">
        <f>+COBERTURA_CAMBIOS_TF!M14/1000</f>
        <v>14.859459999999999</v>
      </c>
      <c r="L44" s="394">
        <f>+COBERTURA_CAMBIOS_TF!N14/1000</f>
        <v>32.440420000000003</v>
      </c>
      <c r="M44" s="394">
        <f>+COBERTURA_CAMBIOS_TF!O14/1000</f>
        <v>32.440420000000003</v>
      </c>
      <c r="N44" s="394">
        <f>+COBERTURA_CAMBIOS_TF!P14/1000</f>
        <v>23.21604</v>
      </c>
      <c r="O44" s="394">
        <f>+COBERTURA_CAMBIOS_TF!Q14/1000</f>
        <v>23.21604</v>
      </c>
      <c r="P44" s="378">
        <f>+COBERTURA_CAMBIOS_TF!R14/1000</f>
        <v>23.21604</v>
      </c>
      <c r="Q44" s="378">
        <f>+COBERTURA_CAMBIOS_TF!S14/1000</f>
        <v>23.21604</v>
      </c>
      <c r="R44" s="378">
        <f>+COBERTURA_CAMBIOS_TF!T14/1000</f>
        <v>23.21604</v>
      </c>
      <c r="S44" s="378">
        <f>+COBERTURA_CAMBIOS_TF!U14/1000</f>
        <v>23.21604</v>
      </c>
      <c r="T44" s="378">
        <f>+COBERTURA_CAMBIOS_TF!V14/1000</f>
        <v>23.21604</v>
      </c>
      <c r="U44" s="378">
        <f>+COBERTURA_CAMBIOS_TF!W14/1000</f>
        <v>23.21604</v>
      </c>
      <c r="V44" s="378">
        <f>+COBERTURA_CAMBIOS_TF!X14/1000</f>
        <v>23.21604</v>
      </c>
      <c r="W44" s="378">
        <f>+COBERTURA_CAMBIOS_TF!Y14/1000</f>
        <v>23.21604</v>
      </c>
      <c r="X44" s="378">
        <f>+COBERTURA_CAMBIOS_TF!Z14/1000</f>
        <v>23.21604</v>
      </c>
      <c r="Y44" s="378">
        <f>+COBERTURA_CAMBIOS_TF!AA14/1000</f>
        <v>23.21604</v>
      </c>
      <c r="Z44" s="378">
        <f>+COBERTURA_CAMBIOS_TF!AB14/1000</f>
        <v>23.21604</v>
      </c>
      <c r="AA44" s="378">
        <f>+COBERTURA_CAMBIOS_TF!AC14/1000</f>
        <v>23.21604</v>
      </c>
      <c r="AB44" s="379">
        <f>+COBERTURA_CAMBIOS_TF!AD14/1000</f>
        <v>23.21604</v>
      </c>
    </row>
    <row r="45" spans="2:30" x14ac:dyDescent="0.3">
      <c r="B45" s="185" t="s">
        <v>174</v>
      </c>
      <c r="C45" s="375">
        <f>+COBERTURA_CAMBIOS_TF!E15/1000</f>
        <v>8.32</v>
      </c>
      <c r="D45" s="375">
        <f>+COBERTURA_CAMBIOS_TF!F15/1000</f>
        <v>8.32</v>
      </c>
      <c r="E45" s="375">
        <f>+COBERTURA_CAMBIOS_TF!G15/1000</f>
        <v>8.32</v>
      </c>
      <c r="F45" s="375">
        <f>+COBERTURA_CAMBIOS_TF!H15/1000</f>
        <v>8.32</v>
      </c>
      <c r="G45" s="375">
        <f>+COBERTURA_CAMBIOS_TF!I15/1000</f>
        <v>8.32</v>
      </c>
      <c r="H45" s="375">
        <f>+COBERTURA_CAMBIOS_TF!J15/1000</f>
        <v>9.2682099999999998</v>
      </c>
      <c r="I45" s="375">
        <f>+COBERTURA_CAMBIOS_TF!K15/1000</f>
        <v>10.216419999999998</v>
      </c>
      <c r="J45" s="375">
        <f>+COBERTURA_CAMBIOS_TF!L15/1000</f>
        <v>8.47363</v>
      </c>
      <c r="K45" s="397">
        <f>+COBERTURA_CAMBIOS_TF!M15/1000</f>
        <v>6.7308399999999997</v>
      </c>
      <c r="L45" s="397">
        <f>+COBERTURA_CAMBIOS_TF!N15/1000</f>
        <v>0.79538000000000009</v>
      </c>
      <c r="M45" s="397">
        <f>+COBERTURA_CAMBIOS_TF!O15/1000</f>
        <v>0.79538000000000009</v>
      </c>
      <c r="N45" s="397">
        <f>+COBERTURA_CAMBIOS_TF!P15/1000</f>
        <v>2.5629749999999998</v>
      </c>
      <c r="O45" s="397">
        <f>+COBERTURA_CAMBIOS_TF!Q15/1000</f>
        <v>2.5629749999999998</v>
      </c>
      <c r="P45" s="375">
        <f>+COBERTURA_CAMBIOS_TF!R15/1000</f>
        <v>2.5629749999999998</v>
      </c>
      <c r="Q45" s="375">
        <f>+COBERTURA_CAMBIOS_TF!S15/1000</f>
        <v>2.5629749999999998</v>
      </c>
      <c r="R45" s="375">
        <f>+COBERTURA_CAMBIOS_TF!T15/1000</f>
        <v>2.5629749999999998</v>
      </c>
      <c r="S45" s="375">
        <f>+COBERTURA_CAMBIOS_TF!U15/1000</f>
        <v>2.5629749999999998</v>
      </c>
      <c r="T45" s="375">
        <f>+COBERTURA_CAMBIOS_TF!V15/1000</f>
        <v>2.5629749999999998</v>
      </c>
      <c r="U45" s="375">
        <f>+COBERTURA_CAMBIOS_TF!W15/1000</f>
        <v>2.5629749999999998</v>
      </c>
      <c r="V45" s="375">
        <f>+COBERTURA_CAMBIOS_TF!X15/1000</f>
        <v>2.5629749999999998</v>
      </c>
      <c r="W45" s="375">
        <f>+COBERTURA_CAMBIOS_TF!Y15/1000</f>
        <v>2.5629749999999998</v>
      </c>
      <c r="X45" s="375">
        <f>+COBERTURA_CAMBIOS_TF!Z15/1000</f>
        <v>2.5629749999999998</v>
      </c>
      <c r="Y45" s="375">
        <f>+COBERTURA_CAMBIOS_TF!AA15/1000</f>
        <v>2.5629749999999998</v>
      </c>
      <c r="Z45" s="375">
        <f>+COBERTURA_CAMBIOS_TF!AB15/1000</f>
        <v>2.5629749999999998</v>
      </c>
      <c r="AA45" s="375">
        <f>+COBERTURA_CAMBIOS_TF!AC15/1000</f>
        <v>2.5629749999999998</v>
      </c>
      <c r="AB45" s="380">
        <f>+COBERTURA_CAMBIOS_TF!AD15/1000</f>
        <v>2.5629749999999998</v>
      </c>
    </row>
    <row r="46" spans="2:30" x14ac:dyDescent="0.3">
      <c r="B46" s="185" t="s">
        <v>175</v>
      </c>
      <c r="C46" s="375">
        <f>+COBERTURA_CAMBIOS_TF!E16/1000</f>
        <v>0</v>
      </c>
      <c r="D46" s="375">
        <f>+COBERTURA_CAMBIOS_TF!F16/1000</f>
        <v>0</v>
      </c>
      <c r="E46" s="375">
        <f>+COBERTURA_CAMBIOS_TF!G16/1000</f>
        <v>0</v>
      </c>
      <c r="F46" s="375">
        <f>+COBERTURA_CAMBIOS_TF!H16/1000</f>
        <v>0</v>
      </c>
      <c r="G46" s="375">
        <f>+COBERTURA_CAMBIOS_TF!I16/1000</f>
        <v>0</v>
      </c>
      <c r="H46" s="375">
        <f>+COBERTURA_CAMBIOS_TF!J16/1000</f>
        <v>0</v>
      </c>
      <c r="I46" s="375">
        <f>+COBERTURA_CAMBIOS_TF!K16/1000</f>
        <v>0</v>
      </c>
      <c r="J46" s="375">
        <f>+COBERTURA_CAMBIOS_TF!L16/1000</f>
        <v>0</v>
      </c>
      <c r="K46" s="397">
        <f>+COBERTURA_CAMBIOS_TF!M16/1000</f>
        <v>0</v>
      </c>
      <c r="L46" s="397">
        <f>+COBERTURA_CAMBIOS_TF!N16/1000</f>
        <v>0</v>
      </c>
      <c r="M46" s="397">
        <f>+COBERTURA_CAMBIOS_TF!O16/1000</f>
        <v>0</v>
      </c>
      <c r="N46" s="397">
        <f>+COBERTURA_CAMBIOS_TF!P16/1000</f>
        <v>0.26235000000000003</v>
      </c>
      <c r="O46" s="397">
        <f>+COBERTURA_CAMBIOS_TF!Q16/1000</f>
        <v>0.26235000000000003</v>
      </c>
      <c r="P46" s="375">
        <f>+COBERTURA_CAMBIOS_TF!R16/1000</f>
        <v>0.26235000000000003</v>
      </c>
      <c r="Q46" s="375">
        <f>+COBERTURA_CAMBIOS_TF!S16/1000</f>
        <v>0.26235000000000003</v>
      </c>
      <c r="R46" s="375">
        <f>+COBERTURA_CAMBIOS_TF!T16/1000</f>
        <v>0.26235000000000003</v>
      </c>
      <c r="S46" s="375">
        <f>+COBERTURA_CAMBIOS_TF!U16/1000</f>
        <v>0.26235000000000003</v>
      </c>
      <c r="T46" s="375">
        <f>+COBERTURA_CAMBIOS_TF!V16/1000</f>
        <v>0.26235000000000003</v>
      </c>
      <c r="U46" s="375">
        <f>+COBERTURA_CAMBIOS_TF!W16/1000</f>
        <v>0.26235000000000003</v>
      </c>
      <c r="V46" s="375">
        <f>+COBERTURA_CAMBIOS_TF!X16/1000</f>
        <v>0.26235000000000003</v>
      </c>
      <c r="W46" s="375">
        <f>+COBERTURA_CAMBIOS_TF!Y16/1000</f>
        <v>0.26235000000000003</v>
      </c>
      <c r="X46" s="375">
        <f>+COBERTURA_CAMBIOS_TF!Z16/1000</f>
        <v>0.26235000000000003</v>
      </c>
      <c r="Y46" s="375">
        <f>+COBERTURA_CAMBIOS_TF!AA16/1000</f>
        <v>0.26235000000000003</v>
      </c>
      <c r="Z46" s="375">
        <f>+COBERTURA_CAMBIOS_TF!AB16/1000</f>
        <v>0.26235000000000003</v>
      </c>
      <c r="AA46" s="375">
        <f>+COBERTURA_CAMBIOS_TF!AC16/1000</f>
        <v>0.26235000000000003</v>
      </c>
      <c r="AB46" s="380">
        <f>+COBERTURA_CAMBIOS_TF!AD16/1000</f>
        <v>0.26235000000000003</v>
      </c>
    </row>
    <row r="47" spans="2:30" ht="15" thickBot="1" x14ac:dyDescent="0.35">
      <c r="B47" s="186" t="s">
        <v>176</v>
      </c>
      <c r="C47" s="381">
        <f>+COBERTURA_CAMBIOS_TF!E17/1000</f>
        <v>1.2805199999999999</v>
      </c>
      <c r="D47" s="381">
        <f>+COBERTURA_CAMBIOS_TF!F17/1000</f>
        <v>1.2805199999999999</v>
      </c>
      <c r="E47" s="381">
        <f>+COBERTURA_CAMBIOS_TF!G17/1000</f>
        <v>1.2805199999999999</v>
      </c>
      <c r="F47" s="381">
        <f>+COBERTURA_CAMBIOS_TF!H17/1000</f>
        <v>1.2805199999999999</v>
      </c>
      <c r="G47" s="381">
        <f>+COBERTURA_CAMBIOS_TF!I17/1000</f>
        <v>1.2805199999999999</v>
      </c>
      <c r="H47" s="381">
        <f>+COBERTURA_CAMBIOS_TF!J17/1000</f>
        <v>5.2548525000000001</v>
      </c>
      <c r="I47" s="381">
        <f>+COBERTURA_CAMBIOS_TF!K17/1000</f>
        <v>9.2291849999999993</v>
      </c>
      <c r="J47" s="381">
        <f>+COBERTURA_CAMBIOS_TF!L17/1000</f>
        <v>5.3897874999999997</v>
      </c>
      <c r="K47" s="400">
        <f>+COBERTURA_CAMBIOS_TF!M17/1000</f>
        <v>1.5503900000000002</v>
      </c>
      <c r="L47" s="400">
        <f>+COBERTURA_CAMBIOS_TF!N17/1000</f>
        <v>0.60872000000000004</v>
      </c>
      <c r="M47" s="400">
        <f>+COBERTURA_CAMBIOS_TF!O17/1000</f>
        <v>0.60872000000000004</v>
      </c>
      <c r="N47" s="400">
        <f>+COBERTURA_CAMBIOS_TF!P17/1000</f>
        <v>3.363165</v>
      </c>
      <c r="O47" s="400">
        <f>+COBERTURA_CAMBIOS_TF!Q17/1000</f>
        <v>3.363165</v>
      </c>
      <c r="P47" s="381">
        <f>+COBERTURA_CAMBIOS_TF!R17/1000</f>
        <v>3.363165</v>
      </c>
      <c r="Q47" s="381">
        <f>+COBERTURA_CAMBIOS_TF!S17/1000</f>
        <v>3.363165</v>
      </c>
      <c r="R47" s="381">
        <f>+COBERTURA_CAMBIOS_TF!T17/1000</f>
        <v>3.363165</v>
      </c>
      <c r="S47" s="381">
        <f>+COBERTURA_CAMBIOS_TF!U17/1000</f>
        <v>3.363165</v>
      </c>
      <c r="T47" s="381">
        <f>+COBERTURA_CAMBIOS_TF!V17/1000</f>
        <v>3.363165</v>
      </c>
      <c r="U47" s="381">
        <f>+COBERTURA_CAMBIOS_TF!W17/1000</f>
        <v>3.363165</v>
      </c>
      <c r="V47" s="381">
        <f>+COBERTURA_CAMBIOS_TF!X17/1000</f>
        <v>3.363165</v>
      </c>
      <c r="W47" s="381">
        <f>+COBERTURA_CAMBIOS_TF!Y17/1000</f>
        <v>3.363165</v>
      </c>
      <c r="X47" s="381">
        <f>+COBERTURA_CAMBIOS_TF!Z17/1000</f>
        <v>3.363165</v>
      </c>
      <c r="Y47" s="381">
        <f>+COBERTURA_CAMBIOS_TF!AA17/1000</f>
        <v>3.363165</v>
      </c>
      <c r="Z47" s="381">
        <f>+COBERTURA_CAMBIOS_TF!AB17/1000</f>
        <v>3.363165</v>
      </c>
      <c r="AA47" s="381">
        <f>+COBERTURA_CAMBIOS_TF!AC17/1000</f>
        <v>3.363165</v>
      </c>
      <c r="AB47" s="382">
        <f>+COBERTURA_CAMBIOS_TF!AD17/1000</f>
        <v>3.363165</v>
      </c>
    </row>
    <row r="48" spans="2:30" ht="15" thickBot="1" x14ac:dyDescent="0.35">
      <c r="B48" s="142" t="s">
        <v>35</v>
      </c>
      <c r="C48" s="391"/>
      <c r="D48" s="391"/>
      <c r="E48" s="391"/>
      <c r="F48" s="391"/>
      <c r="G48" s="391"/>
      <c r="H48" s="391"/>
      <c r="I48" s="391"/>
      <c r="J48" s="391"/>
      <c r="K48" s="391"/>
      <c r="L48" s="391"/>
      <c r="M48" s="391"/>
      <c r="N48" s="391"/>
      <c r="O48" s="391"/>
      <c r="P48" s="391"/>
      <c r="Q48" s="391"/>
      <c r="R48" s="391"/>
      <c r="S48" s="391"/>
      <c r="T48" s="391"/>
      <c r="U48" s="391"/>
      <c r="V48" s="391"/>
      <c r="W48" s="391"/>
      <c r="X48" s="391"/>
      <c r="Y48" s="391"/>
      <c r="Z48" s="391"/>
      <c r="AA48" s="391"/>
      <c r="AB48" s="401"/>
      <c r="AD48" s="417" t="s">
        <v>232</v>
      </c>
    </row>
    <row r="49" spans="2:30" x14ac:dyDescent="0.3">
      <c r="B49" s="191" t="s">
        <v>173</v>
      </c>
      <c r="C49" s="402">
        <f>+C39/C44</f>
        <v>98.502864396415973</v>
      </c>
      <c r="D49" s="402">
        <f t="shared" ref="D49:O49" si="19">+D39/D44</f>
        <v>98.502864396415973</v>
      </c>
      <c r="E49" s="402">
        <f t="shared" si="19"/>
        <v>98.502864396415973</v>
      </c>
      <c r="F49" s="402">
        <f t="shared" si="19"/>
        <v>98.502864396415973</v>
      </c>
      <c r="G49" s="402">
        <f t="shared" si="19"/>
        <v>98.502864396415973</v>
      </c>
      <c r="H49" s="402">
        <f t="shared" si="19"/>
        <v>107.56857688848534</v>
      </c>
      <c r="I49" s="402">
        <f t="shared" si="19"/>
        <v>111.69717242329349</v>
      </c>
      <c r="J49" s="402">
        <f t="shared" si="19"/>
        <v>110.46962877052587</v>
      </c>
      <c r="K49" s="403">
        <f t="shared" si="19"/>
        <v>106.04604668532141</v>
      </c>
      <c r="L49" s="403">
        <f t="shared" si="19"/>
        <v>121.41745616803561</v>
      </c>
      <c r="M49" s="403">
        <f t="shared" si="19"/>
        <v>121.41745616803561</v>
      </c>
      <c r="N49" s="403">
        <f t="shared" si="19"/>
        <v>61.096242324530799</v>
      </c>
      <c r="O49" s="403">
        <f t="shared" si="19"/>
        <v>61.096242324530799</v>
      </c>
      <c r="P49" s="340">
        <f>IF(AD49="CONSTANTE",O49,AVERAGE(C49:O49))</f>
        <v>99.486395671910685</v>
      </c>
      <c r="Q49" s="378">
        <f t="shared" ref="Q49:AB49" si="20">+P49</f>
        <v>99.486395671910685</v>
      </c>
      <c r="R49" s="378">
        <f t="shared" si="20"/>
        <v>99.486395671910685</v>
      </c>
      <c r="S49" s="378">
        <f t="shared" si="20"/>
        <v>99.486395671910685</v>
      </c>
      <c r="T49" s="378">
        <f t="shared" si="20"/>
        <v>99.486395671910685</v>
      </c>
      <c r="U49" s="378">
        <f t="shared" si="20"/>
        <v>99.486395671910685</v>
      </c>
      <c r="V49" s="378">
        <f t="shared" si="20"/>
        <v>99.486395671910685</v>
      </c>
      <c r="W49" s="378">
        <f t="shared" si="20"/>
        <v>99.486395671910685</v>
      </c>
      <c r="X49" s="378">
        <f t="shared" si="20"/>
        <v>99.486395671910685</v>
      </c>
      <c r="Y49" s="378">
        <f t="shared" si="20"/>
        <v>99.486395671910685</v>
      </c>
      <c r="Z49" s="378">
        <f t="shared" si="20"/>
        <v>99.486395671910685</v>
      </c>
      <c r="AA49" s="378">
        <f t="shared" si="20"/>
        <v>99.486395671910685</v>
      </c>
      <c r="AB49" s="379">
        <f t="shared" si="20"/>
        <v>99.486395671910685</v>
      </c>
      <c r="AD49" s="418" t="s">
        <v>234</v>
      </c>
    </row>
    <row r="50" spans="2:30" x14ac:dyDescent="0.3">
      <c r="B50" s="185" t="s">
        <v>174</v>
      </c>
      <c r="C50" s="404">
        <f t="shared" ref="C50:O52" si="21">+C40/C45</f>
        <v>-11.916666666666666</v>
      </c>
      <c r="D50" s="404">
        <f t="shared" si="21"/>
        <v>-11.916666666666666</v>
      </c>
      <c r="E50" s="404">
        <f t="shared" si="21"/>
        <v>-11.916666666666666</v>
      </c>
      <c r="F50" s="404">
        <f t="shared" si="21"/>
        <v>-11.916666666666666</v>
      </c>
      <c r="G50" s="404">
        <f t="shared" si="21"/>
        <v>-11.916666666666666</v>
      </c>
      <c r="H50" s="404">
        <f t="shared" si="21"/>
        <v>-11.916666666666666</v>
      </c>
      <c r="I50" s="404">
        <f t="shared" si="21"/>
        <v>-11.916666666666668</v>
      </c>
      <c r="J50" s="404">
        <f t="shared" si="21"/>
        <v>-11.916666666666666</v>
      </c>
      <c r="K50" s="405">
        <f t="shared" si="21"/>
        <v>-11.916666666666666</v>
      </c>
      <c r="L50" s="405">
        <f t="shared" si="21"/>
        <v>-11.916666666666666</v>
      </c>
      <c r="M50" s="405">
        <f t="shared" si="21"/>
        <v>-11.916666666666666</v>
      </c>
      <c r="N50" s="405">
        <f t="shared" si="21"/>
        <v>-11.916666666666664</v>
      </c>
      <c r="O50" s="405">
        <f t="shared" si="21"/>
        <v>-11.916666666666664</v>
      </c>
      <c r="P50" s="375">
        <f t="shared" ref="P50:P52" si="22">IF(AD50="CONSTANTE",O50,AVERAGE(C50:O50))</f>
        <v>-11.916666666666666</v>
      </c>
      <c r="Q50" s="375">
        <f t="shared" ref="Q50:AB52" si="23">+P50</f>
        <v>-11.916666666666666</v>
      </c>
      <c r="R50" s="375">
        <f t="shared" si="23"/>
        <v>-11.916666666666666</v>
      </c>
      <c r="S50" s="375">
        <f t="shared" si="23"/>
        <v>-11.916666666666666</v>
      </c>
      <c r="T50" s="375">
        <f t="shared" si="23"/>
        <v>-11.916666666666666</v>
      </c>
      <c r="U50" s="375">
        <f t="shared" si="23"/>
        <v>-11.916666666666666</v>
      </c>
      <c r="V50" s="375">
        <f t="shared" si="23"/>
        <v>-11.916666666666666</v>
      </c>
      <c r="W50" s="375">
        <f t="shared" si="23"/>
        <v>-11.916666666666666</v>
      </c>
      <c r="X50" s="375">
        <f t="shared" si="23"/>
        <v>-11.916666666666666</v>
      </c>
      <c r="Y50" s="375">
        <f t="shared" si="23"/>
        <v>-11.916666666666666</v>
      </c>
      <c r="Z50" s="375">
        <f t="shared" si="23"/>
        <v>-11.916666666666666</v>
      </c>
      <c r="AA50" s="375">
        <f t="shared" si="23"/>
        <v>-11.916666666666666</v>
      </c>
      <c r="AB50" s="380">
        <f t="shared" si="23"/>
        <v>-11.916666666666666</v>
      </c>
      <c r="AD50" s="418" t="s">
        <v>234</v>
      </c>
    </row>
    <row r="51" spans="2:30" x14ac:dyDescent="0.3">
      <c r="B51" s="185" t="s">
        <v>175</v>
      </c>
      <c r="C51" s="404">
        <v>0</v>
      </c>
      <c r="D51" s="404">
        <v>0</v>
      </c>
      <c r="E51" s="404">
        <v>0</v>
      </c>
      <c r="F51" s="404">
        <v>0</v>
      </c>
      <c r="G51" s="404">
        <v>0</v>
      </c>
      <c r="H51" s="404">
        <v>0</v>
      </c>
      <c r="I51" s="404">
        <v>0</v>
      </c>
      <c r="J51" s="404">
        <v>0</v>
      </c>
      <c r="K51" s="405">
        <v>0</v>
      </c>
      <c r="L51" s="405">
        <v>0</v>
      </c>
      <c r="M51" s="405">
        <v>0</v>
      </c>
      <c r="N51" s="405">
        <f t="shared" si="21"/>
        <v>-11.916666666666666</v>
      </c>
      <c r="O51" s="405">
        <f t="shared" si="21"/>
        <v>-11.916666666666666</v>
      </c>
      <c r="P51" s="375">
        <f t="shared" si="22"/>
        <v>-1.8333333333333333</v>
      </c>
      <c r="Q51" s="375">
        <f t="shared" si="23"/>
        <v>-1.8333333333333333</v>
      </c>
      <c r="R51" s="375">
        <f t="shared" si="23"/>
        <v>-1.8333333333333333</v>
      </c>
      <c r="S51" s="375">
        <f t="shared" si="23"/>
        <v>-1.8333333333333333</v>
      </c>
      <c r="T51" s="375">
        <f t="shared" si="23"/>
        <v>-1.8333333333333333</v>
      </c>
      <c r="U51" s="375">
        <f t="shared" si="23"/>
        <v>-1.8333333333333333</v>
      </c>
      <c r="V51" s="375">
        <f t="shared" si="23"/>
        <v>-1.8333333333333333</v>
      </c>
      <c r="W51" s="375">
        <f t="shared" si="23"/>
        <v>-1.8333333333333333</v>
      </c>
      <c r="X51" s="375">
        <f t="shared" si="23"/>
        <v>-1.8333333333333333</v>
      </c>
      <c r="Y51" s="375">
        <f t="shared" si="23"/>
        <v>-1.8333333333333333</v>
      </c>
      <c r="Z51" s="375">
        <f t="shared" si="23"/>
        <v>-1.8333333333333333</v>
      </c>
      <c r="AA51" s="375">
        <f t="shared" si="23"/>
        <v>-1.8333333333333333</v>
      </c>
      <c r="AB51" s="380">
        <f t="shared" si="23"/>
        <v>-1.8333333333333333</v>
      </c>
      <c r="AD51" s="418" t="s">
        <v>234</v>
      </c>
    </row>
    <row r="52" spans="2:30" ht="15" thickBot="1" x14ac:dyDescent="0.35">
      <c r="B52" s="186" t="s">
        <v>176</v>
      </c>
      <c r="C52" s="406">
        <f t="shared" si="21"/>
        <v>-11.916666666666664</v>
      </c>
      <c r="D52" s="406">
        <f t="shared" si="21"/>
        <v>-11.916666666666664</v>
      </c>
      <c r="E52" s="406">
        <f t="shared" si="21"/>
        <v>-11.916666666666664</v>
      </c>
      <c r="F52" s="406">
        <f t="shared" si="21"/>
        <v>-11.916666666666664</v>
      </c>
      <c r="G52" s="406">
        <f t="shared" si="21"/>
        <v>-11.916666666666664</v>
      </c>
      <c r="H52" s="406">
        <f t="shared" si="21"/>
        <v>-11.916666666666666</v>
      </c>
      <c r="I52" s="406">
        <f t="shared" si="21"/>
        <v>-11.916666666666668</v>
      </c>
      <c r="J52" s="406">
        <f t="shared" si="21"/>
        <v>-11.916666666666668</v>
      </c>
      <c r="K52" s="407">
        <f t="shared" si="21"/>
        <v>-11.916666666666664</v>
      </c>
      <c r="L52" s="407">
        <f t="shared" si="21"/>
        <v>-11.916666666666668</v>
      </c>
      <c r="M52" s="407">
        <f t="shared" si="21"/>
        <v>-11.916666666666668</v>
      </c>
      <c r="N52" s="407">
        <f t="shared" si="21"/>
        <v>-11.916666666666666</v>
      </c>
      <c r="O52" s="407">
        <f t="shared" si="21"/>
        <v>-11.916666666666666</v>
      </c>
      <c r="P52" s="375">
        <f t="shared" si="22"/>
        <v>-11.916666666666666</v>
      </c>
      <c r="Q52" s="381">
        <f t="shared" si="23"/>
        <v>-11.916666666666666</v>
      </c>
      <c r="R52" s="381">
        <f t="shared" si="23"/>
        <v>-11.916666666666666</v>
      </c>
      <c r="S52" s="381">
        <f t="shared" si="23"/>
        <v>-11.916666666666666</v>
      </c>
      <c r="T52" s="381">
        <f t="shared" si="23"/>
        <v>-11.916666666666666</v>
      </c>
      <c r="U52" s="381">
        <f t="shared" si="23"/>
        <v>-11.916666666666666</v>
      </c>
      <c r="V52" s="381">
        <f t="shared" si="23"/>
        <v>-11.916666666666666</v>
      </c>
      <c r="W52" s="381">
        <f t="shared" si="23"/>
        <v>-11.916666666666666</v>
      </c>
      <c r="X52" s="381">
        <f t="shared" si="23"/>
        <v>-11.916666666666666</v>
      </c>
      <c r="Y52" s="381">
        <f t="shared" si="23"/>
        <v>-11.916666666666666</v>
      </c>
      <c r="Z52" s="381">
        <f t="shared" si="23"/>
        <v>-11.916666666666666</v>
      </c>
      <c r="AA52" s="381">
        <f t="shared" si="23"/>
        <v>-11.916666666666666</v>
      </c>
      <c r="AB52" s="382">
        <f t="shared" si="23"/>
        <v>-11.916666666666666</v>
      </c>
      <c r="AD52" s="418" t="s">
        <v>234</v>
      </c>
    </row>
    <row r="53" spans="2:30" ht="15" thickBot="1" x14ac:dyDescent="0.35"/>
    <row r="54" spans="2:30" x14ac:dyDescent="0.3">
      <c r="B54" s="191" t="s">
        <v>231</v>
      </c>
      <c r="C54" s="367">
        <v>2010</v>
      </c>
      <c r="D54" s="367">
        <v>2011</v>
      </c>
      <c r="E54" s="367">
        <v>2012</v>
      </c>
      <c r="F54" s="367">
        <v>2013</v>
      </c>
      <c r="G54" s="367">
        <v>2014</v>
      </c>
      <c r="H54" s="367">
        <v>2015</v>
      </c>
      <c r="I54" s="367">
        <v>2016</v>
      </c>
      <c r="J54" s="367">
        <v>2017</v>
      </c>
      <c r="K54" s="367">
        <v>2018</v>
      </c>
      <c r="L54" s="367">
        <v>2019</v>
      </c>
      <c r="M54" s="367">
        <v>2020</v>
      </c>
      <c r="N54" s="367">
        <v>2021</v>
      </c>
      <c r="O54" s="367">
        <v>2022</v>
      </c>
      <c r="P54" s="367">
        <v>2023</v>
      </c>
      <c r="Q54" s="367">
        <v>2024</v>
      </c>
      <c r="R54" s="367">
        <v>2025</v>
      </c>
      <c r="S54" s="367">
        <v>2026</v>
      </c>
      <c r="T54" s="367">
        <v>2027</v>
      </c>
      <c r="U54" s="367">
        <v>2028</v>
      </c>
      <c r="V54" s="367">
        <v>2029</v>
      </c>
      <c r="W54" s="367">
        <v>2030</v>
      </c>
      <c r="X54" s="367">
        <v>2031</v>
      </c>
      <c r="Y54" s="367">
        <v>2032</v>
      </c>
      <c r="Z54" s="367">
        <v>2033</v>
      </c>
      <c r="AA54" s="367">
        <v>2034</v>
      </c>
      <c r="AB54" s="368">
        <v>2035</v>
      </c>
    </row>
    <row r="55" spans="2:30" x14ac:dyDescent="0.3">
      <c r="B55" s="390" t="s">
        <v>171</v>
      </c>
      <c r="C55" s="363">
        <f>+C3</f>
        <v>36493.567754299998</v>
      </c>
      <c r="D55" s="363">
        <f t="shared" ref="D55:AB55" si="24">+D3</f>
        <v>36493.567754299998</v>
      </c>
      <c r="E55" s="363">
        <f t="shared" si="24"/>
        <v>36493.567754299998</v>
      </c>
      <c r="F55" s="363">
        <f t="shared" si="24"/>
        <v>36493.567754299998</v>
      </c>
      <c r="G55" s="363">
        <f t="shared" si="24"/>
        <v>36493.567754299998</v>
      </c>
      <c r="H55" s="363">
        <f t="shared" si="24"/>
        <v>36130.516526949999</v>
      </c>
      <c r="I55" s="363">
        <f t="shared" si="24"/>
        <v>35767.4652996</v>
      </c>
      <c r="J55" s="363">
        <f t="shared" si="24"/>
        <v>33486.562845341665</v>
      </c>
      <c r="K55" s="364">
        <f t="shared" si="24"/>
        <v>31205.660391083336</v>
      </c>
      <c r="L55" s="364">
        <f t="shared" si="24"/>
        <v>32707.711579233339</v>
      </c>
      <c r="M55" s="364">
        <f t="shared" si="24"/>
        <v>32707.711579233339</v>
      </c>
      <c r="N55" s="364">
        <f t="shared" si="24"/>
        <v>35423.802290166677</v>
      </c>
      <c r="O55" s="364">
        <f t="shared" si="24"/>
        <v>35423.802290166677</v>
      </c>
      <c r="P55" s="346">
        <f t="shared" si="24"/>
        <v>30673.722627079631</v>
      </c>
      <c r="Q55" s="346">
        <f t="shared" si="24"/>
        <v>30442.354749047499</v>
      </c>
      <c r="R55" s="346">
        <f t="shared" si="24"/>
        <v>30212.732497861172</v>
      </c>
      <c r="S55" s="346">
        <f t="shared" si="24"/>
        <v>29984.84269960926</v>
      </c>
      <c r="T55" s="346">
        <f t="shared" si="24"/>
        <v>29758.672279824936</v>
      </c>
      <c r="U55" s="346">
        <f t="shared" si="24"/>
        <v>29534.237044451285</v>
      </c>
      <c r="V55" s="346">
        <f t="shared" si="24"/>
        <v>29311.437553500393</v>
      </c>
      <c r="W55" s="346">
        <f t="shared" si="24"/>
        <v>29090.319471766714</v>
      </c>
      <c r="X55" s="346">
        <f t="shared" si="24"/>
        <v>28870.95444955393</v>
      </c>
      <c r="Y55" s="346">
        <f t="shared" si="24"/>
        <v>28653.18780259286</v>
      </c>
      <c r="Z55" s="346">
        <f t="shared" si="24"/>
        <v>28437.064138950034</v>
      </c>
      <c r="AA55" s="346">
        <f t="shared" si="24"/>
        <v>28222.571059531867</v>
      </c>
      <c r="AB55" s="347">
        <f t="shared" si="24"/>
        <v>28009.72350778753</v>
      </c>
    </row>
    <row r="56" spans="2:30" ht="15" thickBot="1" x14ac:dyDescent="0.35">
      <c r="B56" s="416" t="s">
        <v>172</v>
      </c>
      <c r="C56" s="365">
        <f>+C38</f>
        <v>2287.6846545043336</v>
      </c>
      <c r="D56" s="365">
        <f t="shared" ref="D56:AB56" si="25">+D38</f>
        <v>2287.6846545043336</v>
      </c>
      <c r="E56" s="365">
        <f t="shared" si="25"/>
        <v>2287.6846545043336</v>
      </c>
      <c r="F56" s="365">
        <f t="shared" si="25"/>
        <v>2287.6846545043336</v>
      </c>
      <c r="G56" s="365">
        <f t="shared" si="25"/>
        <v>2287.6846545043336</v>
      </c>
      <c r="H56" s="365">
        <f t="shared" si="25"/>
        <v>4018.537802792333</v>
      </c>
      <c r="I56" s="365">
        <f t="shared" si="25"/>
        <v>5749.3909510803323</v>
      </c>
      <c r="J56" s="365">
        <f t="shared" si="25"/>
        <v>3613.2466412294993</v>
      </c>
      <c r="K56" s="366">
        <f t="shared" si="25"/>
        <v>1477.1023313786661</v>
      </c>
      <c r="L56" s="366">
        <f t="shared" si="25"/>
        <v>3922.1010817559995</v>
      </c>
      <c r="M56" s="366">
        <f t="shared" si="25"/>
        <v>3922.1010817559995</v>
      </c>
      <c r="N56" s="366">
        <f t="shared" si="25"/>
        <v>1344.6666331560002</v>
      </c>
      <c r="O56" s="366">
        <f t="shared" si="25"/>
        <v>1344.6666331560002</v>
      </c>
      <c r="P56" s="350">
        <f t="shared" si="25"/>
        <v>2238.5793313749055</v>
      </c>
      <c r="Q56" s="350">
        <f t="shared" si="25"/>
        <v>2238.5793313749055</v>
      </c>
      <c r="R56" s="350">
        <f t="shared" si="25"/>
        <v>2238.5793313749055</v>
      </c>
      <c r="S56" s="350">
        <f t="shared" si="25"/>
        <v>2238.5793313749055</v>
      </c>
      <c r="T56" s="350">
        <f t="shared" si="25"/>
        <v>2238.5793313749055</v>
      </c>
      <c r="U56" s="350">
        <f t="shared" si="25"/>
        <v>2238.5793313749055</v>
      </c>
      <c r="V56" s="350">
        <f t="shared" si="25"/>
        <v>2238.5793313749055</v>
      </c>
      <c r="W56" s="350">
        <f t="shared" si="25"/>
        <v>2238.5793313749055</v>
      </c>
      <c r="X56" s="350">
        <f t="shared" si="25"/>
        <v>2238.5793313749055</v>
      </c>
      <c r="Y56" s="350">
        <f t="shared" si="25"/>
        <v>2238.5793313749055</v>
      </c>
      <c r="Z56" s="350">
        <f t="shared" si="25"/>
        <v>2238.5793313749055</v>
      </c>
      <c r="AA56" s="350">
        <f t="shared" si="25"/>
        <v>2238.5793313749055</v>
      </c>
      <c r="AB56" s="351">
        <f t="shared" si="25"/>
        <v>2238.5793313749055</v>
      </c>
    </row>
  </sheetData>
  <dataValidations count="1">
    <dataValidation type="list" allowBlank="1" showInputMessage="1" showErrorMessage="1" sqref="AD26:AD35 AD49:AD52" xr:uid="{227E7064-D66B-464A-81F6-E602663318EC}">
      <formula1>"CONSTANTE, PROMEDIO"</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F6D53-7A90-45DE-82AB-B3046B260A1A}">
  <sheetPr>
    <tabColor theme="4"/>
  </sheetPr>
  <dimension ref="B1:AD53"/>
  <sheetViews>
    <sheetView topLeftCell="E1" workbookViewId="0">
      <pane ySplit="1" topLeftCell="A4" activePane="bottomLeft" state="frozen"/>
      <selection pane="bottomLeft" activeCell="B23" sqref="A23:XFD23"/>
    </sheetView>
  </sheetViews>
  <sheetFormatPr baseColWidth="10" defaultColWidth="11.44140625" defaultRowHeight="14.4" x14ac:dyDescent="0.3"/>
  <cols>
    <col min="2" max="2" width="51.77734375" customWidth="1"/>
    <col min="3" max="3" width="12" bestFit="1" customWidth="1"/>
  </cols>
  <sheetData>
    <row r="1" spans="2:28" ht="15" thickBot="1" x14ac:dyDescent="0.35">
      <c r="B1" s="182" t="s">
        <v>130</v>
      </c>
      <c r="C1" s="183">
        <v>2010</v>
      </c>
      <c r="D1" s="183">
        <v>2011</v>
      </c>
      <c r="E1" s="183">
        <v>2012</v>
      </c>
      <c r="F1" s="183">
        <v>2013</v>
      </c>
      <c r="G1" s="183">
        <v>2014</v>
      </c>
      <c r="H1" s="183">
        <v>2015</v>
      </c>
      <c r="I1" s="183">
        <v>2016</v>
      </c>
      <c r="J1" s="183">
        <v>2017</v>
      </c>
      <c r="K1" s="183">
        <v>2018</v>
      </c>
      <c r="L1" s="183">
        <v>2019</v>
      </c>
      <c r="M1" s="183">
        <v>2020</v>
      </c>
      <c r="N1" s="183">
        <v>2021</v>
      </c>
      <c r="O1" s="183">
        <v>2022</v>
      </c>
      <c r="P1" s="183">
        <v>2023</v>
      </c>
      <c r="Q1" s="183">
        <v>2024</v>
      </c>
      <c r="R1" s="183">
        <v>2025</v>
      </c>
      <c r="S1" s="183">
        <v>2026</v>
      </c>
      <c r="T1" s="183">
        <v>2027</v>
      </c>
      <c r="U1" s="183">
        <v>2028</v>
      </c>
      <c r="V1" s="183">
        <v>2029</v>
      </c>
      <c r="W1" s="183">
        <v>2030</v>
      </c>
      <c r="X1" s="183">
        <v>2031</v>
      </c>
      <c r="Y1" s="183">
        <v>2032</v>
      </c>
      <c r="Z1" s="183">
        <v>2033</v>
      </c>
      <c r="AA1" s="183">
        <v>2034</v>
      </c>
      <c r="AB1" s="184">
        <v>2035</v>
      </c>
    </row>
    <row r="2" spans="2:28" ht="15" thickBot="1" x14ac:dyDescent="0.35">
      <c r="B2" s="131" t="s">
        <v>177</v>
      </c>
      <c r="C2" s="52"/>
      <c r="D2" s="52"/>
      <c r="E2" s="52"/>
      <c r="F2" s="52"/>
      <c r="G2" s="52"/>
      <c r="H2" s="52"/>
      <c r="I2" s="52"/>
      <c r="J2" s="52"/>
      <c r="K2" s="52"/>
      <c r="L2" s="52"/>
      <c r="M2" s="52"/>
      <c r="N2" s="52"/>
      <c r="O2" s="52"/>
      <c r="P2" s="52"/>
      <c r="Q2" s="52"/>
      <c r="R2" s="52"/>
      <c r="S2" s="52"/>
      <c r="T2" s="52"/>
      <c r="U2" s="52"/>
      <c r="V2" s="52"/>
      <c r="W2" s="52"/>
      <c r="X2" s="52"/>
      <c r="Y2" s="52"/>
      <c r="Z2" s="52"/>
      <c r="AA2" s="52"/>
      <c r="AB2" s="52"/>
    </row>
    <row r="3" spans="2:28" ht="15" thickBot="1" x14ac:dyDescent="0.35">
      <c r="B3" s="142" t="s">
        <v>166</v>
      </c>
      <c r="C3" s="391">
        <f>+DATOS_INGEI!C18/1000</f>
        <v>0</v>
      </c>
      <c r="D3" s="391">
        <f>+DATOS_INGEI!D18/1000</f>
        <v>0</v>
      </c>
      <c r="E3" s="391">
        <f>+DATOS_INGEI!E18/1000</f>
        <v>0</v>
      </c>
      <c r="F3" s="391">
        <f>+DATOS_INGEI!F18/1000</f>
        <v>0</v>
      </c>
      <c r="G3" s="391">
        <f>+DATOS_INGEI!G18/1000</f>
        <v>0</v>
      </c>
      <c r="H3" s="391">
        <f>+DATOS_INGEI!H18/1000</f>
        <v>0</v>
      </c>
      <c r="I3" s="391">
        <f>+DATOS_INGEI!I18/1000</f>
        <v>0</v>
      </c>
      <c r="J3" s="391">
        <f>+DATOS_INGEI!J18/1000</f>
        <v>264.19454804999998</v>
      </c>
      <c r="K3" s="391">
        <f>+DATOS_INGEI!K18/1000</f>
        <v>528.38909609999996</v>
      </c>
      <c r="L3" s="391">
        <f>+DATOS_INGEI!L18/1000</f>
        <v>1404.7195637145001</v>
      </c>
      <c r="M3" s="391">
        <f>+DATOS_INGEI!M18/1000</f>
        <v>1404.7195637145001</v>
      </c>
      <c r="N3" s="391">
        <f>+DATOS_INGEI!N18/1000</f>
        <v>188.01656284649997</v>
      </c>
      <c r="O3" s="391">
        <f>+DATOS_INGEI!O18/1000</f>
        <v>188.01656284649997</v>
      </c>
      <c r="P3" s="392">
        <f>+SUM(P4:P13)</f>
        <v>85.911088783010172</v>
      </c>
      <c r="Q3" s="392">
        <f t="shared" ref="Q3:AB3" si="0">+SUM(Q4:Q13)</f>
        <v>85.263072676428877</v>
      </c>
      <c r="R3" s="392">
        <f t="shared" si="0"/>
        <v>84.619945728713446</v>
      </c>
      <c r="S3" s="392">
        <f t="shared" si="0"/>
        <v>83.981671042318595</v>
      </c>
      <c r="T3" s="392">
        <f t="shared" si="0"/>
        <v>83.348211998223704</v>
      </c>
      <c r="U3" s="392">
        <f t="shared" si="0"/>
        <v>82.719612865779325</v>
      </c>
      <c r="V3" s="392">
        <f t="shared" si="0"/>
        <v>82.095595133057387</v>
      </c>
      <c r="W3" s="392">
        <f t="shared" si="0"/>
        <v>81.476286698202443</v>
      </c>
      <c r="X3" s="392">
        <f t="shared" si="0"/>
        <v>80.861888239680425</v>
      </c>
      <c r="Y3" s="392">
        <f t="shared" si="0"/>
        <v>80.251966517152553</v>
      </c>
      <c r="Z3" s="392">
        <f t="shared" si="0"/>
        <v>79.646646469075463</v>
      </c>
      <c r="AA3" s="392">
        <f t="shared" si="0"/>
        <v>79.04589336801665</v>
      </c>
      <c r="AB3" s="393">
        <f t="shared" si="0"/>
        <v>78.449749067650245</v>
      </c>
    </row>
    <row r="4" spans="2:28" x14ac:dyDescent="0.3">
      <c r="B4" s="191" t="s">
        <v>2</v>
      </c>
      <c r="C4" s="378">
        <f>+C$3*COBERTURA_BOSQUE!C35</f>
        <v>0</v>
      </c>
      <c r="D4" s="378">
        <f>+D$3*COBERTURA_BOSQUE!D35</f>
        <v>0</v>
      </c>
      <c r="E4" s="378">
        <f>+E$3*COBERTURA_BOSQUE!E35</f>
        <v>0</v>
      </c>
      <c r="F4" s="378">
        <f>+F$3*COBERTURA_BOSQUE!F35</f>
        <v>0</v>
      </c>
      <c r="G4" s="378">
        <f>+G$3*COBERTURA_BOSQUE!G35</f>
        <v>0</v>
      </c>
      <c r="H4" s="378">
        <f>+H$3*COBERTURA_BOSQUE!H35</f>
        <v>0</v>
      </c>
      <c r="I4" s="378">
        <f>+I$3*COBERTURA_BOSQUE!I35</f>
        <v>0</v>
      </c>
      <c r="J4" s="378">
        <f>+J$3*COBERTURA_BOSQUE!J35</f>
        <v>0.6551504495478998</v>
      </c>
      <c r="K4" s="394">
        <f>+K$3*COBERTURA_BOSQUE!K35</f>
        <v>1.2876819046084236</v>
      </c>
      <c r="L4" s="394">
        <f>+L$3*COBERTURA_BOSQUE!L35</f>
        <v>3.4232954021864828</v>
      </c>
      <c r="M4" s="394">
        <f>+M$3*COBERTURA_BOSQUE!M35</f>
        <v>3.4232954021864828</v>
      </c>
      <c r="N4" s="394">
        <f>+N$3*COBERTURA_BOSQUE!N35</f>
        <v>0.43040637757715255</v>
      </c>
      <c r="O4" s="394">
        <f>+O$3*COBERTURA_BOSQUE!P35</f>
        <v>0.43040637757715255</v>
      </c>
      <c r="P4" s="395">
        <f>+P15*P26</f>
        <v>8.8451111795000661E-2</v>
      </c>
      <c r="Q4" s="395">
        <f t="shared" ref="Q4:AB4" si="1">+Q15*Q26</f>
        <v>8.7783936627043521E-2</v>
      </c>
      <c r="R4" s="395">
        <f t="shared" si="1"/>
        <v>8.7121795169443891E-2</v>
      </c>
      <c r="S4" s="395">
        <f t="shared" si="1"/>
        <v>8.6464649433753982E-2</v>
      </c>
      <c r="T4" s="395">
        <f t="shared" si="1"/>
        <v>8.5812461718285618E-2</v>
      </c>
      <c r="U4" s="395">
        <f t="shared" si="1"/>
        <v>8.5165277601244468E-2</v>
      </c>
      <c r="V4" s="395">
        <f t="shared" si="1"/>
        <v>8.4522810336297355E-2</v>
      </c>
      <c r="W4" s="395">
        <f t="shared" si="1"/>
        <v>8.388519160298924E-2</v>
      </c>
      <c r="X4" s="395">
        <f t="shared" si="1"/>
        <v>8.3252628012989049E-2</v>
      </c>
      <c r="Y4" s="395">
        <f t="shared" si="1"/>
        <v>8.2624673516896327E-2</v>
      </c>
      <c r="Z4" s="395">
        <f t="shared" si="1"/>
        <v>8.2001456747062856E-2</v>
      </c>
      <c r="AA4" s="395">
        <f t="shared" si="1"/>
        <v>8.1382941949314724E-2</v>
      </c>
      <c r="AB4" s="396">
        <f t="shared" si="1"/>
        <v>8.0769172214759932E-2</v>
      </c>
    </row>
    <row r="5" spans="2:28" x14ac:dyDescent="0.3">
      <c r="B5" s="185" t="s">
        <v>4</v>
      </c>
      <c r="C5" s="375">
        <f>+C$3*COBERTURA_BOSQUE!C36</f>
        <v>0</v>
      </c>
      <c r="D5" s="375">
        <f>+D$3*COBERTURA_BOSQUE!D36</f>
        <v>0</v>
      </c>
      <c r="E5" s="375">
        <f>+E$3*COBERTURA_BOSQUE!E36</f>
        <v>0</v>
      </c>
      <c r="F5" s="375">
        <f>+F$3*COBERTURA_BOSQUE!F36</f>
        <v>0</v>
      </c>
      <c r="G5" s="375">
        <f>+G$3*COBERTURA_BOSQUE!G36</f>
        <v>0</v>
      </c>
      <c r="H5" s="375">
        <f>+H$3*COBERTURA_BOSQUE!H36</f>
        <v>0</v>
      </c>
      <c r="I5" s="375">
        <f>+I$3*COBERTURA_BOSQUE!I36</f>
        <v>0</v>
      </c>
      <c r="J5" s="375">
        <f>+J$3*COBERTURA_BOSQUE!J36</f>
        <v>6.199333089104675</v>
      </c>
      <c r="K5" s="397">
        <f>+K$3*COBERTURA_BOSQUE!K36</f>
        <v>12.202160602582342</v>
      </c>
      <c r="L5" s="397">
        <f>+L$3*COBERTURA_BOSQUE!L36</f>
        <v>32.439378186543415</v>
      </c>
      <c r="M5" s="397">
        <f>+M$3*COBERTURA_BOSQUE!M36</f>
        <v>32.439378186543415</v>
      </c>
      <c r="N5" s="397">
        <f>+N$3*COBERTURA_BOSQUE!N36</f>
        <v>4.3998990352012459</v>
      </c>
      <c r="O5" s="397">
        <f>+O$3*COBERTURA_BOSQUE!P36</f>
        <v>4.3998990352012459</v>
      </c>
      <c r="P5" s="398">
        <f t="shared" ref="P5:AB13" si="2">+P16*P27</f>
        <v>11.994263982716092</v>
      </c>
      <c r="Q5" s="398">
        <f t="shared" si="2"/>
        <v>11.903792818195997</v>
      </c>
      <c r="R5" s="398">
        <f t="shared" si="2"/>
        <v>11.814004241487579</v>
      </c>
      <c r="S5" s="398">
        <f t="shared" si="2"/>
        <v>11.724893101231382</v>
      </c>
      <c r="T5" s="398">
        <f t="shared" si="2"/>
        <v>11.636454284953501</v>
      </c>
      <c r="U5" s="398">
        <f t="shared" si="2"/>
        <v>11.548693973209728</v>
      </c>
      <c r="V5" s="398">
        <f t="shared" si="2"/>
        <v>11.461573282246691</v>
      </c>
      <c r="W5" s="398">
        <f t="shared" si="2"/>
        <v>11.375110068247219</v>
      </c>
      <c r="X5" s="398">
        <f t="shared" si="2"/>
        <v>11.289332348438547</v>
      </c>
      <c r="Y5" s="398">
        <f t="shared" si="2"/>
        <v>11.204179637043289</v>
      </c>
      <c r="Z5" s="398">
        <f t="shared" si="2"/>
        <v>11.119669377034766</v>
      </c>
      <c r="AA5" s="398">
        <f t="shared" si="2"/>
        <v>11.035796720028474</v>
      </c>
      <c r="AB5" s="399">
        <f t="shared" si="2"/>
        <v>10.952567509321504</v>
      </c>
    </row>
    <row r="6" spans="2:28" x14ac:dyDescent="0.3">
      <c r="B6" s="185" t="s">
        <v>5</v>
      </c>
      <c r="C6" s="375">
        <f>+C$3*COBERTURA_BOSQUE!C37</f>
        <v>0</v>
      </c>
      <c r="D6" s="375">
        <f>+D$3*COBERTURA_BOSQUE!D37</f>
        <v>0</v>
      </c>
      <c r="E6" s="375">
        <f>+E$3*COBERTURA_BOSQUE!E37</f>
        <v>0</v>
      </c>
      <c r="F6" s="375">
        <f>+F$3*COBERTURA_BOSQUE!F37</f>
        <v>0</v>
      </c>
      <c r="G6" s="375">
        <f>+G$3*COBERTURA_BOSQUE!G37</f>
        <v>0</v>
      </c>
      <c r="H6" s="375">
        <f>+H$3*COBERTURA_BOSQUE!H37</f>
        <v>0</v>
      </c>
      <c r="I6" s="375">
        <f>+I$3*COBERTURA_BOSQUE!I37</f>
        <v>0</v>
      </c>
      <c r="J6" s="375">
        <f>+J$3*COBERTURA_BOSQUE!J37</f>
        <v>55.210914781739916</v>
      </c>
      <c r="K6" s="397">
        <f>+K$3*COBERTURA_BOSQUE!K37</f>
        <v>109.59775769003735</v>
      </c>
      <c r="L6" s="397">
        <f>+L$3*COBERTURA_BOSQUE!L37</f>
        <v>291.36504803517045</v>
      </c>
      <c r="M6" s="397">
        <f>+M$3*COBERTURA_BOSQUE!M37</f>
        <v>291.36504803517045</v>
      </c>
      <c r="N6" s="397">
        <f>+N$3*COBERTURA_BOSQUE!N37</f>
        <v>39.695179106568808</v>
      </c>
      <c r="O6" s="397">
        <f>+O$3*COBERTURA_BOSQUE!P37</f>
        <v>39.695179106568808</v>
      </c>
      <c r="P6" s="398">
        <f t="shared" si="2"/>
        <v>11.680684168659097</v>
      </c>
      <c r="Q6" s="398">
        <f t="shared" si="2"/>
        <v>11.592578295664067</v>
      </c>
      <c r="R6" s="398">
        <f t="shared" si="2"/>
        <v>11.505137164803868</v>
      </c>
      <c r="S6" s="398">
        <f t="shared" si="2"/>
        <v>11.418355759396947</v>
      </c>
      <c r="T6" s="398">
        <f t="shared" si="2"/>
        <v>11.332229100630677</v>
      </c>
      <c r="U6" s="398">
        <f t="shared" si="2"/>
        <v>11.246763207475475</v>
      </c>
      <c r="V6" s="398">
        <f t="shared" si="2"/>
        <v>11.161920212760583</v>
      </c>
      <c r="W6" s="398">
        <f t="shared" si="2"/>
        <v>11.077717505834141</v>
      </c>
      <c r="X6" s="398">
        <f t="shared" si="2"/>
        <v>10.994182371436846</v>
      </c>
      <c r="Y6" s="398">
        <f t="shared" si="2"/>
        <v>10.911255905140431</v>
      </c>
      <c r="Z6" s="398">
        <f t="shared" si="2"/>
        <v>10.828955093886545</v>
      </c>
      <c r="AA6" s="398">
        <f t="shared" si="2"/>
        <v>10.747275216047564</v>
      </c>
      <c r="AB6" s="399">
        <f t="shared" si="2"/>
        <v>10.66622196215255</v>
      </c>
    </row>
    <row r="7" spans="2:28" x14ac:dyDescent="0.3">
      <c r="B7" s="185" t="s">
        <v>6</v>
      </c>
      <c r="C7" s="375">
        <f>+C$3*COBERTURA_BOSQUE!C38</f>
        <v>0</v>
      </c>
      <c r="D7" s="375">
        <f>+D$3*COBERTURA_BOSQUE!D38</f>
        <v>0</v>
      </c>
      <c r="E7" s="375">
        <f>+E$3*COBERTURA_BOSQUE!E38</f>
        <v>0</v>
      </c>
      <c r="F7" s="375">
        <f>+F$3*COBERTURA_BOSQUE!F38</f>
        <v>0</v>
      </c>
      <c r="G7" s="375">
        <f>+G$3*COBERTURA_BOSQUE!G38</f>
        <v>0</v>
      </c>
      <c r="H7" s="375">
        <f>+H$3*COBERTURA_BOSQUE!H38</f>
        <v>0</v>
      </c>
      <c r="I7" s="375">
        <f>+I$3*COBERTURA_BOSQUE!I38</f>
        <v>0</v>
      </c>
      <c r="J7" s="375">
        <f>+J$3*COBERTURA_BOSQUE!J38</f>
        <v>22.812668257229067</v>
      </c>
      <c r="K7" s="397">
        <f>+K$3*COBERTURA_BOSQUE!K38</f>
        <v>45.63735367444167</v>
      </c>
      <c r="L7" s="397">
        <f>+L$3*COBERTURA_BOSQUE!L38</f>
        <v>121.32665873656367</v>
      </c>
      <c r="M7" s="397">
        <f>+M$3*COBERTURA_BOSQUE!M38</f>
        <v>121.32665873656367</v>
      </c>
      <c r="N7" s="397">
        <f>+N$3*COBERTURA_BOSQUE!N38</f>
        <v>16.261185403051314</v>
      </c>
      <c r="O7" s="397">
        <f>+O$3*COBERTURA_BOSQUE!P38</f>
        <v>16.261185403051314</v>
      </c>
      <c r="P7" s="398">
        <f t="shared" si="2"/>
        <v>6.1866756616251157</v>
      </c>
      <c r="Q7" s="398">
        <f t="shared" si="2"/>
        <v>6.1400103762502134</v>
      </c>
      <c r="R7" s="398">
        <f t="shared" si="2"/>
        <v>6.0936971716205344</v>
      </c>
      <c r="S7" s="398">
        <f t="shared" si="2"/>
        <v>6.0477333906501389</v>
      </c>
      <c r="T7" s="398">
        <f t="shared" si="2"/>
        <v>6.0021163963103659</v>
      </c>
      <c r="U7" s="398">
        <f t="shared" si="2"/>
        <v>5.9568493765495676</v>
      </c>
      <c r="V7" s="398">
        <f t="shared" si="2"/>
        <v>5.9119122750165616</v>
      </c>
      <c r="W7" s="398">
        <f t="shared" si="2"/>
        <v>5.8673143019815148</v>
      </c>
      <c r="X7" s="398">
        <f t="shared" si="2"/>
        <v>5.8230699088103517</v>
      </c>
      <c r="Y7" s="398">
        <f t="shared" si="2"/>
        <v>5.7791478967661289</v>
      </c>
      <c r="Z7" s="398">
        <f t="shared" si="2"/>
        <v>5.7355572629843694</v>
      </c>
      <c r="AA7" s="398">
        <f t="shared" si="2"/>
        <v>5.6922955066544771</v>
      </c>
      <c r="AB7" s="399">
        <f t="shared" si="2"/>
        <v>5.6493656417658045</v>
      </c>
    </row>
    <row r="8" spans="2:28" x14ac:dyDescent="0.3">
      <c r="B8" s="185" t="s">
        <v>7</v>
      </c>
      <c r="C8" s="375">
        <f>+C$3*COBERTURA_BOSQUE!C39</f>
        <v>0</v>
      </c>
      <c r="D8" s="375">
        <f>+D$3*COBERTURA_BOSQUE!D39</f>
        <v>0</v>
      </c>
      <c r="E8" s="375">
        <f>+E$3*COBERTURA_BOSQUE!E39</f>
        <v>0</v>
      </c>
      <c r="F8" s="375">
        <f>+F$3*COBERTURA_BOSQUE!F39</f>
        <v>0</v>
      </c>
      <c r="G8" s="375">
        <f>+G$3*COBERTURA_BOSQUE!G39</f>
        <v>0</v>
      </c>
      <c r="H8" s="375">
        <f>+H$3*COBERTURA_BOSQUE!H39</f>
        <v>0</v>
      </c>
      <c r="I8" s="375">
        <f>+I$3*COBERTURA_BOSQUE!I39</f>
        <v>0</v>
      </c>
      <c r="J8" s="375">
        <f>+J$3*COBERTURA_BOSQUE!J39</f>
        <v>15.866704844521488</v>
      </c>
      <c r="K8" s="397">
        <f>+K$3*COBERTURA_BOSQUE!K39</f>
        <v>32.681812452391071</v>
      </c>
      <c r="L8" s="397">
        <f>+L$3*COBERTURA_BOSQUE!L39</f>
        <v>86.884422234242052</v>
      </c>
      <c r="M8" s="397">
        <f>+M$3*COBERTURA_BOSQUE!M39</f>
        <v>86.884422234242052</v>
      </c>
      <c r="N8" s="397">
        <f>+N$3*COBERTURA_BOSQUE!N39</f>
        <v>11.840799845000964</v>
      </c>
      <c r="O8" s="397">
        <f>+O$3*COBERTURA_BOSQUE!P39</f>
        <v>11.840799845000964</v>
      </c>
      <c r="P8" s="398">
        <f t="shared" si="2"/>
        <v>2.3427898917300132</v>
      </c>
      <c r="Q8" s="398">
        <f t="shared" si="2"/>
        <v>2.3251185339846647</v>
      </c>
      <c r="R8" s="398">
        <f t="shared" si="2"/>
        <v>2.3075805032886225</v>
      </c>
      <c r="S8" s="398">
        <f t="shared" si="2"/>
        <v>2.2901747934481862</v>
      </c>
      <c r="T8" s="398">
        <f t="shared" si="2"/>
        <v>2.2729004058650091</v>
      </c>
      <c r="U8" s="398">
        <f t="shared" si="2"/>
        <v>2.2557585477614461</v>
      </c>
      <c r="V8" s="398">
        <f t="shared" si="2"/>
        <v>2.2387416241350482</v>
      </c>
      <c r="W8" s="398">
        <f t="shared" si="2"/>
        <v>2.2218531227600278</v>
      </c>
      <c r="X8" s="398">
        <f t="shared" si="2"/>
        <v>2.2050985161253078</v>
      </c>
      <c r="Y8" s="398">
        <f t="shared" si="2"/>
        <v>2.1884659897945808</v>
      </c>
      <c r="Z8" s="398">
        <f t="shared" si="2"/>
        <v>2.1719589508315611</v>
      </c>
      <c r="AA8" s="398">
        <f t="shared" si="2"/>
        <v>2.1555764522213892</v>
      </c>
      <c r="AB8" s="399">
        <f t="shared" si="2"/>
        <v>2.1393196353110779</v>
      </c>
    </row>
    <row r="9" spans="2:28" x14ac:dyDescent="0.3">
      <c r="B9" s="185" t="s">
        <v>8</v>
      </c>
      <c r="C9" s="375">
        <f>+C$3*COBERTURA_BOSQUE!C40</f>
        <v>0</v>
      </c>
      <c r="D9" s="375">
        <f>+D$3*COBERTURA_BOSQUE!D40</f>
        <v>0</v>
      </c>
      <c r="E9" s="375">
        <f>+E$3*COBERTURA_BOSQUE!E40</f>
        <v>0</v>
      </c>
      <c r="F9" s="375">
        <f>+F$3*COBERTURA_BOSQUE!F40</f>
        <v>0</v>
      </c>
      <c r="G9" s="375">
        <f>+G$3*COBERTURA_BOSQUE!G40</f>
        <v>0</v>
      </c>
      <c r="H9" s="375">
        <f>+H$3*COBERTURA_BOSQUE!H40</f>
        <v>0</v>
      </c>
      <c r="I9" s="375">
        <f>+I$3*COBERTURA_BOSQUE!I40</f>
        <v>0</v>
      </c>
      <c r="J9" s="375">
        <f>+J$3*COBERTURA_BOSQUE!J40</f>
        <v>131.01915460400369</v>
      </c>
      <c r="K9" s="397">
        <f>+K$3*COBERTURA_BOSQUE!K40</f>
        <v>263.49626353206679</v>
      </c>
      <c r="L9" s="397">
        <f>+L$3*COBERTURA_BOSQUE!L40</f>
        <v>700.50339623040873</v>
      </c>
      <c r="M9" s="397">
        <f>+M$3*COBERTURA_BOSQUE!M40</f>
        <v>700.50339623040873</v>
      </c>
      <c r="N9" s="397">
        <f>+N$3*COBERTURA_BOSQUE!N40</f>
        <v>92.453941472015089</v>
      </c>
      <c r="O9" s="397">
        <f>+O$3*COBERTURA_BOSQUE!P40</f>
        <v>92.453941472015089</v>
      </c>
      <c r="P9" s="398">
        <f t="shared" si="2"/>
        <v>34.140438700020333</v>
      </c>
      <c r="Q9" s="398">
        <f t="shared" si="2"/>
        <v>33.88292183605364</v>
      </c>
      <c r="R9" s="398">
        <f t="shared" si="2"/>
        <v>33.62734788808207</v>
      </c>
      <c r="S9" s="398">
        <f t="shared" si="2"/>
        <v>33.373702193290832</v>
      </c>
      <c r="T9" s="398">
        <f t="shared" si="2"/>
        <v>33.121970199548812</v>
      </c>
      <c r="U9" s="398">
        <f t="shared" si="2"/>
        <v>32.872169499172315</v>
      </c>
      <c r="V9" s="398">
        <f t="shared" si="2"/>
        <v>32.624189413556969</v>
      </c>
      <c r="W9" s="398">
        <f t="shared" si="2"/>
        <v>32.378080768490506</v>
      </c>
      <c r="X9" s="398">
        <f t="shared" si="2"/>
        <v>32.13392331212841</v>
      </c>
      <c r="Y9" s="398">
        <f t="shared" si="2"/>
        <v>31.891544877926894</v>
      </c>
      <c r="Z9" s="398">
        <f t="shared" si="2"/>
        <v>31.650995115515354</v>
      </c>
      <c r="AA9" s="398">
        <f t="shared" si="2"/>
        <v>31.412260224465982</v>
      </c>
      <c r="AB9" s="399">
        <f t="shared" si="2"/>
        <v>31.175356837122912</v>
      </c>
    </row>
    <row r="10" spans="2:28" x14ac:dyDescent="0.3">
      <c r="B10" s="185" t="s">
        <v>9</v>
      </c>
      <c r="C10" s="375">
        <f>+C$3*COBERTURA_BOSQUE!C41</f>
        <v>0</v>
      </c>
      <c r="D10" s="375">
        <f>+D$3*COBERTURA_BOSQUE!D41</f>
        <v>0</v>
      </c>
      <c r="E10" s="375">
        <f>+E$3*COBERTURA_BOSQUE!E41</f>
        <v>0</v>
      </c>
      <c r="F10" s="375">
        <f>+F$3*COBERTURA_BOSQUE!F41</f>
        <v>0</v>
      </c>
      <c r="G10" s="375">
        <f>+G$3*COBERTURA_BOSQUE!G41</f>
        <v>0</v>
      </c>
      <c r="H10" s="375">
        <f>+H$3*COBERTURA_BOSQUE!H41</f>
        <v>0</v>
      </c>
      <c r="I10" s="375">
        <f>+I$3*COBERTURA_BOSQUE!I41</f>
        <v>0</v>
      </c>
      <c r="J10" s="375">
        <f>+J$3*COBERTURA_BOSQUE!J41</f>
        <v>11.654014178803809</v>
      </c>
      <c r="K10" s="397">
        <f>+K$3*COBERTURA_BOSQUE!K41</f>
        <v>22.872133747622968</v>
      </c>
      <c r="L10" s="397">
        <f>+L$3*COBERTURA_BOSQUE!L41</f>
        <v>60.805444276427849</v>
      </c>
      <c r="M10" s="397">
        <f>+M$3*COBERTURA_BOSQUE!M41</f>
        <v>60.805444276427849</v>
      </c>
      <c r="N10" s="397">
        <f>+N$3*COBERTURA_BOSQUE!N41</f>
        <v>7.5912826200510963</v>
      </c>
      <c r="O10" s="397">
        <f>+O$3*COBERTURA_BOSQUE!P41</f>
        <v>7.5912826200510963</v>
      </c>
      <c r="P10" s="398">
        <f t="shared" si="2"/>
        <v>2.3736870617018999</v>
      </c>
      <c r="Q10" s="398">
        <f t="shared" si="2"/>
        <v>2.3557826506444219</v>
      </c>
      <c r="R10" s="398">
        <f t="shared" si="2"/>
        <v>2.3380133249793769</v>
      </c>
      <c r="S10" s="398">
        <f t="shared" si="2"/>
        <v>2.3203780652431862</v>
      </c>
      <c r="T10" s="398">
        <f t="shared" si="2"/>
        <v>2.3028758596677927</v>
      </c>
      <c r="U10" s="398">
        <f t="shared" si="2"/>
        <v>2.2855079313966367</v>
      </c>
      <c r="V10" s="398">
        <f t="shared" si="2"/>
        <v>2.2682665852628938</v>
      </c>
      <c r="W10" s="398">
        <f t="shared" si="2"/>
        <v>2.2511553550382253</v>
      </c>
      <c r="X10" s="398">
        <f t="shared" si="2"/>
        <v>2.2341797853838026</v>
      </c>
      <c r="Y10" s="398">
        <f t="shared" si="2"/>
        <v>2.2173279060522293</v>
      </c>
      <c r="Z10" s="398">
        <f t="shared" si="2"/>
        <v>2.200603169040241</v>
      </c>
      <c r="AA10" s="398">
        <f t="shared" si="2"/>
        <v>2.1840046148435612</v>
      </c>
      <c r="AB10" s="399">
        <f t="shared" si="2"/>
        <v>2.1675333998615094</v>
      </c>
    </row>
    <row r="11" spans="2:28" x14ac:dyDescent="0.3">
      <c r="B11" s="185" t="s">
        <v>10</v>
      </c>
      <c r="C11" s="375">
        <f>+C$3*COBERTURA_BOSQUE!C42</f>
        <v>0</v>
      </c>
      <c r="D11" s="375">
        <f>+D$3*COBERTURA_BOSQUE!D42</f>
        <v>0</v>
      </c>
      <c r="E11" s="375">
        <f>+E$3*COBERTURA_BOSQUE!E42</f>
        <v>0</v>
      </c>
      <c r="F11" s="375">
        <f>+F$3*COBERTURA_BOSQUE!F42</f>
        <v>0</v>
      </c>
      <c r="G11" s="375">
        <f>+G$3*COBERTURA_BOSQUE!G42</f>
        <v>0</v>
      </c>
      <c r="H11" s="375">
        <f>+H$3*COBERTURA_BOSQUE!H42</f>
        <v>0</v>
      </c>
      <c r="I11" s="375">
        <f>+I$3*COBERTURA_BOSQUE!I42</f>
        <v>0</v>
      </c>
      <c r="J11" s="375">
        <f>+J$3*COBERTURA_BOSQUE!J42</f>
        <v>3.0421306888118291</v>
      </c>
      <c r="K11" s="397">
        <f>+K$3*COBERTURA_BOSQUE!K42</f>
        <v>5.9594900419894081</v>
      </c>
      <c r="L11" s="397">
        <f>+L$3*COBERTURA_BOSQUE!L42</f>
        <v>15.843272152156491</v>
      </c>
      <c r="M11" s="397">
        <f>+M$3*COBERTURA_BOSQUE!M42</f>
        <v>15.843272152156491</v>
      </c>
      <c r="N11" s="397">
        <f>+N$3*COBERTURA_BOSQUE!N42</f>
        <v>3.0962427838217939</v>
      </c>
      <c r="O11" s="397">
        <f>+O$3*COBERTURA_BOSQUE!P42</f>
        <v>3.0962427838217939</v>
      </c>
      <c r="P11" s="398">
        <f t="shared" si="2"/>
        <v>9.5957781316276716</v>
      </c>
      <c r="Q11" s="398">
        <f t="shared" si="2"/>
        <v>9.5233984321900209</v>
      </c>
      <c r="R11" s="398">
        <f t="shared" si="2"/>
        <v>9.4515648238844019</v>
      </c>
      <c r="S11" s="398">
        <f t="shared" si="2"/>
        <v>9.3802731854656525</v>
      </c>
      <c r="T11" s="398">
        <f t="shared" si="2"/>
        <v>9.3095194267982428</v>
      </c>
      <c r="U11" s="398">
        <f t="shared" si="2"/>
        <v>9.2393084925158835</v>
      </c>
      <c r="V11" s="398">
        <f t="shared" si="2"/>
        <v>9.1696092744262963</v>
      </c>
      <c r="W11" s="398">
        <f t="shared" si="2"/>
        <v>9.1004360580220265</v>
      </c>
      <c r="X11" s="398">
        <f t="shared" si="2"/>
        <v>9.0318112579420031</v>
      </c>
      <c r="Y11" s="398">
        <f t="shared" si="2"/>
        <v>8.9636864837138468</v>
      </c>
      <c r="Z11" s="398">
        <f t="shared" si="2"/>
        <v>8.8960756902498623</v>
      </c>
      <c r="AA11" s="398">
        <f t="shared" si="2"/>
        <v>8.8289749986941111</v>
      </c>
      <c r="AB11" s="399">
        <f t="shared" si="2"/>
        <v>8.7623890838630345</v>
      </c>
    </row>
    <row r="12" spans="2:28" x14ac:dyDescent="0.3">
      <c r="B12" s="185" t="s">
        <v>11</v>
      </c>
      <c r="C12" s="375">
        <f>+C$3*COBERTURA_BOSQUE!C43</f>
        <v>0</v>
      </c>
      <c r="D12" s="375">
        <f>+D$3*COBERTURA_BOSQUE!D43</f>
        <v>0</v>
      </c>
      <c r="E12" s="375">
        <f>+E$3*COBERTURA_BOSQUE!E43</f>
        <v>0</v>
      </c>
      <c r="F12" s="375">
        <f>+F$3*COBERTURA_BOSQUE!F43</f>
        <v>0</v>
      </c>
      <c r="G12" s="375">
        <f>+G$3*COBERTURA_BOSQUE!G43</f>
        <v>0</v>
      </c>
      <c r="H12" s="375">
        <f>+H$3*COBERTURA_BOSQUE!H43</f>
        <v>0</v>
      </c>
      <c r="I12" s="375">
        <f>+I$3*COBERTURA_BOSQUE!I43</f>
        <v>0</v>
      </c>
      <c r="J12" s="375">
        <f>+J$3*COBERTURA_BOSQUE!J43</f>
        <v>13.215618546545155</v>
      </c>
      <c r="K12" s="397">
        <f>+K$3*COBERTURA_BOSQUE!K43</f>
        <v>26.191005517419882</v>
      </c>
      <c r="L12" s="397">
        <f>+L$3*COBERTURA_BOSQUE!L43</f>
        <v>69.628646986143067</v>
      </c>
      <c r="M12" s="397">
        <f>+M$3*COBERTURA_BOSQUE!M43</f>
        <v>69.628646986143067</v>
      </c>
      <c r="N12" s="397">
        <f>+N$3*COBERTURA_BOSQUE!N43</f>
        <v>8.6127677963178098</v>
      </c>
      <c r="O12" s="397">
        <f>+O$3*COBERTURA_BOSQUE!P43</f>
        <v>8.6127677963178098</v>
      </c>
      <c r="P12" s="398">
        <f t="shared" si="2"/>
        <v>1.9752134412839999</v>
      </c>
      <c r="Q12" s="398">
        <f t="shared" si="2"/>
        <v>1.9603146646299081</v>
      </c>
      <c r="R12" s="398">
        <f t="shared" si="2"/>
        <v>1.9455282964255898</v>
      </c>
      <c r="S12" s="398">
        <f t="shared" si="2"/>
        <v>1.9308534883460098</v>
      </c>
      <c r="T12" s="398">
        <f t="shared" si="2"/>
        <v>1.9162893984697955</v>
      </c>
      <c r="U12" s="398">
        <f t="shared" si="2"/>
        <v>1.90183704460987</v>
      </c>
      <c r="V12" s="398">
        <f t="shared" si="2"/>
        <v>1.8874900233960534</v>
      </c>
      <c r="W12" s="398">
        <f t="shared" si="2"/>
        <v>1.8732512753816299</v>
      </c>
      <c r="X12" s="398">
        <f t="shared" si="2"/>
        <v>1.8591254144390219</v>
      </c>
      <c r="Y12" s="398">
        <f t="shared" si="2"/>
        <v>1.8451024797802495</v>
      </c>
      <c r="Z12" s="398">
        <f t="shared" si="2"/>
        <v>1.8311853439113224</v>
      </c>
      <c r="AA12" s="398">
        <f t="shared" si="2"/>
        <v>1.8173732084010688</v>
      </c>
      <c r="AB12" s="399">
        <f t="shared" si="2"/>
        <v>1.8036670355227027</v>
      </c>
    </row>
    <row r="13" spans="2:28" ht="15" thickBot="1" x14ac:dyDescent="0.35">
      <c r="B13" s="186" t="s">
        <v>12</v>
      </c>
      <c r="C13" s="381">
        <f>+C$3*COBERTURA_BOSQUE!C44</f>
        <v>0</v>
      </c>
      <c r="D13" s="381">
        <f>+D$3*COBERTURA_BOSQUE!D44</f>
        <v>0</v>
      </c>
      <c r="E13" s="381">
        <f>+E$3*COBERTURA_BOSQUE!E44</f>
        <v>0</v>
      </c>
      <c r="F13" s="381">
        <f>+F$3*COBERTURA_BOSQUE!F44</f>
        <v>0</v>
      </c>
      <c r="G13" s="381">
        <f>+G$3*COBERTURA_BOSQUE!G44</f>
        <v>0</v>
      </c>
      <c r="H13" s="381">
        <f>+H$3*COBERTURA_BOSQUE!H44</f>
        <v>0</v>
      </c>
      <c r="I13" s="381">
        <f>+I$3*COBERTURA_BOSQUE!I44</f>
        <v>0</v>
      </c>
      <c r="J13" s="381">
        <f>+J$3*COBERTURA_BOSQUE!J44</f>
        <v>4.518858609692475</v>
      </c>
      <c r="K13" s="400">
        <f>+K$3*COBERTURA_BOSQUE!K44</f>
        <v>8.4634369368401163</v>
      </c>
      <c r="L13" s="400">
        <f>+L$3*COBERTURA_BOSQUE!L44</f>
        <v>22.500001474658049</v>
      </c>
      <c r="M13" s="400">
        <f>+M$3*COBERTURA_BOSQUE!M44</f>
        <v>22.500001474658049</v>
      </c>
      <c r="N13" s="400">
        <f>+N$3*COBERTURA_BOSQUE!N44</f>
        <v>3.6348584068946912</v>
      </c>
      <c r="O13" s="400">
        <f>+O$3*COBERTURA_BOSQUE!P44</f>
        <v>3.6348584068946912</v>
      </c>
      <c r="P13" s="398">
        <f t="shared" si="2"/>
        <v>5.5331066318509601</v>
      </c>
      <c r="Q13" s="398">
        <f t="shared" si="2"/>
        <v>5.4913711321888918</v>
      </c>
      <c r="R13" s="398">
        <f t="shared" si="2"/>
        <v>5.4499505189719626</v>
      </c>
      <c r="S13" s="398">
        <f t="shared" si="2"/>
        <v>5.4088424158124973</v>
      </c>
      <c r="T13" s="398">
        <f t="shared" si="2"/>
        <v>5.3680444642612111</v>
      </c>
      <c r="U13" s="398">
        <f t="shared" si="2"/>
        <v>5.3275595154871542</v>
      </c>
      <c r="V13" s="398">
        <f t="shared" si="2"/>
        <v>5.2873696319200043</v>
      </c>
      <c r="W13" s="398">
        <f t="shared" si="2"/>
        <v>5.2474830508441643</v>
      </c>
      <c r="X13" s="398">
        <f t="shared" si="2"/>
        <v>5.207912696963148</v>
      </c>
      <c r="Y13" s="398">
        <f t="shared" si="2"/>
        <v>5.1686306674180127</v>
      </c>
      <c r="Z13" s="398">
        <f t="shared" si="2"/>
        <v>5.1296450088743608</v>
      </c>
      <c r="AA13" s="398">
        <f t="shared" si="2"/>
        <v>5.0909534847107087</v>
      </c>
      <c r="AB13" s="399">
        <f t="shared" si="2"/>
        <v>5.052558790514377</v>
      </c>
    </row>
    <row r="14" spans="2:28" ht="15" thickBot="1" x14ac:dyDescent="0.35">
      <c r="B14" s="142" t="s">
        <v>34</v>
      </c>
      <c r="C14" s="391"/>
      <c r="D14" s="391"/>
      <c r="E14" s="391"/>
      <c r="F14" s="391"/>
      <c r="G14" s="391"/>
      <c r="H14" s="391"/>
      <c r="I14" s="391"/>
      <c r="J14" s="391"/>
      <c r="K14" s="391"/>
      <c r="L14" s="391"/>
      <c r="M14" s="391"/>
      <c r="N14" s="391"/>
      <c r="O14" s="391"/>
      <c r="P14" s="391"/>
      <c r="Q14" s="391"/>
      <c r="R14" s="391"/>
      <c r="S14" s="391"/>
      <c r="T14" s="391"/>
      <c r="U14" s="391"/>
      <c r="V14" s="391"/>
      <c r="W14" s="391"/>
      <c r="X14" s="391"/>
      <c r="Y14" s="391"/>
      <c r="Z14" s="391"/>
      <c r="AA14" s="391"/>
      <c r="AB14" s="401"/>
    </row>
    <row r="15" spans="2:28" x14ac:dyDescent="0.3">
      <c r="B15" s="191" t="s">
        <v>2</v>
      </c>
      <c r="C15" s="448">
        <f>+COBERTURA_CAMBIOS_TF!E22/1000</f>
        <v>0</v>
      </c>
      <c r="D15" s="448">
        <f>+COBERTURA_CAMBIOS_TF!F22/1000</f>
        <v>0</v>
      </c>
      <c r="E15" s="448">
        <f>+COBERTURA_CAMBIOS_TF!G22/1000</f>
        <v>0</v>
      </c>
      <c r="F15" s="448">
        <f>+COBERTURA_CAMBIOS_TF!H22/1000</f>
        <v>0</v>
      </c>
      <c r="G15" s="448">
        <f>+COBERTURA_CAMBIOS_TF!I22/1000</f>
        <v>0</v>
      </c>
      <c r="H15" s="448">
        <f>+COBERTURA_CAMBIOS_TF!J22/1000</f>
        <v>0</v>
      </c>
      <c r="I15" s="448">
        <f>+COBERTURA_CAMBIOS_TF!K22/1000</f>
        <v>0</v>
      </c>
      <c r="J15" s="448">
        <f>+COBERTURA_CAMBIOS_TF!L22/1000</f>
        <v>8.0887500000000001E-2</v>
      </c>
      <c r="K15" s="449">
        <f>+COBERTURA_CAMBIOS_TF!M22/1000</f>
        <v>0.161775</v>
      </c>
      <c r="L15" s="449">
        <f>+COBERTURA_CAMBIOS_TF!N22/1000</f>
        <v>2.3940000000000003E-2</v>
      </c>
      <c r="M15" s="449">
        <f>+COBERTURA_CAMBIOS_TF!O22/1000</f>
        <v>2.3940000000000003E-2</v>
      </c>
      <c r="N15" s="449">
        <f>+COBERTURA_CAMBIOS_TF!P22/1000</f>
        <v>1.6200000000000001E-3</v>
      </c>
      <c r="O15" s="449">
        <f>+COBERTURA_CAMBIOS_TF!Q22/1000</f>
        <v>1.6200000000000001E-3</v>
      </c>
      <c r="P15" s="448">
        <f>+COBERTURA_CAMBIOS_TF!R22/1000</f>
        <v>1.3797025893607377E-3</v>
      </c>
      <c r="Q15" s="448">
        <f>+COBERTURA_CAMBIOS_TF!S22/1000</f>
        <v>1.3692956731772414E-3</v>
      </c>
      <c r="R15" s="448">
        <f>+COBERTURA_CAMBIOS_TF!T22/1000</f>
        <v>1.3589672752064999E-3</v>
      </c>
      <c r="S15" s="448">
        <f>+COBERTURA_CAMBIOS_TF!U22/1000</f>
        <v>1.3487168028866034E-3</v>
      </c>
      <c r="T15" s="448">
        <f>+COBERTURA_CAMBIOS_TF!V22/1000</f>
        <v>1.3385436681286542E-3</v>
      </c>
      <c r="U15" s="448">
        <f>+COBERTURA_CAMBIOS_TF!W22/1000</f>
        <v>1.3284485818832229E-3</v>
      </c>
      <c r="V15" s="448">
        <f>+COBERTURA_CAMBIOS_TF!X22/1000</f>
        <v>1.3184270713443678E-3</v>
      </c>
      <c r="W15" s="448">
        <f>+COBERTURA_CAMBIOS_TF!Y22/1000</f>
        <v>1.3084811905123776E-3</v>
      </c>
      <c r="X15" s="448">
        <f>+COBERTURA_CAMBIOS_TF!Z22/1000</f>
        <v>1.2986141622145161E-3</v>
      </c>
      <c r="Y15" s="448">
        <f>+COBERTURA_CAMBIOS_TF!AA22/1000</f>
        <v>1.2888190287596892E-3</v>
      </c>
      <c r="Z15" s="448">
        <f>+COBERTURA_CAMBIOS_TF!AB22/1000</f>
        <v>1.2790977966166143E-3</v>
      </c>
      <c r="AA15" s="448">
        <f>+COBERTURA_CAMBIOS_TF!AC22/1000</f>
        <v>1.2694499080746495E-3</v>
      </c>
      <c r="AB15" s="450">
        <f>+COBERTURA_CAMBIOS_TF!AD22/1000</f>
        <v>1.2598760352894307E-3</v>
      </c>
    </row>
    <row r="16" spans="2:28" x14ac:dyDescent="0.3">
      <c r="B16" s="185" t="s">
        <v>4</v>
      </c>
      <c r="C16" s="451">
        <f>+COBERTURA_CAMBIOS_TF!E23/1000</f>
        <v>0</v>
      </c>
      <c r="D16" s="451">
        <f>+COBERTURA_CAMBIOS_TF!F23/1000</f>
        <v>0</v>
      </c>
      <c r="E16" s="451">
        <f>+COBERTURA_CAMBIOS_TF!G23/1000</f>
        <v>0</v>
      </c>
      <c r="F16" s="451">
        <f>+COBERTURA_CAMBIOS_TF!H23/1000</f>
        <v>0</v>
      </c>
      <c r="G16" s="451">
        <f>+COBERTURA_CAMBIOS_TF!I23/1000</f>
        <v>0</v>
      </c>
      <c r="H16" s="451">
        <f>+COBERTURA_CAMBIOS_TF!J23/1000</f>
        <v>0</v>
      </c>
      <c r="I16" s="451">
        <f>+COBERTURA_CAMBIOS_TF!K23/1000</f>
        <v>0</v>
      </c>
      <c r="J16" s="451">
        <f>+COBERTURA_CAMBIOS_TF!L23/1000</f>
        <v>0.30309750000000002</v>
      </c>
      <c r="K16" s="452">
        <f>+COBERTURA_CAMBIOS_TF!M23/1000</f>
        <v>0.60619500000000004</v>
      </c>
      <c r="L16" s="452">
        <f>+COBERTURA_CAMBIOS_TF!N23/1000</f>
        <v>0.19453499999999999</v>
      </c>
      <c r="M16" s="452">
        <f>+COBERTURA_CAMBIOS_TF!O23/1000</f>
        <v>0.19453499999999999</v>
      </c>
      <c r="N16" s="452">
        <f>+COBERTURA_CAMBIOS_TF!P23/1000</f>
        <v>0.46588499999999999</v>
      </c>
      <c r="O16" s="452">
        <f>+COBERTURA_CAMBIOS_TF!Q23/1000</f>
        <v>0.46588499999999999</v>
      </c>
      <c r="P16" s="451">
        <f>+COBERTURA_CAMBIOS_TF!R23/1000</f>
        <v>0.39677946965699218</v>
      </c>
      <c r="Q16" s="451">
        <f>+COBERTURA_CAMBIOS_TF!S23/1000</f>
        <v>0.39378661401122167</v>
      </c>
      <c r="R16" s="451">
        <f>+COBERTURA_CAMBIOS_TF!T23/1000</f>
        <v>0.39081633889480266</v>
      </c>
      <c r="S16" s="451">
        <f>+COBERTURA_CAMBIOS_TF!U23/1000</f>
        <v>0.38786847389680579</v>
      </c>
      <c r="T16" s="451">
        <f>+COBERTURA_CAMBIOS_TF!V23/1000</f>
        <v>0.38494284989266547</v>
      </c>
      <c r="U16" s="451">
        <f>+COBERTURA_CAMBIOS_TF!W23/1000</f>
        <v>0.38203967133991684</v>
      </c>
      <c r="V16" s="451">
        <f>+COBERTURA_CAMBIOS_TF!X23/1000</f>
        <v>0.37915765193411777</v>
      </c>
      <c r="W16" s="451">
        <f>+COBERTURA_CAMBIOS_TF!Y23/1000</f>
        <v>0.376297382371518</v>
      </c>
      <c r="X16" s="451">
        <f>+COBERTURA_CAMBIOS_TF!Z23/1000</f>
        <v>0.3734597894835246</v>
      </c>
      <c r="Y16" s="451">
        <f>+COBERTURA_CAMBIOS_TF!AA23/1000</f>
        <v>0.37064287235414067</v>
      </c>
      <c r="Z16" s="451">
        <f>+COBERTURA_CAMBIOS_TF!AB23/1000</f>
        <v>0.367847208010328</v>
      </c>
      <c r="AA16" s="451">
        <f>+COBERTURA_CAMBIOS_TF!AC23/1000</f>
        <v>0.3650726360638013</v>
      </c>
      <c r="AB16" s="453">
        <f>+COBERTURA_CAMBIOS_TF!AD23/1000</f>
        <v>0.36231934981531877</v>
      </c>
    </row>
    <row r="17" spans="2:30" x14ac:dyDescent="0.3">
      <c r="B17" s="185" t="s">
        <v>5</v>
      </c>
      <c r="C17" s="451">
        <f>+COBERTURA_CAMBIOS_TF!E24/1000</f>
        <v>0</v>
      </c>
      <c r="D17" s="451">
        <f>+COBERTURA_CAMBIOS_TF!F24/1000</f>
        <v>0</v>
      </c>
      <c r="E17" s="451">
        <f>+COBERTURA_CAMBIOS_TF!G24/1000</f>
        <v>0</v>
      </c>
      <c r="F17" s="451">
        <f>+COBERTURA_CAMBIOS_TF!H24/1000</f>
        <v>0</v>
      </c>
      <c r="G17" s="451">
        <f>+COBERTURA_CAMBIOS_TF!I24/1000</f>
        <v>0</v>
      </c>
      <c r="H17" s="451">
        <f>+COBERTURA_CAMBIOS_TF!J24/1000</f>
        <v>0</v>
      </c>
      <c r="I17" s="451">
        <f>+COBERTURA_CAMBIOS_TF!K24/1000</f>
        <v>0</v>
      </c>
      <c r="J17" s="451">
        <f>+COBERTURA_CAMBIOS_TF!L24/1000</f>
        <v>0.195885</v>
      </c>
      <c r="K17" s="452">
        <f>+COBERTURA_CAMBIOS_TF!M24/1000</f>
        <v>0.39177000000000001</v>
      </c>
      <c r="L17" s="452">
        <f>+COBERTURA_CAMBIOS_TF!N24/1000</f>
        <v>0.846225</v>
      </c>
      <c r="M17" s="452">
        <f>+COBERTURA_CAMBIOS_TF!O24/1000</f>
        <v>0.846225</v>
      </c>
      <c r="N17" s="452">
        <f>+COBERTURA_CAMBIOS_TF!P24/1000</f>
        <v>7.911E-2</v>
      </c>
      <c r="O17" s="452">
        <f>+COBERTURA_CAMBIOS_TF!Q24/1000</f>
        <v>7.911E-2</v>
      </c>
      <c r="P17" s="451">
        <f>+COBERTURA_CAMBIOS_TF!R24/1000</f>
        <v>6.7375476447116028E-2</v>
      </c>
      <c r="Q17" s="451">
        <f>+COBERTURA_CAMBIOS_TF!S24/1000</f>
        <v>6.6867272040155287E-2</v>
      </c>
      <c r="R17" s="451">
        <f>+COBERTURA_CAMBIOS_TF!T24/1000</f>
        <v>6.6362901939250749E-2</v>
      </c>
      <c r="S17" s="451">
        <f>+COBERTURA_CAMBIOS_TF!U24/1000</f>
        <v>6.5862337207629143E-2</v>
      </c>
      <c r="T17" s="451">
        <f>+COBERTURA_CAMBIOS_TF!V24/1000</f>
        <v>6.5365549126949293E-2</v>
      </c>
      <c r="U17" s="451">
        <f>+COBERTURA_CAMBIOS_TF!W24/1000</f>
        <v>6.4872572415297383E-2</v>
      </c>
      <c r="V17" s="451">
        <f>+COBERTURA_CAMBIOS_TF!X24/1000</f>
        <v>6.4383188650649958E-2</v>
      </c>
      <c r="W17" s="451">
        <f>+COBERTURA_CAMBIOS_TF!Y24/1000</f>
        <v>6.3897498136687783E-2</v>
      </c>
      <c r="X17" s="451">
        <f>+COBERTURA_CAMBIOS_TF!Z24/1000</f>
        <v>6.3415658254808868E-2</v>
      </c>
      <c r="Y17" s="451">
        <f>+COBERTURA_CAMBIOS_TF!AA24/1000</f>
        <v>6.2937329237764822E-2</v>
      </c>
      <c r="Z17" s="451">
        <f>+COBERTURA_CAMBIOS_TF!AB24/1000</f>
        <v>6.2462609068111331E-2</v>
      </c>
      <c r="AA17" s="451">
        <f>+COBERTURA_CAMBIOS_TF!AC24/1000</f>
        <v>6.1991470510978731E-2</v>
      </c>
      <c r="AB17" s="453">
        <f>+COBERTURA_CAMBIOS_TF!AD24/1000</f>
        <v>6.15239463899672E-2</v>
      </c>
    </row>
    <row r="18" spans="2:30" x14ac:dyDescent="0.3">
      <c r="B18" s="185" t="s">
        <v>6</v>
      </c>
      <c r="C18" s="451">
        <f>+COBERTURA_CAMBIOS_TF!E25/1000</f>
        <v>0</v>
      </c>
      <c r="D18" s="451">
        <f>+COBERTURA_CAMBIOS_TF!F25/1000</f>
        <v>0</v>
      </c>
      <c r="E18" s="451">
        <f>+COBERTURA_CAMBIOS_TF!G25/1000</f>
        <v>0</v>
      </c>
      <c r="F18" s="451">
        <f>+COBERTURA_CAMBIOS_TF!H25/1000</f>
        <v>0</v>
      </c>
      <c r="G18" s="451">
        <f>+COBERTURA_CAMBIOS_TF!I25/1000</f>
        <v>0</v>
      </c>
      <c r="H18" s="451">
        <f>+COBERTURA_CAMBIOS_TF!J25/1000</f>
        <v>0</v>
      </c>
      <c r="I18" s="451">
        <f>+COBERTURA_CAMBIOS_TF!K25/1000</f>
        <v>0</v>
      </c>
      <c r="J18" s="451">
        <f>+COBERTURA_CAMBIOS_TF!L25/1000</f>
        <v>3.4042499999999996E-2</v>
      </c>
      <c r="K18" s="452">
        <f>+COBERTURA_CAMBIOS_TF!M25/1000</f>
        <v>6.8084999999999993E-2</v>
      </c>
      <c r="L18" s="452">
        <f>+COBERTURA_CAMBIOS_TF!N25/1000</f>
        <v>0.14993999999999999</v>
      </c>
      <c r="M18" s="452">
        <f>+COBERTURA_CAMBIOS_TF!O25/1000</f>
        <v>0.14993999999999999</v>
      </c>
      <c r="N18" s="452">
        <f>+COBERTURA_CAMBIOS_TF!P25/1000</f>
        <v>2.0924999999999999E-2</v>
      </c>
      <c r="O18" s="452">
        <f>+COBERTURA_CAMBIOS_TF!Q25/1000</f>
        <v>2.0924999999999999E-2</v>
      </c>
      <c r="P18" s="451">
        <f>+COBERTURA_CAMBIOS_TF!R25/1000</f>
        <v>1.7821158445909528E-2</v>
      </c>
      <c r="Q18" s="451">
        <f>+COBERTURA_CAMBIOS_TF!S25/1000</f>
        <v>1.7686735778539363E-2</v>
      </c>
      <c r="R18" s="451">
        <f>+COBERTURA_CAMBIOS_TF!T25/1000</f>
        <v>1.7553327304750625E-2</v>
      </c>
      <c r="S18" s="451">
        <f>+COBERTURA_CAMBIOS_TF!U25/1000</f>
        <v>1.742092537061863E-2</v>
      </c>
      <c r="T18" s="451">
        <f>+COBERTURA_CAMBIOS_TF!V25/1000</f>
        <v>1.7289522379995117E-2</v>
      </c>
      <c r="U18" s="451">
        <f>+COBERTURA_CAMBIOS_TF!W25/1000</f>
        <v>1.7159127515991628E-2</v>
      </c>
      <c r="V18" s="451">
        <f>+COBERTURA_CAMBIOS_TF!X25/1000</f>
        <v>1.7029683004864748E-2</v>
      </c>
      <c r="W18" s="451">
        <f>+COBERTURA_CAMBIOS_TF!Y25/1000</f>
        <v>1.6901215377451546E-2</v>
      </c>
      <c r="X18" s="451">
        <f>+COBERTURA_CAMBIOS_TF!Z25/1000</f>
        <v>1.6773766261937498E-2</v>
      </c>
      <c r="Y18" s="451">
        <f>+COBERTURA_CAMBIOS_TF!AA25/1000</f>
        <v>1.6647245788145984E-2</v>
      </c>
      <c r="Z18" s="451">
        <f>+COBERTURA_CAMBIOS_TF!AB25/1000</f>
        <v>1.6521679872964601E-2</v>
      </c>
      <c r="AA18" s="451">
        <f>+COBERTURA_CAMBIOS_TF!AC25/1000</f>
        <v>1.6397061312630887E-2</v>
      </c>
      <c r="AB18" s="453">
        <f>+COBERTURA_CAMBIOS_TF!AD25/1000</f>
        <v>1.6273398789155145E-2</v>
      </c>
    </row>
    <row r="19" spans="2:30" x14ac:dyDescent="0.3">
      <c r="B19" s="185" t="s">
        <v>7</v>
      </c>
      <c r="C19" s="451">
        <f>+COBERTURA_CAMBIOS_TF!E26/1000</f>
        <v>0</v>
      </c>
      <c r="D19" s="451">
        <f>+COBERTURA_CAMBIOS_TF!F26/1000</f>
        <v>0</v>
      </c>
      <c r="E19" s="451">
        <f>+COBERTURA_CAMBIOS_TF!G26/1000</f>
        <v>0</v>
      </c>
      <c r="F19" s="451">
        <f>+COBERTURA_CAMBIOS_TF!H26/1000</f>
        <v>0</v>
      </c>
      <c r="G19" s="451">
        <f>+COBERTURA_CAMBIOS_TF!I26/1000</f>
        <v>0</v>
      </c>
      <c r="H19" s="451">
        <f>+COBERTURA_CAMBIOS_TF!J26/1000</f>
        <v>0</v>
      </c>
      <c r="I19" s="451">
        <f>+COBERTURA_CAMBIOS_TF!K26/1000</f>
        <v>0</v>
      </c>
      <c r="J19" s="451">
        <f>+COBERTURA_CAMBIOS_TF!L26/1000</f>
        <v>0.19120500000000001</v>
      </c>
      <c r="K19" s="452">
        <f>+COBERTURA_CAMBIOS_TF!M26/1000</f>
        <v>0.38241000000000003</v>
      </c>
      <c r="L19" s="452">
        <f>+COBERTURA_CAMBIOS_TF!N26/1000</f>
        <v>1.3352850000000001</v>
      </c>
      <c r="M19" s="452">
        <f>+COBERTURA_CAMBIOS_TF!O26/1000</f>
        <v>1.3352850000000001</v>
      </c>
      <c r="N19" s="452">
        <f>+COBERTURA_CAMBIOS_TF!P26/1000</f>
        <v>4.0454999999999998E-2</v>
      </c>
      <c r="O19" s="452">
        <f>+COBERTURA_CAMBIOS_TF!Q26/1000</f>
        <v>4.0454999999999998E-2</v>
      </c>
      <c r="P19" s="451">
        <f>+COBERTURA_CAMBIOS_TF!R26/1000</f>
        <v>3.4454239662091754E-2</v>
      </c>
      <c r="Q19" s="451">
        <f>+COBERTURA_CAMBIOS_TF!S26/1000</f>
        <v>3.4194355838509438E-2</v>
      </c>
      <c r="R19" s="451">
        <f>+COBERTURA_CAMBIOS_TF!T26/1000</f>
        <v>3.393643278918454E-2</v>
      </c>
      <c r="S19" s="451">
        <f>+COBERTURA_CAMBIOS_TF!U26/1000</f>
        <v>3.3680455716529348E-2</v>
      </c>
      <c r="T19" s="451">
        <f>+COBERTURA_CAMBIOS_TF!V26/1000</f>
        <v>3.3426409934657224E-2</v>
      </c>
      <c r="U19" s="451">
        <f>+COBERTURA_CAMBIOS_TF!W26/1000</f>
        <v>3.3174313197583807E-2</v>
      </c>
      <c r="V19" s="451">
        <f>+COBERTURA_CAMBIOS_TF!X26/1000</f>
        <v>3.2924053809405177E-2</v>
      </c>
      <c r="W19" s="451">
        <f>+COBERTURA_CAMBIOS_TF!Y26/1000</f>
        <v>3.2675683063072981E-2</v>
      </c>
      <c r="X19" s="451">
        <f>+COBERTURA_CAMBIOS_TF!Z26/1000</f>
        <v>3.2429281439745827E-2</v>
      </c>
      <c r="Y19" s="451">
        <f>+COBERTURA_CAMBIOS_TF!AA26/1000</f>
        <v>3.2184675190415568E-2</v>
      </c>
      <c r="Z19" s="451">
        <f>+COBERTURA_CAMBIOS_TF!AB26/1000</f>
        <v>3.1941914421064893E-2</v>
      </c>
      <c r="AA19" s="451">
        <f>+COBERTURA_CAMBIOS_TF!AC26/1000</f>
        <v>3.1700985204419718E-2</v>
      </c>
      <c r="AB19" s="453">
        <f>+COBERTURA_CAMBIOS_TF!AD26/1000</f>
        <v>3.1461904325699945E-2</v>
      </c>
    </row>
    <row r="20" spans="2:30" x14ac:dyDescent="0.3">
      <c r="B20" s="185" t="s">
        <v>8</v>
      </c>
      <c r="C20" s="451">
        <f>+COBERTURA_CAMBIOS_TF!E27/1000</f>
        <v>0</v>
      </c>
      <c r="D20" s="451">
        <f>+COBERTURA_CAMBIOS_TF!F27/1000</f>
        <v>0</v>
      </c>
      <c r="E20" s="451">
        <f>+COBERTURA_CAMBIOS_TF!G27/1000</f>
        <v>0</v>
      </c>
      <c r="F20" s="451">
        <f>+COBERTURA_CAMBIOS_TF!H27/1000</f>
        <v>0</v>
      </c>
      <c r="G20" s="451">
        <f>+COBERTURA_CAMBIOS_TF!I27/1000</f>
        <v>0</v>
      </c>
      <c r="H20" s="451">
        <f>+COBERTURA_CAMBIOS_TF!J27/1000</f>
        <v>0</v>
      </c>
      <c r="I20" s="451">
        <f>+COBERTURA_CAMBIOS_TF!K27/1000</f>
        <v>0</v>
      </c>
      <c r="J20" s="451">
        <f>+COBERTURA_CAMBIOS_TF!L27/1000</f>
        <v>2.0317499999999999E-2</v>
      </c>
      <c r="K20" s="452">
        <f>+COBERTURA_CAMBIOS_TF!M27/1000</f>
        <v>4.0634999999999998E-2</v>
      </c>
      <c r="L20" s="452">
        <f>+COBERTURA_CAMBIOS_TF!N27/1000</f>
        <v>0.34285500000000002</v>
      </c>
      <c r="M20" s="452">
        <f>+COBERTURA_CAMBIOS_TF!O27/1000</f>
        <v>0.34285500000000002</v>
      </c>
      <c r="N20" s="452">
        <f>+COBERTURA_CAMBIOS_TF!P27/1000</f>
        <v>1.9754999999999998E-2</v>
      </c>
      <c r="O20" s="452">
        <f>+COBERTURA_CAMBIOS_TF!Q27/1000</f>
        <v>1.9754999999999998E-2</v>
      </c>
      <c r="P20" s="451">
        <f>+COBERTURA_CAMBIOS_TF!R27/1000</f>
        <v>1.6824706575815661E-2</v>
      </c>
      <c r="Q20" s="451">
        <f>+COBERTURA_CAMBIOS_TF!S27/1000</f>
        <v>1.6697800014578025E-2</v>
      </c>
      <c r="R20" s="451">
        <f>+COBERTURA_CAMBIOS_TF!T27/1000</f>
        <v>1.6571850939323705E-2</v>
      </c>
      <c r="S20" s="451">
        <f>+COBERTURA_CAMBIOS_TF!U27/1000</f>
        <v>1.6446852124089414E-2</v>
      </c>
      <c r="T20" s="451">
        <f>+COBERTURA_CAMBIOS_TF!V27/1000</f>
        <v>1.6322796397457755E-2</v>
      </c>
      <c r="U20" s="451">
        <f>+COBERTURA_CAMBIOS_TF!W27/1000</f>
        <v>1.6199692429075964E-2</v>
      </c>
      <c r="V20" s="451">
        <f>+COBERTURA_CAMBIOS_TF!X27/1000</f>
        <v>1.6077485675560482E-2</v>
      </c>
      <c r="W20" s="451">
        <f>+COBERTURA_CAMBIOS_TF!Y27/1000</f>
        <v>1.5956201184303714E-2</v>
      </c>
      <c r="X20" s="451">
        <f>+COBERTURA_CAMBIOS_TF!Z27/1000</f>
        <v>1.5835878255893679E-2</v>
      </c>
      <c r="Y20" s="451">
        <f>+COBERTURA_CAMBIOS_TF!AA27/1000</f>
        <v>1.5716432045152873E-2</v>
      </c>
      <c r="Z20" s="451">
        <f>+COBERTURA_CAMBIOS_TF!AB27/1000</f>
        <v>1.55978870198526E-2</v>
      </c>
      <c r="AA20" s="451">
        <f>+COBERTURA_CAMBIOS_TF!AC27/1000</f>
        <v>1.548023637902142E-2</v>
      </c>
      <c r="AB20" s="453">
        <f>+COBERTURA_CAMBIOS_TF!AD27/1000</f>
        <v>1.5363488319223888E-2</v>
      </c>
    </row>
    <row r="21" spans="2:30" x14ac:dyDescent="0.3">
      <c r="B21" s="185" t="s">
        <v>9</v>
      </c>
      <c r="C21" s="451">
        <f>+COBERTURA_CAMBIOS_TF!E28/1000</f>
        <v>0</v>
      </c>
      <c r="D21" s="451">
        <f>+COBERTURA_CAMBIOS_TF!F28/1000</f>
        <v>0</v>
      </c>
      <c r="E21" s="451">
        <f>+COBERTURA_CAMBIOS_TF!G28/1000</f>
        <v>0</v>
      </c>
      <c r="F21" s="451">
        <f>+COBERTURA_CAMBIOS_TF!H28/1000</f>
        <v>0</v>
      </c>
      <c r="G21" s="451">
        <f>+COBERTURA_CAMBIOS_TF!I28/1000</f>
        <v>0</v>
      </c>
      <c r="H21" s="451">
        <f>+COBERTURA_CAMBIOS_TF!J28/1000</f>
        <v>0</v>
      </c>
      <c r="I21" s="451">
        <f>+COBERTURA_CAMBIOS_TF!K28/1000</f>
        <v>0</v>
      </c>
      <c r="J21" s="451">
        <f>+COBERTURA_CAMBIOS_TF!L28/1000</f>
        <v>6.5227500000000008E-2</v>
      </c>
      <c r="K21" s="452">
        <f>+COBERTURA_CAMBIOS_TF!M28/1000</f>
        <v>0.13045500000000002</v>
      </c>
      <c r="L21" s="452">
        <f>+COBERTURA_CAMBIOS_TF!N28/1000</f>
        <v>0.58211999999999997</v>
      </c>
      <c r="M21" s="452">
        <f>+COBERTURA_CAMBIOS_TF!O28/1000</f>
        <v>0.58211999999999997</v>
      </c>
      <c r="N21" s="452">
        <f>+COBERTURA_CAMBIOS_TF!P28/1000</f>
        <v>3.7395000000000005E-2</v>
      </c>
      <c r="O21" s="452">
        <f>+COBERTURA_CAMBIOS_TF!Q28/1000</f>
        <v>3.7395000000000005E-2</v>
      </c>
      <c r="P21" s="451">
        <f>+COBERTURA_CAMBIOS_TF!R28/1000</f>
        <v>3.1848134771077029E-2</v>
      </c>
      <c r="Q21" s="451">
        <f>+COBERTURA_CAMBIOS_TF!S28/1000</f>
        <v>3.160790845584132E-2</v>
      </c>
      <c r="R21" s="451">
        <f>+COBERTURA_CAMBIOS_TF!T28/1000</f>
        <v>3.1369494602683373E-2</v>
      </c>
      <c r="S21" s="451">
        <f>+COBERTURA_CAMBIOS_TF!U28/1000</f>
        <v>3.1132879533299102E-2</v>
      </c>
      <c r="T21" s="451">
        <f>+COBERTURA_CAMBIOS_TF!V28/1000</f>
        <v>3.0898049672636436E-2</v>
      </c>
      <c r="U21" s="451">
        <f>+COBERTURA_CAMBIOS_TF!W28/1000</f>
        <v>3.0665021431804395E-2</v>
      </c>
      <c r="V21" s="451">
        <f>+COBERTURA_CAMBIOS_TF!X28/1000</f>
        <v>3.0433691563532487E-2</v>
      </c>
      <c r="W21" s="451">
        <f>+COBERTURA_CAMBIOS_TF!Y28/1000</f>
        <v>3.0204107480994054E-2</v>
      </c>
      <c r="X21" s="451">
        <f>+COBERTURA_CAMBIOS_TF!Z28/1000</f>
        <v>2.9976343577785083E-2</v>
      </c>
      <c r="Y21" s="451">
        <f>+COBERTURA_CAMBIOS_TF!AA28/1000</f>
        <v>2.9750239247202829E-2</v>
      </c>
      <c r="Z21" s="451">
        <f>+COBERTURA_CAMBIOS_TF!AB28/1000</f>
        <v>2.9525840805233513E-2</v>
      </c>
      <c r="AA21" s="451">
        <f>+COBERTURA_CAMBIOS_TF!AC28/1000</f>
        <v>2.9303135378056497E-2</v>
      </c>
      <c r="AB21" s="453">
        <f>+COBERTURA_CAMBIOS_TF!AD28/1000</f>
        <v>2.9082138481264359E-2</v>
      </c>
    </row>
    <row r="22" spans="2:30" x14ac:dyDescent="0.3">
      <c r="B22" s="185" t="s">
        <v>10</v>
      </c>
      <c r="C22" s="451">
        <f>+COBERTURA_CAMBIOS_TF!E29/1000</f>
        <v>0</v>
      </c>
      <c r="D22" s="451">
        <f>+COBERTURA_CAMBIOS_TF!F29/1000</f>
        <v>0</v>
      </c>
      <c r="E22" s="451">
        <f>+COBERTURA_CAMBIOS_TF!G29/1000</f>
        <v>0</v>
      </c>
      <c r="F22" s="451">
        <f>+COBERTURA_CAMBIOS_TF!H29/1000</f>
        <v>0</v>
      </c>
      <c r="G22" s="451">
        <f>+COBERTURA_CAMBIOS_TF!I29/1000</f>
        <v>0</v>
      </c>
      <c r="H22" s="451">
        <f>+COBERTURA_CAMBIOS_TF!J29/1000</f>
        <v>0</v>
      </c>
      <c r="I22" s="451">
        <f>+COBERTURA_CAMBIOS_TF!K29/1000</f>
        <v>0</v>
      </c>
      <c r="J22" s="451">
        <f>+COBERTURA_CAMBIOS_TF!L29/1000</f>
        <v>8.7524999999999999E-3</v>
      </c>
      <c r="K22" s="452">
        <f>+COBERTURA_CAMBIOS_TF!M29/1000</f>
        <v>1.7505E-2</v>
      </c>
      <c r="L22" s="452">
        <f>+COBERTURA_CAMBIOS_TF!N29/1000</f>
        <v>0.10269</v>
      </c>
      <c r="M22" s="452">
        <f>+COBERTURA_CAMBIOS_TF!O29/1000</f>
        <v>0.10269</v>
      </c>
      <c r="N22" s="452">
        <f>+COBERTURA_CAMBIOS_TF!P29/1000</f>
        <v>0.14076</v>
      </c>
      <c r="O22" s="452">
        <f>+COBERTURA_CAMBIOS_TF!Q29/1000</f>
        <v>0.14076</v>
      </c>
      <c r="P22" s="451">
        <f>+COBERTURA_CAMBIOS_TF!R29/1000</f>
        <v>0.11988082498667743</v>
      </c>
      <c r="Q22" s="451">
        <f>+COBERTURA_CAMBIOS_TF!S29/1000</f>
        <v>0.11897657960273363</v>
      </c>
      <c r="R22" s="451">
        <f>+COBERTURA_CAMBIOS_TF!T29/1000</f>
        <v>0.11807915657905364</v>
      </c>
      <c r="S22" s="451">
        <f>+COBERTURA_CAMBIOS_TF!U29/1000</f>
        <v>0.11718850442859152</v>
      </c>
      <c r="T22" s="451">
        <f>+COBERTURA_CAMBIOS_TF!V29/1000</f>
        <v>0.11630457205295638</v>
      </c>
      <c r="U22" s="451">
        <f>+COBERTURA_CAMBIOS_TF!W29/1000</f>
        <v>0.11542742122585334</v>
      </c>
      <c r="V22" s="451">
        <f>+COBERTURA_CAMBIOS_TF!X29/1000</f>
        <v>0.11455666331014393</v>
      </c>
      <c r="W22" s="451">
        <f>+COBERTURA_CAMBIOS_TF!Y29/1000</f>
        <v>0.11369247677563103</v>
      </c>
      <c r="X22" s="451">
        <f>+COBERTURA_CAMBIOS_TF!Z29/1000</f>
        <v>0.11283514165019462</v>
      </c>
      <c r="Y22" s="451">
        <f>+COBERTURA_CAMBIOS_TF!AA29/1000</f>
        <v>0.11198405338778632</v>
      </c>
      <c r="Z22" s="451">
        <f>+COBERTURA_CAMBIOS_TF!AB29/1000</f>
        <v>0.11113938632824359</v>
      </c>
      <c r="AA22" s="451">
        <f>+COBERTURA_CAMBIOS_TF!AC29/1000</f>
        <v>0.11030109201270843</v>
      </c>
      <c r="AB22" s="453">
        <f>+COBERTURA_CAMBIOS_TF!AD29/1000</f>
        <v>0.10946922884403719</v>
      </c>
    </row>
    <row r="23" spans="2:30" x14ac:dyDescent="0.3">
      <c r="B23" s="185" t="s">
        <v>11</v>
      </c>
      <c r="C23" s="451">
        <f>+COBERTURA_CAMBIOS_TF!E30/1000</f>
        <v>0</v>
      </c>
      <c r="D23" s="451">
        <f>+COBERTURA_CAMBIOS_TF!F30/1000</f>
        <v>0</v>
      </c>
      <c r="E23" s="451">
        <f>+COBERTURA_CAMBIOS_TF!G30/1000</f>
        <v>0</v>
      </c>
      <c r="F23" s="451">
        <f>+COBERTURA_CAMBIOS_TF!H30/1000</f>
        <v>0</v>
      </c>
      <c r="G23" s="451">
        <f>+COBERTURA_CAMBIOS_TF!I30/1000</f>
        <v>0</v>
      </c>
      <c r="H23" s="451">
        <f>+COBERTURA_CAMBIOS_TF!J30/1000</f>
        <v>0</v>
      </c>
      <c r="I23" s="451">
        <f>+COBERTURA_CAMBIOS_TF!K30/1000</f>
        <v>0</v>
      </c>
      <c r="J23" s="451">
        <f>+COBERTURA_CAMBIOS_TF!L30/1000</f>
        <v>8.7749999999999992E-4</v>
      </c>
      <c r="K23" s="452">
        <f>+COBERTURA_CAMBIOS_TF!M30/1000</f>
        <v>1.7549999999999998E-3</v>
      </c>
      <c r="L23" s="452">
        <f>+COBERTURA_CAMBIOS_TF!N30/1000</f>
        <v>2.3535E-2</v>
      </c>
      <c r="M23" s="452">
        <f>+COBERTURA_CAMBIOS_TF!O30/1000</f>
        <v>2.3535E-2</v>
      </c>
      <c r="N23" s="452">
        <f>+COBERTURA_CAMBIOS_TF!P30/1000</f>
        <v>3.5999999999999997E-4</v>
      </c>
      <c r="O23" s="452">
        <f>+COBERTURA_CAMBIOS_TF!Q30/1000</f>
        <v>3.5999999999999997E-4</v>
      </c>
      <c r="P23" s="451">
        <f>+COBERTURA_CAMBIOS_TF!R30/1000</f>
        <v>3.0660057541349726E-4</v>
      </c>
      <c r="Q23" s="451">
        <f>+COBERTURA_CAMBIOS_TF!S30/1000</f>
        <v>3.0428792737272032E-4</v>
      </c>
      <c r="R23" s="451">
        <f>+COBERTURA_CAMBIOS_TF!T30/1000</f>
        <v>3.0199272782366663E-4</v>
      </c>
      <c r="S23" s="451">
        <f>+COBERTURA_CAMBIOS_TF!U30/1000</f>
        <v>2.9971484508591192E-4</v>
      </c>
      <c r="T23" s="451">
        <f>+COBERTURA_CAMBIOS_TF!V30/1000</f>
        <v>2.9745414847303427E-4</v>
      </c>
      <c r="U23" s="451">
        <f>+COBERTURA_CAMBIOS_TF!W30/1000</f>
        <v>2.9521079597404954E-4</v>
      </c>
      <c r="V23" s="451">
        <f>+COBERTURA_CAMBIOS_TF!X30/1000</f>
        <v>2.9298379363208173E-4</v>
      </c>
      <c r="W23" s="451">
        <f>+COBERTURA_CAMBIOS_TF!Y30/1000</f>
        <v>2.9077359789163955E-4</v>
      </c>
      <c r="X23" s="451">
        <f>+COBERTURA_CAMBIOS_TF!Z30/1000</f>
        <v>2.8858092493655918E-4</v>
      </c>
      <c r="Y23" s="451">
        <f>+COBERTURA_CAMBIOS_TF!AA30/1000</f>
        <v>2.8640422861326431E-4</v>
      </c>
      <c r="Z23" s="451">
        <f>+COBERTURA_CAMBIOS_TF!AB30/1000</f>
        <v>2.8424395480369205E-4</v>
      </c>
      <c r="AA23" s="451">
        <f>+COBERTURA_CAMBIOS_TF!AC30/1000</f>
        <v>2.8209997957214438E-4</v>
      </c>
      <c r="AB23" s="453">
        <f>+COBERTURA_CAMBIOS_TF!AD30/1000</f>
        <v>2.7997245228654017E-4</v>
      </c>
    </row>
    <row r="24" spans="2:30" ht="15" thickBot="1" x14ac:dyDescent="0.35">
      <c r="B24" s="186" t="s">
        <v>12</v>
      </c>
      <c r="C24" s="454">
        <f>+COBERTURA_CAMBIOS_TF!E31/1000</f>
        <v>1.6299900000000003</v>
      </c>
      <c r="D24" s="454">
        <f>+COBERTURA_CAMBIOS_TF!F31/1000</f>
        <v>1.6299900000000003</v>
      </c>
      <c r="E24" s="454">
        <f>+COBERTURA_CAMBIOS_TF!G31/1000</f>
        <v>1.6299900000000003</v>
      </c>
      <c r="F24" s="454">
        <f>+COBERTURA_CAMBIOS_TF!H31/1000</f>
        <v>1.6299900000000003</v>
      </c>
      <c r="G24" s="454">
        <f>+COBERTURA_CAMBIOS_TF!I31/1000</f>
        <v>1.6299900000000003</v>
      </c>
      <c r="H24" s="454">
        <f>+COBERTURA_CAMBIOS_TF!J31/1000</f>
        <v>0.86976000000000009</v>
      </c>
      <c r="I24" s="454">
        <f>+COBERTURA_CAMBIOS_TF!K31/1000</f>
        <v>0.10953</v>
      </c>
      <c r="J24" s="454">
        <f>+COBERTURA_CAMBIOS_TF!L31/1000</f>
        <v>2.2405749999999998</v>
      </c>
      <c r="K24" s="455">
        <f>+COBERTURA_CAMBIOS_TF!M31/1000</f>
        <v>4.3716200000000001</v>
      </c>
      <c r="L24" s="455">
        <f>+COBERTURA_CAMBIOS_TF!N31/1000</f>
        <v>0.25700000000000001</v>
      </c>
      <c r="M24" s="455">
        <f>+COBERTURA_CAMBIOS_TF!O31/1000</f>
        <v>0.25700000000000001</v>
      </c>
      <c r="N24" s="455">
        <f>+COBERTURA_CAMBIOS_TF!P31/1000</f>
        <v>0.43110000000000004</v>
      </c>
      <c r="O24" s="455">
        <f>+COBERTURA_CAMBIOS_TF!Q31/1000</f>
        <v>0.43110000000000004</v>
      </c>
      <c r="P24" s="454">
        <f>+COBERTURA_CAMBIOS_TF!R31/1000</f>
        <v>0.36715418905766301</v>
      </c>
      <c r="Q24" s="454">
        <f>+COBERTURA_CAMBIOS_TF!S31/1000</f>
        <v>0.36438479302883259</v>
      </c>
      <c r="R24" s="454">
        <f>+COBERTURA_CAMBIOS_TF!T31/1000</f>
        <v>0.36163629156884081</v>
      </c>
      <c r="S24" s="454">
        <f>+COBERTURA_CAMBIOS_TF!U31/1000</f>
        <v>0.35890852699037951</v>
      </c>
      <c r="T24" s="454">
        <f>+COBERTURA_CAMBIOS_TF!V31/1000</f>
        <v>0.35620134279645854</v>
      </c>
      <c r="U24" s="454">
        <f>+COBERTURA_CAMBIOS_TF!W31/1000</f>
        <v>0.35351492817892433</v>
      </c>
      <c r="V24" s="454">
        <f>+COBERTURA_CAMBIOS_TF!X31/1000</f>
        <v>0.35084809287441787</v>
      </c>
      <c r="W24" s="454">
        <f>+COBERTURA_CAMBIOS_TF!Y31/1000</f>
        <v>0.34820138347523832</v>
      </c>
      <c r="X24" s="454">
        <f>+COBERTURA_CAMBIOS_TF!Z31/1000</f>
        <v>0.34557565761152959</v>
      </c>
      <c r="Y24" s="454">
        <f>+COBERTURA_CAMBIOS_TF!AA31/1000</f>
        <v>0.34296906376438396</v>
      </c>
      <c r="Z24" s="454">
        <f>+COBERTURA_CAMBIOS_TF!AB31/1000</f>
        <v>0.34038213587742128</v>
      </c>
      <c r="AA24" s="454">
        <f>+COBERTURA_CAMBIOS_TF!AC31/1000</f>
        <v>0.33781472553764291</v>
      </c>
      <c r="AB24" s="456">
        <f>+COBERTURA_CAMBIOS_TF!AD31/1000</f>
        <v>0.33526701161313183</v>
      </c>
    </row>
    <row r="25" spans="2:30" ht="15" thickBot="1" x14ac:dyDescent="0.35">
      <c r="B25" s="142" t="s">
        <v>35</v>
      </c>
      <c r="C25" s="391"/>
      <c r="D25" s="391"/>
      <c r="E25" s="391"/>
      <c r="F25" s="391"/>
      <c r="G25" s="391"/>
      <c r="H25" s="391"/>
      <c r="I25" s="391"/>
      <c r="J25" s="391"/>
      <c r="K25" s="391"/>
      <c r="L25" s="391"/>
      <c r="M25" s="391"/>
      <c r="N25" s="391"/>
      <c r="O25" s="391"/>
      <c r="P25" s="391"/>
      <c r="Q25" s="391"/>
      <c r="R25" s="391"/>
      <c r="S25" s="391"/>
      <c r="T25" s="391"/>
      <c r="U25" s="391"/>
      <c r="V25" s="391"/>
      <c r="W25" s="391"/>
      <c r="X25" s="391"/>
      <c r="Y25" s="391"/>
      <c r="Z25" s="391"/>
      <c r="AA25" s="391"/>
      <c r="AB25" s="401"/>
      <c r="AD25" s="417" t="s">
        <v>232</v>
      </c>
    </row>
    <row r="26" spans="2:30" x14ac:dyDescent="0.3">
      <c r="B26" s="191" t="s">
        <v>2</v>
      </c>
      <c r="C26" s="402">
        <v>0</v>
      </c>
      <c r="D26" s="402">
        <v>0</v>
      </c>
      <c r="E26" s="402">
        <v>0</v>
      </c>
      <c r="F26" s="402">
        <v>0</v>
      </c>
      <c r="G26" s="402">
        <v>0</v>
      </c>
      <c r="H26" s="402">
        <v>0</v>
      </c>
      <c r="I26" s="402">
        <v>0</v>
      </c>
      <c r="J26" s="402">
        <f t="shared" ref="J26:O35" si="3">+J4/J15</f>
        <v>8.0995264972696628</v>
      </c>
      <c r="K26" s="403">
        <f t="shared" si="3"/>
        <v>7.9597088833776759</v>
      </c>
      <c r="L26" s="403">
        <f t="shared" si="3"/>
        <v>142.99479541296918</v>
      </c>
      <c r="M26" s="403">
        <f t="shared" si="3"/>
        <v>142.99479541296918</v>
      </c>
      <c r="N26" s="403">
        <f t="shared" si="3"/>
        <v>265.6829491216991</v>
      </c>
      <c r="O26" s="403">
        <f t="shared" si="3"/>
        <v>265.6829491216991</v>
      </c>
      <c r="P26" s="340">
        <f>IF(AD26="CONSTANTE",O26,AVERAGE(C26:O26))</f>
        <v>64.10882495769107</v>
      </c>
      <c r="Q26" s="378">
        <f t="shared" ref="Q26:AB26" si="4">+P26</f>
        <v>64.10882495769107</v>
      </c>
      <c r="R26" s="378">
        <f t="shared" si="4"/>
        <v>64.10882495769107</v>
      </c>
      <c r="S26" s="378">
        <f t="shared" si="4"/>
        <v>64.10882495769107</v>
      </c>
      <c r="T26" s="378">
        <f t="shared" si="4"/>
        <v>64.10882495769107</v>
      </c>
      <c r="U26" s="378">
        <f t="shared" si="4"/>
        <v>64.10882495769107</v>
      </c>
      <c r="V26" s="378">
        <f t="shared" si="4"/>
        <v>64.10882495769107</v>
      </c>
      <c r="W26" s="378">
        <f t="shared" si="4"/>
        <v>64.10882495769107</v>
      </c>
      <c r="X26" s="378">
        <f t="shared" si="4"/>
        <v>64.10882495769107</v>
      </c>
      <c r="Y26" s="378">
        <f t="shared" si="4"/>
        <v>64.10882495769107</v>
      </c>
      <c r="Z26" s="378">
        <f t="shared" si="4"/>
        <v>64.10882495769107</v>
      </c>
      <c r="AA26" s="378">
        <f t="shared" si="4"/>
        <v>64.10882495769107</v>
      </c>
      <c r="AB26" s="379">
        <f t="shared" si="4"/>
        <v>64.10882495769107</v>
      </c>
      <c r="AD26" s="418" t="s">
        <v>234</v>
      </c>
    </row>
    <row r="27" spans="2:30" x14ac:dyDescent="0.3">
      <c r="B27" s="185" t="s">
        <v>4</v>
      </c>
      <c r="C27" s="404">
        <v>0</v>
      </c>
      <c r="D27" s="404">
        <v>0</v>
      </c>
      <c r="E27" s="404">
        <v>0</v>
      </c>
      <c r="F27" s="404">
        <v>0</v>
      </c>
      <c r="G27" s="404">
        <v>0</v>
      </c>
      <c r="H27" s="404">
        <v>0</v>
      </c>
      <c r="I27" s="404">
        <v>0</v>
      </c>
      <c r="J27" s="404">
        <f t="shared" si="3"/>
        <v>20.45326368282376</v>
      </c>
      <c r="K27" s="405">
        <f t="shared" si="3"/>
        <v>20.129101366032945</v>
      </c>
      <c r="L27" s="405">
        <f t="shared" si="3"/>
        <v>166.75342836272864</v>
      </c>
      <c r="M27" s="405">
        <f t="shared" si="3"/>
        <v>166.75342836272864</v>
      </c>
      <c r="N27" s="405">
        <f t="shared" si="3"/>
        <v>9.4441740669934546</v>
      </c>
      <c r="O27" s="405">
        <f t="shared" si="3"/>
        <v>9.4441740669934546</v>
      </c>
      <c r="P27" s="375">
        <f t="shared" ref="P27:P35" si="5">IF(AD27="CONSTANTE",O27,AVERAGE(C27:O27))</f>
        <v>30.229043839100068</v>
      </c>
      <c r="Q27" s="375">
        <f t="shared" ref="Q27:AB35" si="6">+P27</f>
        <v>30.229043839100068</v>
      </c>
      <c r="R27" s="375">
        <f t="shared" si="6"/>
        <v>30.229043839100068</v>
      </c>
      <c r="S27" s="375">
        <f t="shared" si="6"/>
        <v>30.229043839100068</v>
      </c>
      <c r="T27" s="375">
        <f t="shared" si="6"/>
        <v>30.229043839100068</v>
      </c>
      <c r="U27" s="375">
        <f t="shared" si="6"/>
        <v>30.229043839100068</v>
      </c>
      <c r="V27" s="375">
        <f t="shared" si="6"/>
        <v>30.229043839100068</v>
      </c>
      <c r="W27" s="375">
        <f t="shared" si="6"/>
        <v>30.229043839100068</v>
      </c>
      <c r="X27" s="375">
        <f t="shared" si="6"/>
        <v>30.229043839100068</v>
      </c>
      <c r="Y27" s="375">
        <f t="shared" si="6"/>
        <v>30.229043839100068</v>
      </c>
      <c r="Z27" s="375">
        <f t="shared" si="6"/>
        <v>30.229043839100068</v>
      </c>
      <c r="AA27" s="375">
        <f t="shared" si="6"/>
        <v>30.229043839100068</v>
      </c>
      <c r="AB27" s="380">
        <f t="shared" si="6"/>
        <v>30.229043839100068</v>
      </c>
      <c r="AD27" s="418" t="s">
        <v>234</v>
      </c>
    </row>
    <row r="28" spans="2:30" x14ac:dyDescent="0.3">
      <c r="B28" s="185" t="s">
        <v>5</v>
      </c>
      <c r="C28" s="404">
        <v>0</v>
      </c>
      <c r="D28" s="404">
        <v>0</v>
      </c>
      <c r="E28" s="404">
        <v>0</v>
      </c>
      <c r="F28" s="404">
        <v>0</v>
      </c>
      <c r="G28" s="404">
        <v>0</v>
      </c>
      <c r="H28" s="404">
        <v>0</v>
      </c>
      <c r="I28" s="404">
        <v>0</v>
      </c>
      <c r="J28" s="404">
        <f t="shared" si="3"/>
        <v>281.85371407580936</v>
      </c>
      <c r="K28" s="405">
        <f t="shared" si="3"/>
        <v>279.75025573687969</v>
      </c>
      <c r="L28" s="405">
        <f t="shared" si="3"/>
        <v>344.31155784238285</v>
      </c>
      <c r="M28" s="405">
        <f t="shared" si="3"/>
        <v>344.31155784238285</v>
      </c>
      <c r="N28" s="405">
        <f t="shared" si="3"/>
        <v>501.77195179583879</v>
      </c>
      <c r="O28" s="405">
        <f t="shared" si="3"/>
        <v>501.77195179583879</v>
      </c>
      <c r="P28" s="375">
        <f t="shared" si="5"/>
        <v>173.36699916070251</v>
      </c>
      <c r="Q28" s="375">
        <f t="shared" si="6"/>
        <v>173.36699916070251</v>
      </c>
      <c r="R28" s="375">
        <f t="shared" si="6"/>
        <v>173.36699916070251</v>
      </c>
      <c r="S28" s="375">
        <f t="shared" si="6"/>
        <v>173.36699916070251</v>
      </c>
      <c r="T28" s="375">
        <f t="shared" si="6"/>
        <v>173.36699916070251</v>
      </c>
      <c r="U28" s="375">
        <f t="shared" si="6"/>
        <v>173.36699916070251</v>
      </c>
      <c r="V28" s="375">
        <f t="shared" si="6"/>
        <v>173.36699916070251</v>
      </c>
      <c r="W28" s="375">
        <f t="shared" si="6"/>
        <v>173.36699916070251</v>
      </c>
      <c r="X28" s="375">
        <f t="shared" si="6"/>
        <v>173.36699916070251</v>
      </c>
      <c r="Y28" s="375">
        <f t="shared" si="6"/>
        <v>173.36699916070251</v>
      </c>
      <c r="Z28" s="375">
        <f t="shared" si="6"/>
        <v>173.36699916070251</v>
      </c>
      <c r="AA28" s="375">
        <f t="shared" si="6"/>
        <v>173.36699916070251</v>
      </c>
      <c r="AB28" s="380">
        <f t="shared" si="6"/>
        <v>173.36699916070251</v>
      </c>
      <c r="AD28" s="418" t="s">
        <v>234</v>
      </c>
    </row>
    <row r="29" spans="2:30" x14ac:dyDescent="0.3">
      <c r="B29" s="185" t="s">
        <v>6</v>
      </c>
      <c r="C29" s="404">
        <v>0</v>
      </c>
      <c r="D29" s="404">
        <v>0</v>
      </c>
      <c r="E29" s="404">
        <v>0</v>
      </c>
      <c r="F29" s="404">
        <v>0</v>
      </c>
      <c r="G29" s="404">
        <v>0</v>
      </c>
      <c r="H29" s="404">
        <v>0</v>
      </c>
      <c r="I29" s="404">
        <v>0</v>
      </c>
      <c r="J29" s="404">
        <f t="shared" si="3"/>
        <v>670.12317712356821</v>
      </c>
      <c r="K29" s="405">
        <f t="shared" si="3"/>
        <v>670.2996794366112</v>
      </c>
      <c r="L29" s="405">
        <f t="shared" si="3"/>
        <v>809.16805880061145</v>
      </c>
      <c r="M29" s="405">
        <f t="shared" si="3"/>
        <v>809.16805880061145</v>
      </c>
      <c r="N29" s="405">
        <f t="shared" si="3"/>
        <v>777.11758198572591</v>
      </c>
      <c r="O29" s="405">
        <f t="shared" si="3"/>
        <v>777.11758198572591</v>
      </c>
      <c r="P29" s="375">
        <f t="shared" si="5"/>
        <v>347.1533952409888</v>
      </c>
      <c r="Q29" s="375">
        <f t="shared" si="6"/>
        <v>347.1533952409888</v>
      </c>
      <c r="R29" s="375">
        <f t="shared" si="6"/>
        <v>347.1533952409888</v>
      </c>
      <c r="S29" s="375">
        <f t="shared" si="6"/>
        <v>347.1533952409888</v>
      </c>
      <c r="T29" s="375">
        <f t="shared" si="6"/>
        <v>347.1533952409888</v>
      </c>
      <c r="U29" s="375">
        <f t="shared" si="6"/>
        <v>347.1533952409888</v>
      </c>
      <c r="V29" s="375">
        <f t="shared" si="6"/>
        <v>347.1533952409888</v>
      </c>
      <c r="W29" s="375">
        <f t="shared" si="6"/>
        <v>347.1533952409888</v>
      </c>
      <c r="X29" s="375">
        <f t="shared" si="6"/>
        <v>347.1533952409888</v>
      </c>
      <c r="Y29" s="375">
        <f t="shared" si="6"/>
        <v>347.1533952409888</v>
      </c>
      <c r="Z29" s="375">
        <f t="shared" si="6"/>
        <v>347.1533952409888</v>
      </c>
      <c r="AA29" s="375">
        <f t="shared" si="6"/>
        <v>347.1533952409888</v>
      </c>
      <c r="AB29" s="380">
        <f t="shared" si="6"/>
        <v>347.1533952409888</v>
      </c>
      <c r="AD29" s="418" t="s">
        <v>234</v>
      </c>
    </row>
    <row r="30" spans="2:30" x14ac:dyDescent="0.3">
      <c r="B30" s="185" t="s">
        <v>7</v>
      </c>
      <c r="C30" s="404">
        <v>0</v>
      </c>
      <c r="D30" s="404">
        <v>0</v>
      </c>
      <c r="E30" s="404">
        <v>0</v>
      </c>
      <c r="F30" s="404">
        <v>0</v>
      </c>
      <c r="G30" s="404">
        <v>0</v>
      </c>
      <c r="H30" s="404">
        <v>0</v>
      </c>
      <c r="I30" s="404">
        <v>0</v>
      </c>
      <c r="J30" s="404">
        <f t="shared" si="3"/>
        <v>82.982687924068344</v>
      </c>
      <c r="K30" s="405">
        <f t="shared" si="3"/>
        <v>85.462755818077639</v>
      </c>
      <c r="L30" s="405">
        <f t="shared" si="3"/>
        <v>65.068073283412943</v>
      </c>
      <c r="M30" s="405">
        <f t="shared" si="3"/>
        <v>65.068073283412943</v>
      </c>
      <c r="N30" s="405">
        <f t="shared" si="3"/>
        <v>292.69064009395538</v>
      </c>
      <c r="O30" s="405">
        <f t="shared" si="3"/>
        <v>292.69064009395538</v>
      </c>
      <c r="P30" s="375">
        <f t="shared" si="5"/>
        <v>67.997143884375589</v>
      </c>
      <c r="Q30" s="375">
        <f t="shared" si="6"/>
        <v>67.997143884375589</v>
      </c>
      <c r="R30" s="375">
        <f t="shared" si="6"/>
        <v>67.997143884375589</v>
      </c>
      <c r="S30" s="375">
        <f t="shared" si="6"/>
        <v>67.997143884375589</v>
      </c>
      <c r="T30" s="375">
        <f t="shared" si="6"/>
        <v>67.997143884375589</v>
      </c>
      <c r="U30" s="375">
        <f t="shared" si="6"/>
        <v>67.997143884375589</v>
      </c>
      <c r="V30" s="375">
        <f t="shared" si="6"/>
        <v>67.997143884375589</v>
      </c>
      <c r="W30" s="375">
        <f t="shared" si="6"/>
        <v>67.997143884375589</v>
      </c>
      <c r="X30" s="375">
        <f t="shared" si="6"/>
        <v>67.997143884375589</v>
      </c>
      <c r="Y30" s="375">
        <f t="shared" si="6"/>
        <v>67.997143884375589</v>
      </c>
      <c r="Z30" s="375">
        <f t="shared" si="6"/>
        <v>67.997143884375589</v>
      </c>
      <c r="AA30" s="375">
        <f t="shared" si="6"/>
        <v>67.997143884375589</v>
      </c>
      <c r="AB30" s="380">
        <f t="shared" si="6"/>
        <v>67.997143884375589</v>
      </c>
      <c r="AD30" s="418" t="s">
        <v>234</v>
      </c>
    </row>
    <row r="31" spans="2:30" x14ac:dyDescent="0.3">
      <c r="B31" s="185" t="s">
        <v>8</v>
      </c>
      <c r="C31" s="404">
        <v>0</v>
      </c>
      <c r="D31" s="404">
        <v>0</v>
      </c>
      <c r="E31" s="404">
        <v>0</v>
      </c>
      <c r="F31" s="404">
        <v>0</v>
      </c>
      <c r="G31" s="404">
        <v>0</v>
      </c>
      <c r="H31" s="404">
        <v>0</v>
      </c>
      <c r="I31" s="404">
        <v>0</v>
      </c>
      <c r="J31" s="404">
        <f t="shared" si="3"/>
        <v>6448.5864207704535</v>
      </c>
      <c r="K31" s="405">
        <f t="shared" si="3"/>
        <v>6484.4656953873955</v>
      </c>
      <c r="L31" s="405">
        <f t="shared" si="3"/>
        <v>2043.1476753449963</v>
      </c>
      <c r="M31" s="405">
        <f t="shared" si="3"/>
        <v>2043.1476753449963</v>
      </c>
      <c r="N31" s="405">
        <f t="shared" si="3"/>
        <v>4680.0274093654816</v>
      </c>
      <c r="O31" s="405">
        <f t="shared" si="3"/>
        <v>4680.0274093654816</v>
      </c>
      <c r="P31" s="375">
        <f t="shared" si="5"/>
        <v>2029.1847911983693</v>
      </c>
      <c r="Q31" s="375">
        <f t="shared" si="6"/>
        <v>2029.1847911983693</v>
      </c>
      <c r="R31" s="375">
        <f t="shared" si="6"/>
        <v>2029.1847911983693</v>
      </c>
      <c r="S31" s="375">
        <f t="shared" si="6"/>
        <v>2029.1847911983693</v>
      </c>
      <c r="T31" s="375">
        <f t="shared" si="6"/>
        <v>2029.1847911983693</v>
      </c>
      <c r="U31" s="375">
        <f t="shared" si="6"/>
        <v>2029.1847911983693</v>
      </c>
      <c r="V31" s="375">
        <f t="shared" si="6"/>
        <v>2029.1847911983693</v>
      </c>
      <c r="W31" s="375">
        <f t="shared" si="6"/>
        <v>2029.1847911983693</v>
      </c>
      <c r="X31" s="375">
        <f t="shared" si="6"/>
        <v>2029.1847911983693</v>
      </c>
      <c r="Y31" s="375">
        <f t="shared" si="6"/>
        <v>2029.1847911983693</v>
      </c>
      <c r="Z31" s="375">
        <f t="shared" si="6"/>
        <v>2029.1847911983693</v>
      </c>
      <c r="AA31" s="375">
        <f t="shared" si="6"/>
        <v>2029.1847911983693</v>
      </c>
      <c r="AB31" s="380">
        <f t="shared" si="6"/>
        <v>2029.1847911983693</v>
      </c>
      <c r="AD31" s="418" t="s">
        <v>234</v>
      </c>
    </row>
    <row r="32" spans="2:30" x14ac:dyDescent="0.3">
      <c r="B32" s="185" t="s">
        <v>9</v>
      </c>
      <c r="C32" s="404">
        <v>0</v>
      </c>
      <c r="D32" s="404">
        <v>0</v>
      </c>
      <c r="E32" s="404">
        <v>0</v>
      </c>
      <c r="F32" s="404">
        <v>0</v>
      </c>
      <c r="G32" s="404">
        <v>0</v>
      </c>
      <c r="H32" s="404">
        <v>0</v>
      </c>
      <c r="I32" s="404">
        <v>0</v>
      </c>
      <c r="J32" s="404">
        <f t="shared" si="3"/>
        <v>178.66719066043936</v>
      </c>
      <c r="K32" s="405">
        <f t="shared" si="3"/>
        <v>175.32584989170951</v>
      </c>
      <c r="L32" s="405">
        <f t="shared" si="3"/>
        <v>104.45517123003479</v>
      </c>
      <c r="M32" s="405">
        <f t="shared" si="3"/>
        <v>104.45517123003479</v>
      </c>
      <c r="N32" s="405">
        <f t="shared" si="3"/>
        <v>203.00261051079278</v>
      </c>
      <c r="O32" s="405">
        <f t="shared" si="3"/>
        <v>203.00261051079278</v>
      </c>
      <c r="P32" s="375">
        <f t="shared" si="5"/>
        <v>74.531431079523387</v>
      </c>
      <c r="Q32" s="375">
        <f t="shared" si="6"/>
        <v>74.531431079523387</v>
      </c>
      <c r="R32" s="375">
        <f t="shared" si="6"/>
        <v>74.531431079523387</v>
      </c>
      <c r="S32" s="375">
        <f t="shared" si="6"/>
        <v>74.531431079523387</v>
      </c>
      <c r="T32" s="375">
        <f t="shared" si="6"/>
        <v>74.531431079523387</v>
      </c>
      <c r="U32" s="375">
        <f t="shared" si="6"/>
        <v>74.531431079523387</v>
      </c>
      <c r="V32" s="375">
        <f t="shared" si="6"/>
        <v>74.531431079523387</v>
      </c>
      <c r="W32" s="375">
        <f t="shared" si="6"/>
        <v>74.531431079523387</v>
      </c>
      <c r="X32" s="375">
        <f t="shared" si="6"/>
        <v>74.531431079523387</v>
      </c>
      <c r="Y32" s="375">
        <f t="shared" si="6"/>
        <v>74.531431079523387</v>
      </c>
      <c r="Z32" s="375">
        <f t="shared" si="6"/>
        <v>74.531431079523387</v>
      </c>
      <c r="AA32" s="375">
        <f t="shared" si="6"/>
        <v>74.531431079523387</v>
      </c>
      <c r="AB32" s="380">
        <f t="shared" si="6"/>
        <v>74.531431079523387</v>
      </c>
      <c r="AD32" s="418" t="s">
        <v>234</v>
      </c>
    </row>
    <row r="33" spans="2:30" x14ac:dyDescent="0.3">
      <c r="B33" s="185" t="s">
        <v>10</v>
      </c>
      <c r="C33" s="404">
        <v>0</v>
      </c>
      <c r="D33" s="404">
        <v>0</v>
      </c>
      <c r="E33" s="404">
        <v>0</v>
      </c>
      <c r="F33" s="404">
        <v>0</v>
      </c>
      <c r="G33" s="404">
        <v>0</v>
      </c>
      <c r="H33" s="404">
        <v>0</v>
      </c>
      <c r="I33" s="404">
        <v>0</v>
      </c>
      <c r="J33" s="404">
        <f t="shared" si="3"/>
        <v>347.57277221500476</v>
      </c>
      <c r="K33" s="405">
        <f t="shared" si="3"/>
        <v>340.44501810850659</v>
      </c>
      <c r="L33" s="405">
        <f t="shared" si="3"/>
        <v>154.28252168815357</v>
      </c>
      <c r="M33" s="405">
        <f t="shared" si="3"/>
        <v>154.28252168815357</v>
      </c>
      <c r="N33" s="405">
        <f t="shared" si="3"/>
        <v>21.996609717404048</v>
      </c>
      <c r="O33" s="405">
        <f t="shared" si="3"/>
        <v>21.996609717404048</v>
      </c>
      <c r="P33" s="375">
        <f t="shared" si="5"/>
        <v>80.044311779586664</v>
      </c>
      <c r="Q33" s="375">
        <f t="shared" si="6"/>
        <v>80.044311779586664</v>
      </c>
      <c r="R33" s="375">
        <f t="shared" si="6"/>
        <v>80.044311779586664</v>
      </c>
      <c r="S33" s="375">
        <f t="shared" si="6"/>
        <v>80.044311779586664</v>
      </c>
      <c r="T33" s="375">
        <f t="shared" si="6"/>
        <v>80.044311779586664</v>
      </c>
      <c r="U33" s="375">
        <f t="shared" si="6"/>
        <v>80.044311779586664</v>
      </c>
      <c r="V33" s="375">
        <f t="shared" si="6"/>
        <v>80.044311779586664</v>
      </c>
      <c r="W33" s="375">
        <f t="shared" si="6"/>
        <v>80.044311779586664</v>
      </c>
      <c r="X33" s="375">
        <f t="shared" si="6"/>
        <v>80.044311779586664</v>
      </c>
      <c r="Y33" s="375">
        <f t="shared" si="6"/>
        <v>80.044311779586664</v>
      </c>
      <c r="Z33" s="375">
        <f t="shared" si="6"/>
        <v>80.044311779586664</v>
      </c>
      <c r="AA33" s="375">
        <f t="shared" si="6"/>
        <v>80.044311779586664</v>
      </c>
      <c r="AB33" s="380">
        <f t="shared" si="6"/>
        <v>80.044311779586664</v>
      </c>
      <c r="AD33" s="418" t="s">
        <v>234</v>
      </c>
    </row>
    <row r="34" spans="2:30" x14ac:dyDescent="0.3">
      <c r="B34" s="185" t="s">
        <v>11</v>
      </c>
      <c r="C34" s="404">
        <v>0</v>
      </c>
      <c r="D34" s="404">
        <v>0</v>
      </c>
      <c r="E34" s="404">
        <v>0</v>
      </c>
      <c r="F34" s="404">
        <v>0</v>
      </c>
      <c r="G34" s="404">
        <v>0</v>
      </c>
      <c r="H34" s="404">
        <v>0</v>
      </c>
      <c r="I34" s="404">
        <v>0</v>
      </c>
      <c r="J34" s="404">
        <f t="shared" si="3"/>
        <v>15060.533956176816</v>
      </c>
      <c r="K34" s="405">
        <f t="shared" si="3"/>
        <v>14923.649867475717</v>
      </c>
      <c r="L34" s="405">
        <f t="shared" si="3"/>
        <v>2958.5148496342922</v>
      </c>
      <c r="M34" s="405">
        <f t="shared" si="3"/>
        <v>2958.5148496342922</v>
      </c>
      <c r="N34" s="405">
        <f t="shared" si="3"/>
        <v>23924.354989771695</v>
      </c>
      <c r="O34" s="405">
        <f t="shared" si="3"/>
        <v>23924.354989771695</v>
      </c>
      <c r="P34" s="375">
        <f t="shared" si="5"/>
        <v>6442.3018078818859</v>
      </c>
      <c r="Q34" s="375">
        <f t="shared" si="6"/>
        <v>6442.3018078818859</v>
      </c>
      <c r="R34" s="375">
        <f t="shared" si="6"/>
        <v>6442.3018078818859</v>
      </c>
      <c r="S34" s="375">
        <f t="shared" si="6"/>
        <v>6442.3018078818859</v>
      </c>
      <c r="T34" s="375">
        <f t="shared" si="6"/>
        <v>6442.3018078818859</v>
      </c>
      <c r="U34" s="375">
        <f t="shared" si="6"/>
        <v>6442.3018078818859</v>
      </c>
      <c r="V34" s="375">
        <f t="shared" si="6"/>
        <v>6442.3018078818859</v>
      </c>
      <c r="W34" s="375">
        <f t="shared" si="6"/>
        <v>6442.3018078818859</v>
      </c>
      <c r="X34" s="375">
        <f t="shared" si="6"/>
        <v>6442.3018078818859</v>
      </c>
      <c r="Y34" s="375">
        <f t="shared" si="6"/>
        <v>6442.3018078818859</v>
      </c>
      <c r="Z34" s="375">
        <f t="shared" si="6"/>
        <v>6442.3018078818859</v>
      </c>
      <c r="AA34" s="375">
        <f t="shared" si="6"/>
        <v>6442.3018078818859</v>
      </c>
      <c r="AB34" s="380">
        <f t="shared" si="6"/>
        <v>6442.3018078818859</v>
      </c>
      <c r="AD34" s="418" t="s">
        <v>234</v>
      </c>
    </row>
    <row r="35" spans="2:30" ht="15" thickBot="1" x14ac:dyDescent="0.35">
      <c r="B35" s="186" t="s">
        <v>12</v>
      </c>
      <c r="C35" s="406">
        <f t="shared" ref="C35:I35" si="7">+C13/C24</f>
        <v>0</v>
      </c>
      <c r="D35" s="406">
        <f t="shared" si="7"/>
        <v>0</v>
      </c>
      <c r="E35" s="406">
        <f t="shared" si="7"/>
        <v>0</v>
      </c>
      <c r="F35" s="406">
        <f t="shared" si="7"/>
        <v>0</v>
      </c>
      <c r="G35" s="406">
        <f t="shared" si="7"/>
        <v>0</v>
      </c>
      <c r="H35" s="406">
        <f t="shared" si="7"/>
        <v>0</v>
      </c>
      <c r="I35" s="406">
        <f t="shared" si="7"/>
        <v>0</v>
      </c>
      <c r="J35" s="406">
        <f t="shared" si="3"/>
        <v>2.01682988058533</v>
      </c>
      <c r="K35" s="407">
        <f t="shared" si="3"/>
        <v>1.93599556613798</v>
      </c>
      <c r="L35" s="407">
        <f t="shared" si="3"/>
        <v>87.548643870264783</v>
      </c>
      <c r="M35" s="407">
        <f t="shared" si="3"/>
        <v>87.548643870264783</v>
      </c>
      <c r="N35" s="407">
        <f t="shared" si="3"/>
        <v>8.4315899023305292</v>
      </c>
      <c r="O35" s="407">
        <f t="shared" si="3"/>
        <v>8.4315899023305292</v>
      </c>
      <c r="P35" s="375">
        <f t="shared" si="5"/>
        <v>15.070253307070301</v>
      </c>
      <c r="Q35" s="381">
        <f t="shared" si="6"/>
        <v>15.070253307070301</v>
      </c>
      <c r="R35" s="381">
        <f t="shared" si="6"/>
        <v>15.070253307070301</v>
      </c>
      <c r="S35" s="381">
        <f t="shared" si="6"/>
        <v>15.070253307070301</v>
      </c>
      <c r="T35" s="381">
        <f t="shared" si="6"/>
        <v>15.070253307070301</v>
      </c>
      <c r="U35" s="381">
        <f t="shared" si="6"/>
        <v>15.070253307070301</v>
      </c>
      <c r="V35" s="381">
        <f t="shared" si="6"/>
        <v>15.070253307070301</v>
      </c>
      <c r="W35" s="381">
        <f t="shared" si="6"/>
        <v>15.070253307070301</v>
      </c>
      <c r="X35" s="381">
        <f t="shared" si="6"/>
        <v>15.070253307070301</v>
      </c>
      <c r="Y35" s="381">
        <f t="shared" si="6"/>
        <v>15.070253307070301</v>
      </c>
      <c r="Z35" s="381">
        <f t="shared" si="6"/>
        <v>15.070253307070301</v>
      </c>
      <c r="AA35" s="381">
        <f t="shared" si="6"/>
        <v>15.070253307070301</v>
      </c>
      <c r="AB35" s="382">
        <f t="shared" si="6"/>
        <v>15.070253307070301</v>
      </c>
      <c r="AD35" s="418" t="s">
        <v>234</v>
      </c>
    </row>
    <row r="36" spans="2:30" x14ac:dyDescent="0.3">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c r="AA36" s="408"/>
      <c r="AB36" s="408"/>
    </row>
    <row r="37" spans="2:30" ht="15" thickBot="1" x14ac:dyDescent="0.35">
      <c r="B37" s="415" t="s">
        <v>178</v>
      </c>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c r="AA37" s="408"/>
      <c r="AB37" s="408"/>
    </row>
    <row r="38" spans="2:30" ht="15" thickBot="1" x14ac:dyDescent="0.35">
      <c r="B38" s="142" t="s">
        <v>166</v>
      </c>
      <c r="C38" s="391">
        <f>+SUM(DATOS_INGEI!C19:C22)/1000</f>
        <v>6968.2960690456666</v>
      </c>
      <c r="D38" s="391">
        <f>+SUM(DATOS_INGEI!D19:D22)/1000</f>
        <v>6968.2960690456666</v>
      </c>
      <c r="E38" s="391">
        <f>+SUM(DATOS_INGEI!E19:E22)/1000</f>
        <v>6968.2960690456666</v>
      </c>
      <c r="F38" s="391">
        <f>+SUM(DATOS_INGEI!F19:F22)/1000</f>
        <v>6968.2960690456666</v>
      </c>
      <c r="G38" s="391">
        <f>+SUM(DATOS_INGEI!G19:G22)/1000</f>
        <v>6968.2960690456666</v>
      </c>
      <c r="H38" s="391">
        <f>+SUM(DATOS_INGEI!H19:H22)/1000</f>
        <v>4614.7869721066663</v>
      </c>
      <c r="I38" s="391">
        <f>+SUM(DATOS_INGEI!I19:I22)/1000</f>
        <v>2261.2778751676669</v>
      </c>
      <c r="J38" s="391">
        <f>+SUM(DATOS_INGEI!J19:J22)/1000</f>
        <v>1960.7604271630832</v>
      </c>
      <c r="K38" s="391">
        <f>+SUM(DATOS_INGEI!K19:K22)/1000</f>
        <v>1660.2429791585</v>
      </c>
      <c r="L38" s="391">
        <f>+SUM(DATOS_INGEI!L19:L22)/1000</f>
        <v>808.34137411133327</v>
      </c>
      <c r="M38" s="391">
        <f>+SUM(DATOS_INGEI!M19:M22)/1000</f>
        <v>808.34137411133327</v>
      </c>
      <c r="N38" s="391">
        <f>+SUM(DATOS_INGEI!N19:N22)/1000</f>
        <v>1111.6412558423335</v>
      </c>
      <c r="O38" s="391">
        <f>+SUM(DATOS_INGEI!O19:O22)/1000</f>
        <v>1111.6412558423335</v>
      </c>
      <c r="P38" s="392">
        <f>+SUM(P39:P41)</f>
        <v>1114.8421027513384</v>
      </c>
      <c r="Q38" s="392">
        <f t="shared" ref="Q38:AB38" si="8">+SUM(Q39:Q41)</f>
        <v>1114.8421027513384</v>
      </c>
      <c r="R38" s="392">
        <f t="shared" si="8"/>
        <v>1114.8421027513384</v>
      </c>
      <c r="S38" s="392">
        <f t="shared" si="8"/>
        <v>1114.8421027513384</v>
      </c>
      <c r="T38" s="392">
        <f t="shared" si="8"/>
        <v>1114.8421027513384</v>
      </c>
      <c r="U38" s="392">
        <f t="shared" si="8"/>
        <v>1114.8421027513384</v>
      </c>
      <c r="V38" s="392">
        <f t="shared" si="8"/>
        <v>1114.8421027513384</v>
      </c>
      <c r="W38" s="392">
        <f t="shared" si="8"/>
        <v>1114.8421027513384</v>
      </c>
      <c r="X38" s="392">
        <f t="shared" si="8"/>
        <v>1114.8421027513384</v>
      </c>
      <c r="Y38" s="392">
        <f t="shared" si="8"/>
        <v>1114.8421027513384</v>
      </c>
      <c r="Z38" s="392">
        <f t="shared" si="8"/>
        <v>1114.8421027513384</v>
      </c>
      <c r="AA38" s="392">
        <f t="shared" si="8"/>
        <v>1114.8421027513384</v>
      </c>
      <c r="AB38" s="393">
        <f t="shared" si="8"/>
        <v>1114.8421027513384</v>
      </c>
    </row>
    <row r="39" spans="2:30" x14ac:dyDescent="0.3">
      <c r="B39" s="191" t="s">
        <v>179</v>
      </c>
      <c r="C39" s="378">
        <f>+DATOS_INGEI!C19/1000</f>
        <v>6993.798600066666</v>
      </c>
      <c r="D39" s="378">
        <f>+DATOS_INGEI!D19/1000</f>
        <v>6993.798600066666</v>
      </c>
      <c r="E39" s="378">
        <f>+DATOS_INGEI!E19/1000</f>
        <v>6993.798600066666</v>
      </c>
      <c r="F39" s="378">
        <f>+DATOS_INGEI!F19/1000</f>
        <v>6993.798600066666</v>
      </c>
      <c r="G39" s="378">
        <f>+DATOS_INGEI!G19/1000</f>
        <v>6993.798600066666</v>
      </c>
      <c r="H39" s="378">
        <f>+DATOS_INGEI!H19/1000</f>
        <v>4650.8486423666664</v>
      </c>
      <c r="I39" s="378">
        <f>+DATOS_INGEI!I19/1000</f>
        <v>2307.8986846666667</v>
      </c>
      <c r="J39" s="378">
        <f>+DATOS_INGEI!J19/1000</f>
        <v>1997.6644851166666</v>
      </c>
      <c r="K39" s="394">
        <f>+DATOS_INGEI!K19/1000</f>
        <v>1687.4302855666667</v>
      </c>
      <c r="L39" s="394">
        <f>+DATOS_INGEI!L19/1000</f>
        <v>810.9655545254999</v>
      </c>
      <c r="M39" s="394">
        <f>+DATOS_INGEI!M19/1000</f>
        <v>810.9655545254999</v>
      </c>
      <c r="N39" s="394">
        <f>+DATOS_INGEI!N19/1000</f>
        <v>1142.2562952569999</v>
      </c>
      <c r="O39" s="394">
        <f>+DATOS_INGEI!O19/1000</f>
        <v>1142.2562952569999</v>
      </c>
      <c r="P39" s="395">
        <f>+P43*P47</f>
        <v>1145.6804862193119</v>
      </c>
      <c r="Q39" s="395">
        <f t="shared" ref="Q39:AB39" si="9">+Q43*Q47</f>
        <v>1145.6804862193119</v>
      </c>
      <c r="R39" s="395">
        <f t="shared" si="9"/>
        <v>1145.6804862193119</v>
      </c>
      <c r="S39" s="395">
        <f t="shared" si="9"/>
        <v>1145.6804862193119</v>
      </c>
      <c r="T39" s="395">
        <f t="shared" si="9"/>
        <v>1145.6804862193119</v>
      </c>
      <c r="U39" s="395">
        <f t="shared" si="9"/>
        <v>1145.6804862193119</v>
      </c>
      <c r="V39" s="395">
        <f t="shared" si="9"/>
        <v>1145.6804862193119</v>
      </c>
      <c r="W39" s="395">
        <f t="shared" si="9"/>
        <v>1145.6804862193119</v>
      </c>
      <c r="X39" s="395">
        <f t="shared" si="9"/>
        <v>1145.6804862193119</v>
      </c>
      <c r="Y39" s="395">
        <f t="shared" si="9"/>
        <v>1145.6804862193119</v>
      </c>
      <c r="Z39" s="395">
        <f t="shared" si="9"/>
        <v>1145.6804862193119</v>
      </c>
      <c r="AA39" s="395">
        <f t="shared" si="9"/>
        <v>1145.6804862193119</v>
      </c>
      <c r="AB39" s="396">
        <f t="shared" si="9"/>
        <v>1145.6804862193119</v>
      </c>
    </row>
    <row r="40" spans="2:30" x14ac:dyDescent="0.3">
      <c r="B40" s="185" t="s">
        <v>180</v>
      </c>
      <c r="C40" s="375">
        <f>+DATOS_INGEI!C20/1000</f>
        <v>-8.5363420999999995E-2</v>
      </c>
      <c r="D40" s="375">
        <f>+DATOS_INGEI!D20/1000</f>
        <v>-8.5363420999999995E-2</v>
      </c>
      <c r="E40" s="375">
        <f>+DATOS_INGEI!E20/1000</f>
        <v>-8.5363420999999995E-2</v>
      </c>
      <c r="F40" s="375">
        <f>+DATOS_INGEI!F20/1000</f>
        <v>-8.5363420999999995E-2</v>
      </c>
      <c r="G40" s="375">
        <f>+DATOS_INGEI!G20/1000</f>
        <v>-8.5363420999999995E-2</v>
      </c>
      <c r="H40" s="375">
        <f>+DATOS_INGEI!H20/1000</f>
        <v>-8.0516787266666654</v>
      </c>
      <c r="I40" s="375">
        <f>+DATOS_INGEI!I20/1000</f>
        <v>-16.017994032333331</v>
      </c>
      <c r="J40" s="375">
        <f>+DATOS_INGEI!J20/1000</f>
        <v>-10.239869120249997</v>
      </c>
      <c r="K40" s="397">
        <f>+DATOS_INGEI!K20/1000</f>
        <v>-4.4617442081666656</v>
      </c>
      <c r="L40" s="397">
        <f>+DATOS_INGEI!L20/1000</f>
        <v>-0.49989117749999995</v>
      </c>
      <c r="M40" s="397">
        <f>+DATOS_INGEI!M20/1000</f>
        <v>-0.49989117749999995</v>
      </c>
      <c r="N40" s="397">
        <f>+DATOS_INGEI!N20/1000</f>
        <v>-14.729091662999997</v>
      </c>
      <c r="O40" s="397">
        <f>+DATOS_INGEI!O20/1000</f>
        <v>-14.729091662999997</v>
      </c>
      <c r="P40" s="398">
        <f t="shared" ref="P40:AB41" si="10">+P44*P48</f>
        <v>-13.405892510693986</v>
      </c>
      <c r="Q40" s="398">
        <f t="shared" si="10"/>
        <v>-13.405892510693986</v>
      </c>
      <c r="R40" s="398">
        <f t="shared" si="10"/>
        <v>-13.405892510693986</v>
      </c>
      <c r="S40" s="398">
        <f t="shared" si="10"/>
        <v>-13.405892510693986</v>
      </c>
      <c r="T40" s="398">
        <f t="shared" si="10"/>
        <v>-13.405892510693986</v>
      </c>
      <c r="U40" s="398">
        <f t="shared" si="10"/>
        <v>-13.405892510693986</v>
      </c>
      <c r="V40" s="398">
        <f t="shared" si="10"/>
        <v>-13.405892510693986</v>
      </c>
      <c r="W40" s="398">
        <f t="shared" si="10"/>
        <v>-13.405892510693986</v>
      </c>
      <c r="X40" s="398">
        <f t="shared" si="10"/>
        <v>-13.405892510693986</v>
      </c>
      <c r="Y40" s="398">
        <f t="shared" si="10"/>
        <v>-13.405892510693986</v>
      </c>
      <c r="Z40" s="398">
        <f t="shared" si="10"/>
        <v>-13.405892510693986</v>
      </c>
      <c r="AA40" s="398">
        <f t="shared" si="10"/>
        <v>-13.405892510693986</v>
      </c>
      <c r="AB40" s="399">
        <f t="shared" si="10"/>
        <v>-13.405892510693986</v>
      </c>
    </row>
    <row r="41" spans="2:30" ht="15" thickBot="1" x14ac:dyDescent="0.35">
      <c r="B41" s="186" t="s">
        <v>181</v>
      </c>
      <c r="C41" s="381">
        <f>+DATOS_INGEI!C22/1000</f>
        <v>-25.417167599999996</v>
      </c>
      <c r="D41" s="381">
        <f>+DATOS_INGEI!D22/1000</f>
        <v>-25.417167599999996</v>
      </c>
      <c r="E41" s="381">
        <f>+DATOS_INGEI!E22/1000</f>
        <v>-25.417167599999996</v>
      </c>
      <c r="F41" s="381">
        <f>+DATOS_INGEI!F22/1000</f>
        <v>-25.417167599999996</v>
      </c>
      <c r="G41" s="381">
        <f>+DATOS_INGEI!G22/1000</f>
        <v>-25.417167599999996</v>
      </c>
      <c r="H41" s="381">
        <f>+DATOS_INGEI!H22/1000</f>
        <v>-28.009991533333327</v>
      </c>
      <c r="I41" s="381">
        <f>+DATOS_INGEI!I22/1000</f>
        <v>-30.602815466666659</v>
      </c>
      <c r="J41" s="381">
        <f>+DATOS_INGEI!J22/1000</f>
        <v>-26.664188833333327</v>
      </c>
      <c r="K41" s="400">
        <f>+DATOS_INGEI!K22/1000</f>
        <v>-22.725562199999995</v>
      </c>
      <c r="L41" s="400">
        <f>+DATOS_INGEI!L22/1000</f>
        <v>-2.1242892366666664</v>
      </c>
      <c r="M41" s="400">
        <f>+DATOS_INGEI!M22/1000</f>
        <v>-2.1242892366666664</v>
      </c>
      <c r="N41" s="400">
        <f>+DATOS_INGEI!N22/1000</f>
        <v>-15.885947751666663</v>
      </c>
      <c r="O41" s="400">
        <f>+DATOS_INGEI!O22/1000</f>
        <v>-15.885947751666663</v>
      </c>
      <c r="P41" s="398">
        <f t="shared" si="10"/>
        <v>-17.432490957279509</v>
      </c>
      <c r="Q41" s="398">
        <f t="shared" si="10"/>
        <v>-17.432490957279509</v>
      </c>
      <c r="R41" s="398">
        <f t="shared" si="10"/>
        <v>-17.432490957279509</v>
      </c>
      <c r="S41" s="398">
        <f t="shared" si="10"/>
        <v>-17.432490957279509</v>
      </c>
      <c r="T41" s="398">
        <f t="shared" si="10"/>
        <v>-17.432490957279509</v>
      </c>
      <c r="U41" s="398">
        <f t="shared" si="10"/>
        <v>-17.432490957279509</v>
      </c>
      <c r="V41" s="398">
        <f t="shared" si="10"/>
        <v>-17.432490957279509</v>
      </c>
      <c r="W41" s="398">
        <f t="shared" si="10"/>
        <v>-17.432490957279509</v>
      </c>
      <c r="X41" s="398">
        <f t="shared" si="10"/>
        <v>-17.432490957279509</v>
      </c>
      <c r="Y41" s="398">
        <f t="shared" si="10"/>
        <v>-17.432490957279509</v>
      </c>
      <c r="Z41" s="398">
        <f t="shared" si="10"/>
        <v>-17.432490957279509</v>
      </c>
      <c r="AA41" s="398">
        <f t="shared" si="10"/>
        <v>-17.432490957279509</v>
      </c>
      <c r="AB41" s="399">
        <f t="shared" si="10"/>
        <v>-17.432490957279509</v>
      </c>
    </row>
    <row r="42" spans="2:30" ht="15" thickBot="1" x14ac:dyDescent="0.35">
      <c r="B42" s="142" t="s">
        <v>34</v>
      </c>
      <c r="C42" s="391"/>
      <c r="D42" s="391"/>
      <c r="E42" s="391"/>
      <c r="F42" s="391"/>
      <c r="G42" s="391"/>
      <c r="H42" s="391"/>
      <c r="I42" s="391"/>
      <c r="J42" s="391"/>
      <c r="K42" s="391"/>
      <c r="L42" s="391"/>
      <c r="M42" s="391"/>
      <c r="N42" s="391"/>
      <c r="O42" s="391"/>
      <c r="P42" s="391"/>
      <c r="Q42" s="391"/>
      <c r="R42" s="391"/>
      <c r="S42" s="391"/>
      <c r="T42" s="391"/>
      <c r="U42" s="391"/>
      <c r="V42" s="391"/>
      <c r="W42" s="391"/>
      <c r="X42" s="391"/>
      <c r="Y42" s="391"/>
      <c r="Z42" s="391"/>
      <c r="AA42" s="391"/>
      <c r="AB42" s="391"/>
    </row>
    <row r="43" spans="2:30" x14ac:dyDescent="0.3">
      <c r="B43" s="191" t="s">
        <v>179</v>
      </c>
      <c r="C43" s="442">
        <f>+COBERTURA_CAMBIOS_TF!E32/1000</f>
        <v>66.52946</v>
      </c>
      <c r="D43" s="442">
        <f>+COBERTURA_CAMBIOS_TF!F32/1000</f>
        <v>66.52946</v>
      </c>
      <c r="E43" s="442">
        <f>+COBERTURA_CAMBIOS_TF!G32/1000</f>
        <v>66.52946</v>
      </c>
      <c r="F43" s="442">
        <f>+COBERTURA_CAMBIOS_TF!H32/1000</f>
        <v>66.52946</v>
      </c>
      <c r="G43" s="442">
        <f>+COBERTURA_CAMBIOS_TF!I32/1000</f>
        <v>66.52946</v>
      </c>
      <c r="H43" s="442">
        <f>+COBERTURA_CAMBIOS_TF!J32/1000</f>
        <v>44.24183</v>
      </c>
      <c r="I43" s="442">
        <f>+COBERTURA_CAMBIOS_TF!K32/1000</f>
        <v>21.9542</v>
      </c>
      <c r="J43" s="442">
        <f>+COBERTURA_CAMBIOS_TF!L32/1000</f>
        <v>19.003055</v>
      </c>
      <c r="K43" s="443">
        <f>+COBERTURA_CAMBIOS_TF!M32/1000</f>
        <v>16.051909999999999</v>
      </c>
      <c r="L43" s="443">
        <f>+COBERTURA_CAMBIOS_TF!N32/1000</f>
        <v>7.5626099999999985</v>
      </c>
      <c r="M43" s="443">
        <f>+COBERTURA_CAMBIOS_TF!O32/1000</f>
        <v>7.5626099999999985</v>
      </c>
      <c r="N43" s="443">
        <f>+COBERTURA_CAMBIOS_TF!P32/1000</f>
        <v>10.864710000000001</v>
      </c>
      <c r="O43" s="443">
        <f>+COBERTURA_CAMBIOS_TF!Q32/1000</f>
        <v>10.864710000000001</v>
      </c>
      <c r="P43" s="442">
        <f>+COBERTURA_CAMBIOS_TF!R32/1000</f>
        <v>10.864710000000001</v>
      </c>
      <c r="Q43" s="442">
        <f>+COBERTURA_CAMBIOS_TF!S32/1000</f>
        <v>10.864710000000001</v>
      </c>
      <c r="R43" s="442">
        <f>+COBERTURA_CAMBIOS_TF!T32/1000</f>
        <v>10.864710000000001</v>
      </c>
      <c r="S43" s="442">
        <f>+COBERTURA_CAMBIOS_TF!U32/1000</f>
        <v>10.864710000000001</v>
      </c>
      <c r="T43" s="442">
        <f>+COBERTURA_CAMBIOS_TF!V32/1000</f>
        <v>10.864710000000001</v>
      </c>
      <c r="U43" s="442">
        <f>+COBERTURA_CAMBIOS_TF!W32/1000</f>
        <v>10.864710000000001</v>
      </c>
      <c r="V43" s="442">
        <f>+COBERTURA_CAMBIOS_TF!X32/1000</f>
        <v>10.864710000000001</v>
      </c>
      <c r="W43" s="443">
        <f>+COBERTURA_CAMBIOS_TF!Y32/1000</f>
        <v>10.864710000000001</v>
      </c>
      <c r="X43" s="443">
        <f>+COBERTURA_CAMBIOS_TF!Z32/1000</f>
        <v>10.864710000000001</v>
      </c>
      <c r="Y43" s="443">
        <f>+COBERTURA_CAMBIOS_TF!AA32/1000</f>
        <v>10.864710000000001</v>
      </c>
      <c r="Z43" s="443">
        <f>+COBERTURA_CAMBIOS_TF!AB32/1000</f>
        <v>10.864710000000001</v>
      </c>
      <c r="AA43" s="443">
        <f>+COBERTURA_CAMBIOS_TF!AC32/1000</f>
        <v>10.864710000000001</v>
      </c>
      <c r="AB43" s="478">
        <f>+COBERTURA_CAMBIOS_TF!AD32/1000</f>
        <v>10.864710000000001</v>
      </c>
    </row>
    <row r="44" spans="2:30" x14ac:dyDescent="0.3">
      <c r="B44" s="185" t="s">
        <v>180</v>
      </c>
      <c r="C44" s="444">
        <f>+COBERTURA_CAMBIOS_TF!E33/1000</f>
        <v>1.248E-2</v>
      </c>
      <c r="D44" s="444">
        <f>+COBERTURA_CAMBIOS_TF!F33/1000</f>
        <v>1.248E-2</v>
      </c>
      <c r="E44" s="444">
        <f>+COBERTURA_CAMBIOS_TF!G33/1000</f>
        <v>1.248E-2</v>
      </c>
      <c r="F44" s="444">
        <f>+COBERTURA_CAMBIOS_TF!H33/1000</f>
        <v>1.248E-2</v>
      </c>
      <c r="G44" s="444">
        <f>+COBERTURA_CAMBIOS_TF!I33/1000</f>
        <v>1.248E-2</v>
      </c>
      <c r="H44" s="444">
        <f>+COBERTURA_CAMBIOS_TF!J33/1000</f>
        <v>1.3754600000000001</v>
      </c>
      <c r="I44" s="444">
        <f>+COBERTURA_CAMBIOS_TF!K33/1000</f>
        <v>2.7384400000000002</v>
      </c>
      <c r="J44" s="444">
        <f>+COBERTURA_CAMBIOS_TF!L33/1000</f>
        <v>1.7223600000000001</v>
      </c>
      <c r="K44" s="445">
        <f>+COBERTURA_CAMBIOS_TF!M33/1000</f>
        <v>0.70628000000000002</v>
      </c>
      <c r="L44" s="445">
        <f>+COBERTURA_CAMBIOS_TF!N33/1000</f>
        <v>0.10413</v>
      </c>
      <c r="M44" s="445">
        <f>+COBERTURA_CAMBIOS_TF!O33/1000</f>
        <v>0.10413</v>
      </c>
      <c r="N44" s="445">
        <f>+COBERTURA_CAMBIOS_TF!P33/1000</f>
        <v>2.1370049999999998</v>
      </c>
      <c r="O44" s="445">
        <f>+COBERTURA_CAMBIOS_TF!Q33/1000</f>
        <v>2.1370049999999998</v>
      </c>
      <c r="P44" s="444">
        <f>+COBERTURA_CAMBIOS_TF!R33/1000</f>
        <v>2.1370049999999998</v>
      </c>
      <c r="Q44" s="444">
        <f>+COBERTURA_CAMBIOS_TF!S33/1000</f>
        <v>2.1370049999999998</v>
      </c>
      <c r="R44" s="444">
        <f>+COBERTURA_CAMBIOS_TF!T33/1000</f>
        <v>2.1370049999999998</v>
      </c>
      <c r="S44" s="444">
        <f>+COBERTURA_CAMBIOS_TF!U33/1000</f>
        <v>2.1370049999999998</v>
      </c>
      <c r="T44" s="444">
        <f>+COBERTURA_CAMBIOS_TF!V33/1000</f>
        <v>2.1370049999999998</v>
      </c>
      <c r="U44" s="444">
        <f>+COBERTURA_CAMBIOS_TF!W33/1000</f>
        <v>2.1370049999999998</v>
      </c>
      <c r="V44" s="444">
        <f>+COBERTURA_CAMBIOS_TF!X33/1000</f>
        <v>2.1370049999999998</v>
      </c>
      <c r="W44" s="445">
        <f>+COBERTURA_CAMBIOS_TF!Y33/1000</f>
        <v>2.1370049999999998</v>
      </c>
      <c r="X44" s="445">
        <f>+COBERTURA_CAMBIOS_TF!Z33/1000</f>
        <v>2.1370049999999998</v>
      </c>
      <c r="Y44" s="445">
        <f>+COBERTURA_CAMBIOS_TF!AA33/1000</f>
        <v>2.1370049999999998</v>
      </c>
      <c r="Z44" s="445">
        <f>+COBERTURA_CAMBIOS_TF!AB33/1000</f>
        <v>2.1370049999999998</v>
      </c>
      <c r="AA44" s="445">
        <f>+COBERTURA_CAMBIOS_TF!AC33/1000</f>
        <v>2.1370049999999998</v>
      </c>
      <c r="AB44" s="479">
        <f>+COBERTURA_CAMBIOS_TF!AD33/1000</f>
        <v>2.1370049999999998</v>
      </c>
    </row>
    <row r="45" spans="2:30" ht="15" thickBot="1" x14ac:dyDescent="0.35">
      <c r="B45" s="186" t="s">
        <v>181</v>
      </c>
      <c r="C45" s="446">
        <f>+COBERTURA_CAMBIOS_TF!E34/1000</f>
        <v>3.6872099999999999</v>
      </c>
      <c r="D45" s="446">
        <f>+COBERTURA_CAMBIOS_TF!F34/1000</f>
        <v>3.6872099999999999</v>
      </c>
      <c r="E45" s="446">
        <f>+COBERTURA_CAMBIOS_TF!G34/1000</f>
        <v>3.6872099999999999</v>
      </c>
      <c r="F45" s="446">
        <f>+COBERTURA_CAMBIOS_TF!H34/1000</f>
        <v>3.6872099999999999</v>
      </c>
      <c r="G45" s="446">
        <f>+COBERTURA_CAMBIOS_TF!I34/1000</f>
        <v>3.6872099999999999</v>
      </c>
      <c r="H45" s="446">
        <f>+COBERTURA_CAMBIOS_TF!J34/1000</f>
        <v>4.063345</v>
      </c>
      <c r="I45" s="446">
        <f>+COBERTURA_CAMBIOS_TF!K34/1000</f>
        <v>4.4394799999999996</v>
      </c>
      <c r="J45" s="446">
        <f>+COBERTURA_CAMBIOS_TF!L34/1000</f>
        <v>3.8681124999999996</v>
      </c>
      <c r="K45" s="447">
        <f>+COBERTURA_CAMBIOS_TF!M34/1000</f>
        <v>3.296745</v>
      </c>
      <c r="L45" s="447">
        <f>+COBERTURA_CAMBIOS_TF!N34/1000</f>
        <v>0.32242999999999999</v>
      </c>
      <c r="M45" s="447">
        <f>+COBERTURA_CAMBIOS_TF!O34/1000</f>
        <v>0.32242999999999999</v>
      </c>
      <c r="N45" s="447">
        <f>+COBERTURA_CAMBIOS_TF!P34/1000</f>
        <v>2.5905199999999997</v>
      </c>
      <c r="O45" s="447">
        <f>+COBERTURA_CAMBIOS_TF!Q34/1000</f>
        <v>2.5905199999999997</v>
      </c>
      <c r="P45" s="446">
        <f>+COBERTURA_CAMBIOS_TF!R34/1000</f>
        <v>2.5905199999999997</v>
      </c>
      <c r="Q45" s="446">
        <f>+COBERTURA_CAMBIOS_TF!S34/1000</f>
        <v>2.5905199999999997</v>
      </c>
      <c r="R45" s="446">
        <f>+COBERTURA_CAMBIOS_TF!T34/1000</f>
        <v>2.5905199999999997</v>
      </c>
      <c r="S45" s="446">
        <f>+COBERTURA_CAMBIOS_TF!U34/1000</f>
        <v>2.5905199999999997</v>
      </c>
      <c r="T45" s="446">
        <f>+COBERTURA_CAMBIOS_TF!V34/1000</f>
        <v>2.5905199999999997</v>
      </c>
      <c r="U45" s="446">
        <f>+COBERTURA_CAMBIOS_TF!W34/1000</f>
        <v>2.5905199999999997</v>
      </c>
      <c r="V45" s="446">
        <f>+COBERTURA_CAMBIOS_TF!X34/1000</f>
        <v>2.5905199999999997</v>
      </c>
      <c r="W45" s="447">
        <f>+COBERTURA_CAMBIOS_TF!Y34/1000</f>
        <v>2.5905199999999997</v>
      </c>
      <c r="X45" s="447">
        <f>+COBERTURA_CAMBIOS_TF!Z34/1000</f>
        <v>2.5905199999999997</v>
      </c>
      <c r="Y45" s="447">
        <f>+COBERTURA_CAMBIOS_TF!AA34/1000</f>
        <v>2.5905199999999997</v>
      </c>
      <c r="Z45" s="447">
        <f>+COBERTURA_CAMBIOS_TF!AB34/1000</f>
        <v>2.5905199999999997</v>
      </c>
      <c r="AA45" s="447">
        <f>+COBERTURA_CAMBIOS_TF!AC34/1000</f>
        <v>2.5905199999999997</v>
      </c>
      <c r="AB45" s="479">
        <f>+COBERTURA_CAMBIOS_TF!AD34/1000</f>
        <v>2.5905199999999997</v>
      </c>
    </row>
    <row r="46" spans="2:30" ht="15" thickBot="1" x14ac:dyDescent="0.35">
      <c r="B46" s="142" t="s">
        <v>35</v>
      </c>
      <c r="C46" s="391"/>
      <c r="D46" s="391"/>
      <c r="E46" s="391"/>
      <c r="F46" s="391"/>
      <c r="G46" s="391"/>
      <c r="H46" s="391"/>
      <c r="I46" s="391"/>
      <c r="J46" s="391"/>
      <c r="K46" s="391"/>
      <c r="L46" s="391"/>
      <c r="M46" s="391"/>
      <c r="N46" s="391"/>
      <c r="O46" s="391"/>
      <c r="P46" s="391"/>
      <c r="Q46" s="391"/>
      <c r="R46" s="391"/>
      <c r="S46" s="391"/>
      <c r="T46" s="391"/>
      <c r="U46" s="391"/>
      <c r="V46" s="391"/>
      <c r="W46" s="391"/>
      <c r="X46" s="391"/>
      <c r="Y46" s="391"/>
      <c r="Z46" s="391"/>
      <c r="AA46" s="391"/>
      <c r="AB46" s="391"/>
      <c r="AD46" s="417" t="s">
        <v>232</v>
      </c>
    </row>
    <row r="47" spans="2:30" x14ac:dyDescent="0.3">
      <c r="B47" s="191" t="s">
        <v>179</v>
      </c>
      <c r="C47" s="402">
        <f t="shared" ref="C47:O47" si="11">+C39/C43</f>
        <v>105.12333333333332</v>
      </c>
      <c r="D47" s="402">
        <f t="shared" si="11"/>
        <v>105.12333333333332</v>
      </c>
      <c r="E47" s="402">
        <f t="shared" si="11"/>
        <v>105.12333333333332</v>
      </c>
      <c r="F47" s="402">
        <f t="shared" si="11"/>
        <v>105.12333333333332</v>
      </c>
      <c r="G47" s="402">
        <f t="shared" si="11"/>
        <v>105.12333333333332</v>
      </c>
      <c r="H47" s="402">
        <f t="shared" si="11"/>
        <v>105.12333333333332</v>
      </c>
      <c r="I47" s="402">
        <f t="shared" si="11"/>
        <v>105.12333333333333</v>
      </c>
      <c r="J47" s="402">
        <f t="shared" si="11"/>
        <v>105.12333333333333</v>
      </c>
      <c r="K47" s="403">
        <f t="shared" si="11"/>
        <v>105.12333333333333</v>
      </c>
      <c r="L47" s="403">
        <f t="shared" si="11"/>
        <v>107.23355488720165</v>
      </c>
      <c r="M47" s="403">
        <f t="shared" si="11"/>
        <v>107.23355488720165</v>
      </c>
      <c r="N47" s="403">
        <f t="shared" si="11"/>
        <v>105.13454066026611</v>
      </c>
      <c r="O47" s="403">
        <f t="shared" si="11"/>
        <v>105.13454066026611</v>
      </c>
      <c r="P47" s="340">
        <f>IF(AD47="CONSTANTE",O47,AVERAGE(C47:O47))</f>
        <v>105.44970700730272</v>
      </c>
      <c r="Q47" s="412">
        <f t="shared" ref="Q47:AB47" si="12">+P47</f>
        <v>105.44970700730272</v>
      </c>
      <c r="R47" s="412">
        <f t="shared" si="12"/>
        <v>105.44970700730272</v>
      </c>
      <c r="S47" s="412">
        <f t="shared" si="12"/>
        <v>105.44970700730272</v>
      </c>
      <c r="T47" s="412">
        <f t="shared" si="12"/>
        <v>105.44970700730272</v>
      </c>
      <c r="U47" s="412">
        <f t="shared" si="12"/>
        <v>105.44970700730272</v>
      </c>
      <c r="V47" s="412">
        <f t="shared" si="12"/>
        <v>105.44970700730272</v>
      </c>
      <c r="W47" s="412">
        <f t="shared" si="12"/>
        <v>105.44970700730272</v>
      </c>
      <c r="X47" s="412">
        <f t="shared" si="12"/>
        <v>105.44970700730272</v>
      </c>
      <c r="Y47" s="412">
        <f t="shared" si="12"/>
        <v>105.44970700730272</v>
      </c>
      <c r="Z47" s="412">
        <f t="shared" si="12"/>
        <v>105.44970700730272</v>
      </c>
      <c r="AA47" s="412">
        <f t="shared" si="12"/>
        <v>105.44970700730272</v>
      </c>
      <c r="AB47" s="410">
        <f t="shared" si="12"/>
        <v>105.44970700730272</v>
      </c>
      <c r="AD47" s="418" t="s">
        <v>234</v>
      </c>
    </row>
    <row r="48" spans="2:30" x14ac:dyDescent="0.3">
      <c r="B48" s="185" t="s">
        <v>180</v>
      </c>
      <c r="C48" s="404">
        <f t="shared" ref="C48:O48" si="13">+C40/C44</f>
        <v>-6.8400177083333329</v>
      </c>
      <c r="D48" s="404">
        <f t="shared" si="13"/>
        <v>-6.8400177083333329</v>
      </c>
      <c r="E48" s="404">
        <f t="shared" si="13"/>
        <v>-6.8400177083333329</v>
      </c>
      <c r="F48" s="404">
        <f t="shared" si="13"/>
        <v>-6.8400177083333329</v>
      </c>
      <c r="G48" s="404">
        <f t="shared" si="13"/>
        <v>-6.8400177083333329</v>
      </c>
      <c r="H48" s="404">
        <f t="shared" si="13"/>
        <v>-5.8538079818145672</v>
      </c>
      <c r="I48" s="404">
        <f t="shared" si="13"/>
        <v>-5.849313489553662</v>
      </c>
      <c r="J48" s="404">
        <f t="shared" si="13"/>
        <v>-5.9452548365324303</v>
      </c>
      <c r="K48" s="405">
        <f t="shared" si="13"/>
        <v>-6.31724557989277</v>
      </c>
      <c r="L48" s="405">
        <f t="shared" si="13"/>
        <v>-4.8006451310861422</v>
      </c>
      <c r="M48" s="405">
        <f t="shared" si="13"/>
        <v>-4.8006451310861422</v>
      </c>
      <c r="N48" s="405">
        <f t="shared" si="13"/>
        <v>-6.8923992517565464</v>
      </c>
      <c r="O48" s="405">
        <f t="shared" si="13"/>
        <v>-6.8923992517565464</v>
      </c>
      <c r="P48" s="375">
        <f t="shared" ref="P48:P49" si="14">IF(AD48="CONSTANTE",O48,AVERAGE(C48:O48))</f>
        <v>-6.2732153227034972</v>
      </c>
      <c r="Q48" s="413">
        <f t="shared" ref="Q48:AB49" si="15">+P48</f>
        <v>-6.2732153227034972</v>
      </c>
      <c r="R48" s="413">
        <f t="shared" si="15"/>
        <v>-6.2732153227034972</v>
      </c>
      <c r="S48" s="413">
        <f t="shared" si="15"/>
        <v>-6.2732153227034972</v>
      </c>
      <c r="T48" s="413">
        <f t="shared" si="15"/>
        <v>-6.2732153227034972</v>
      </c>
      <c r="U48" s="413">
        <f t="shared" si="15"/>
        <v>-6.2732153227034972</v>
      </c>
      <c r="V48" s="413">
        <f t="shared" si="15"/>
        <v>-6.2732153227034972</v>
      </c>
      <c r="W48" s="413">
        <f t="shared" si="15"/>
        <v>-6.2732153227034972</v>
      </c>
      <c r="X48" s="413">
        <f t="shared" si="15"/>
        <v>-6.2732153227034972</v>
      </c>
      <c r="Y48" s="413">
        <f t="shared" si="15"/>
        <v>-6.2732153227034972</v>
      </c>
      <c r="Z48" s="413">
        <f t="shared" si="15"/>
        <v>-6.2732153227034972</v>
      </c>
      <c r="AA48" s="413">
        <f t="shared" si="15"/>
        <v>-6.2732153227034972</v>
      </c>
      <c r="AB48" s="411">
        <f t="shared" si="15"/>
        <v>-6.2732153227034972</v>
      </c>
      <c r="AD48" s="418" t="s">
        <v>234</v>
      </c>
    </row>
    <row r="49" spans="2:30" ht="15" thickBot="1" x14ac:dyDescent="0.35">
      <c r="B49" s="186" t="s">
        <v>181</v>
      </c>
      <c r="C49" s="406">
        <f t="shared" ref="C49:O49" si="16">+C41/C45</f>
        <v>-6.8933333333333326</v>
      </c>
      <c r="D49" s="406">
        <f t="shared" si="16"/>
        <v>-6.8933333333333326</v>
      </c>
      <c r="E49" s="406">
        <f t="shared" si="16"/>
        <v>-6.8933333333333326</v>
      </c>
      <c r="F49" s="406">
        <f t="shared" si="16"/>
        <v>-6.8933333333333326</v>
      </c>
      <c r="G49" s="406">
        <f t="shared" si="16"/>
        <v>-6.8933333333333326</v>
      </c>
      <c r="H49" s="406">
        <f t="shared" si="16"/>
        <v>-6.8933333333333318</v>
      </c>
      <c r="I49" s="406">
        <f t="shared" si="16"/>
        <v>-6.8933333333333318</v>
      </c>
      <c r="J49" s="406">
        <f t="shared" si="16"/>
        <v>-6.8933333333333326</v>
      </c>
      <c r="K49" s="407">
        <f t="shared" si="16"/>
        <v>-6.8933333333333318</v>
      </c>
      <c r="L49" s="407">
        <f t="shared" si="16"/>
        <v>-6.5883734040463553</v>
      </c>
      <c r="M49" s="407">
        <f t="shared" si="16"/>
        <v>-6.5883734040463553</v>
      </c>
      <c r="N49" s="407">
        <f t="shared" si="16"/>
        <v>-6.1323393572204283</v>
      </c>
      <c r="O49" s="407">
        <f t="shared" si="16"/>
        <v>-6.1323393572204283</v>
      </c>
      <c r="P49" s="375">
        <f t="shared" si="14"/>
        <v>-6.7293404248102737</v>
      </c>
      <c r="Q49" s="413">
        <f t="shared" si="15"/>
        <v>-6.7293404248102737</v>
      </c>
      <c r="R49" s="413">
        <f t="shared" si="15"/>
        <v>-6.7293404248102737</v>
      </c>
      <c r="S49" s="413">
        <f t="shared" si="15"/>
        <v>-6.7293404248102737</v>
      </c>
      <c r="T49" s="413">
        <f t="shared" si="15"/>
        <v>-6.7293404248102737</v>
      </c>
      <c r="U49" s="413">
        <f t="shared" si="15"/>
        <v>-6.7293404248102737</v>
      </c>
      <c r="V49" s="413">
        <f t="shared" si="15"/>
        <v>-6.7293404248102737</v>
      </c>
      <c r="W49" s="413">
        <f t="shared" si="15"/>
        <v>-6.7293404248102737</v>
      </c>
      <c r="X49" s="413">
        <f t="shared" si="15"/>
        <v>-6.7293404248102737</v>
      </c>
      <c r="Y49" s="413">
        <f t="shared" si="15"/>
        <v>-6.7293404248102737</v>
      </c>
      <c r="Z49" s="413">
        <f t="shared" si="15"/>
        <v>-6.7293404248102737</v>
      </c>
      <c r="AA49" s="413">
        <f t="shared" si="15"/>
        <v>-6.7293404248102737</v>
      </c>
      <c r="AB49" s="411">
        <f t="shared" si="15"/>
        <v>-6.7293404248102737</v>
      </c>
      <c r="AD49" s="418" t="s">
        <v>234</v>
      </c>
    </row>
    <row r="50" spans="2:30" ht="15" thickBot="1" x14ac:dyDescent="0.35"/>
    <row r="51" spans="2:30" x14ac:dyDescent="0.3">
      <c r="B51" s="191" t="s">
        <v>231</v>
      </c>
      <c r="C51" s="367">
        <v>2010</v>
      </c>
      <c r="D51" s="367">
        <v>2011</v>
      </c>
      <c r="E51" s="367">
        <v>2012</v>
      </c>
      <c r="F51" s="367">
        <v>2013</v>
      </c>
      <c r="G51" s="367">
        <v>2014</v>
      </c>
      <c r="H51" s="367">
        <v>2015</v>
      </c>
      <c r="I51" s="367">
        <v>2016</v>
      </c>
      <c r="J51" s="367">
        <v>2017</v>
      </c>
      <c r="K51" s="367">
        <v>2018</v>
      </c>
      <c r="L51" s="367">
        <v>2019</v>
      </c>
      <c r="M51" s="367">
        <v>2020</v>
      </c>
      <c r="N51" s="367">
        <v>2021</v>
      </c>
      <c r="O51" s="367">
        <v>2022</v>
      </c>
      <c r="P51" s="367">
        <v>2023</v>
      </c>
      <c r="Q51" s="367">
        <v>2024</v>
      </c>
      <c r="R51" s="367">
        <v>2025</v>
      </c>
      <c r="S51" s="367">
        <v>2026</v>
      </c>
      <c r="T51" s="367">
        <v>2027</v>
      </c>
      <c r="U51" s="367">
        <v>2028</v>
      </c>
      <c r="V51" s="367">
        <v>2029</v>
      </c>
      <c r="W51" s="367">
        <v>2030</v>
      </c>
      <c r="X51" s="367">
        <v>2031</v>
      </c>
      <c r="Y51" s="367">
        <v>2032</v>
      </c>
      <c r="Z51" s="367">
        <v>2033</v>
      </c>
      <c r="AA51" s="367">
        <v>2034</v>
      </c>
      <c r="AB51" s="368">
        <v>2035</v>
      </c>
    </row>
    <row r="52" spans="2:30" x14ac:dyDescent="0.3">
      <c r="B52" s="390" t="s">
        <v>177</v>
      </c>
      <c r="C52" s="363">
        <f>+C3</f>
        <v>0</v>
      </c>
      <c r="D52" s="363">
        <f t="shared" ref="D52:N52" si="17">+D3</f>
        <v>0</v>
      </c>
      <c r="E52" s="363">
        <f t="shared" si="17"/>
        <v>0</v>
      </c>
      <c r="F52" s="363">
        <f t="shared" si="17"/>
        <v>0</v>
      </c>
      <c r="G52" s="363">
        <f t="shared" si="17"/>
        <v>0</v>
      </c>
      <c r="H52" s="363">
        <f t="shared" si="17"/>
        <v>0</v>
      </c>
      <c r="I52" s="363">
        <f t="shared" si="17"/>
        <v>0</v>
      </c>
      <c r="J52" s="363">
        <f t="shared" si="17"/>
        <v>264.19454804999998</v>
      </c>
      <c r="K52" s="364">
        <f t="shared" si="17"/>
        <v>528.38909609999996</v>
      </c>
      <c r="L52" s="364">
        <f t="shared" si="17"/>
        <v>1404.7195637145001</v>
      </c>
      <c r="M52" s="364">
        <f t="shared" si="17"/>
        <v>1404.7195637145001</v>
      </c>
      <c r="N52" s="364">
        <f t="shared" si="17"/>
        <v>188.01656284649997</v>
      </c>
      <c r="O52" s="364">
        <f>+O3</f>
        <v>188.01656284649997</v>
      </c>
      <c r="P52" s="346">
        <f t="shared" ref="P52:AB52" si="18">+P3</f>
        <v>85.911088783010172</v>
      </c>
      <c r="Q52" s="346">
        <f t="shared" si="18"/>
        <v>85.263072676428877</v>
      </c>
      <c r="R52" s="346">
        <f t="shared" si="18"/>
        <v>84.619945728713446</v>
      </c>
      <c r="S52" s="346">
        <f t="shared" si="18"/>
        <v>83.981671042318595</v>
      </c>
      <c r="T52" s="346">
        <f t="shared" si="18"/>
        <v>83.348211998223704</v>
      </c>
      <c r="U52" s="346">
        <f t="shared" si="18"/>
        <v>82.719612865779325</v>
      </c>
      <c r="V52" s="346">
        <f t="shared" si="18"/>
        <v>82.095595133057387</v>
      </c>
      <c r="W52" s="346">
        <f t="shared" si="18"/>
        <v>81.476286698202443</v>
      </c>
      <c r="X52" s="346">
        <f t="shared" si="18"/>
        <v>80.861888239680425</v>
      </c>
      <c r="Y52" s="346">
        <f t="shared" si="18"/>
        <v>80.251966517152553</v>
      </c>
      <c r="Z52" s="346">
        <f t="shared" si="18"/>
        <v>79.646646469075463</v>
      </c>
      <c r="AA52" s="346">
        <f t="shared" si="18"/>
        <v>79.04589336801665</v>
      </c>
      <c r="AB52" s="347">
        <f t="shared" si="18"/>
        <v>78.449749067650245</v>
      </c>
    </row>
    <row r="53" spans="2:30" ht="15" thickBot="1" x14ac:dyDescent="0.35">
      <c r="B53" s="416" t="s">
        <v>178</v>
      </c>
      <c r="C53" s="365">
        <f>+C38</f>
        <v>6968.2960690456666</v>
      </c>
      <c r="D53" s="365">
        <f t="shared" ref="D53:O53" si="19">+D38</f>
        <v>6968.2960690456666</v>
      </c>
      <c r="E53" s="365">
        <f t="shared" si="19"/>
        <v>6968.2960690456666</v>
      </c>
      <c r="F53" s="365">
        <f t="shared" si="19"/>
        <v>6968.2960690456666</v>
      </c>
      <c r="G53" s="365">
        <f t="shared" si="19"/>
        <v>6968.2960690456666</v>
      </c>
      <c r="H53" s="365">
        <f t="shared" si="19"/>
        <v>4614.7869721066663</v>
      </c>
      <c r="I53" s="365">
        <f t="shared" si="19"/>
        <v>2261.2778751676669</v>
      </c>
      <c r="J53" s="365">
        <f t="shared" si="19"/>
        <v>1960.7604271630832</v>
      </c>
      <c r="K53" s="366">
        <f t="shared" si="19"/>
        <v>1660.2429791585</v>
      </c>
      <c r="L53" s="366">
        <f t="shared" si="19"/>
        <v>808.34137411133327</v>
      </c>
      <c r="M53" s="366">
        <f t="shared" si="19"/>
        <v>808.34137411133327</v>
      </c>
      <c r="N53" s="366">
        <f t="shared" si="19"/>
        <v>1111.6412558423335</v>
      </c>
      <c r="O53" s="366">
        <f t="shared" si="19"/>
        <v>1111.6412558423335</v>
      </c>
      <c r="P53" s="350">
        <f t="shared" ref="P53:AB53" si="20">+P38</f>
        <v>1114.8421027513384</v>
      </c>
      <c r="Q53" s="350">
        <f t="shared" si="20"/>
        <v>1114.8421027513384</v>
      </c>
      <c r="R53" s="350">
        <f t="shared" si="20"/>
        <v>1114.8421027513384</v>
      </c>
      <c r="S53" s="350">
        <f t="shared" si="20"/>
        <v>1114.8421027513384</v>
      </c>
      <c r="T53" s="350">
        <f t="shared" si="20"/>
        <v>1114.8421027513384</v>
      </c>
      <c r="U53" s="350">
        <f t="shared" si="20"/>
        <v>1114.8421027513384</v>
      </c>
      <c r="V53" s="350">
        <f t="shared" si="20"/>
        <v>1114.8421027513384</v>
      </c>
      <c r="W53" s="350">
        <f t="shared" si="20"/>
        <v>1114.8421027513384</v>
      </c>
      <c r="X53" s="350">
        <f t="shared" si="20"/>
        <v>1114.8421027513384</v>
      </c>
      <c r="Y53" s="350">
        <f t="shared" si="20"/>
        <v>1114.8421027513384</v>
      </c>
      <c r="Z53" s="350">
        <f t="shared" si="20"/>
        <v>1114.8421027513384</v>
      </c>
      <c r="AA53" s="350">
        <f t="shared" si="20"/>
        <v>1114.8421027513384</v>
      </c>
      <c r="AB53" s="351">
        <f t="shared" si="20"/>
        <v>1114.8421027513384</v>
      </c>
    </row>
  </sheetData>
  <dataValidations count="1">
    <dataValidation type="list" allowBlank="1" showInputMessage="1" showErrorMessage="1" sqref="AD26:AD35 AD47:AD50" xr:uid="{771BFD1C-4FD8-4408-AE0B-B3BB30C199AB}">
      <formula1>"CONSTANTE, PROMEDIO"</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084CF-7B14-4CC2-865E-41ED7415B6D7}">
  <sheetPr>
    <tabColor theme="4"/>
  </sheetPr>
  <dimension ref="B1:AD50"/>
  <sheetViews>
    <sheetView topLeftCell="L1" workbookViewId="0">
      <pane ySplit="1" topLeftCell="A28" activePane="bottomLeft" state="frozen"/>
      <selection pane="bottomLeft" activeCell="C42" sqref="C42:AB43"/>
    </sheetView>
  </sheetViews>
  <sheetFormatPr baseColWidth="10" defaultColWidth="11.44140625" defaultRowHeight="14.4" x14ac:dyDescent="0.3"/>
  <cols>
    <col min="2" max="2" width="43.88671875" customWidth="1"/>
    <col min="3" max="3" width="12" bestFit="1" customWidth="1"/>
  </cols>
  <sheetData>
    <row r="1" spans="2:28" ht="15" thickBot="1" x14ac:dyDescent="0.35">
      <c r="B1" s="182" t="s">
        <v>130</v>
      </c>
      <c r="C1" s="183">
        <v>2010</v>
      </c>
      <c r="D1" s="183">
        <v>2011</v>
      </c>
      <c r="E1" s="183">
        <v>2012</v>
      </c>
      <c r="F1" s="183">
        <v>2013</v>
      </c>
      <c r="G1" s="183">
        <v>2014</v>
      </c>
      <c r="H1" s="183">
        <v>2015</v>
      </c>
      <c r="I1" s="183">
        <v>2016</v>
      </c>
      <c r="J1" s="183">
        <v>2017</v>
      </c>
      <c r="K1" s="183">
        <v>2018</v>
      </c>
      <c r="L1" s="183">
        <v>2019</v>
      </c>
      <c r="M1" s="183">
        <v>2020</v>
      </c>
      <c r="N1" s="183">
        <v>2021</v>
      </c>
      <c r="O1" s="183">
        <v>2022</v>
      </c>
      <c r="P1" s="183">
        <v>2023</v>
      </c>
      <c r="Q1" s="183">
        <v>2024</v>
      </c>
      <c r="R1" s="183">
        <v>2025</v>
      </c>
      <c r="S1" s="183">
        <v>2026</v>
      </c>
      <c r="T1" s="183">
        <v>2027</v>
      </c>
      <c r="U1" s="183">
        <v>2028</v>
      </c>
      <c r="V1" s="183">
        <v>2029</v>
      </c>
      <c r="W1" s="183">
        <v>2030</v>
      </c>
      <c r="X1" s="183">
        <v>2031</v>
      </c>
      <c r="Y1" s="183">
        <v>2032</v>
      </c>
      <c r="Z1" s="183">
        <v>2033</v>
      </c>
      <c r="AA1" s="183">
        <v>2034</v>
      </c>
      <c r="AB1" s="184">
        <v>2035</v>
      </c>
    </row>
    <row r="2" spans="2:28" ht="15" thickBot="1" x14ac:dyDescent="0.35">
      <c r="B2" s="131" t="s">
        <v>182</v>
      </c>
      <c r="C2" s="52"/>
      <c r="D2" s="52"/>
      <c r="E2" s="52"/>
      <c r="F2" s="52"/>
      <c r="G2" s="52"/>
      <c r="H2" s="52"/>
      <c r="I2" s="52"/>
      <c r="J2" s="52"/>
      <c r="K2" s="52"/>
      <c r="L2" s="52"/>
      <c r="M2" s="52"/>
      <c r="N2" s="52"/>
      <c r="O2" s="52"/>
      <c r="P2" s="52"/>
      <c r="Q2" s="52"/>
      <c r="R2" s="52"/>
      <c r="S2" s="52"/>
      <c r="T2" s="52"/>
      <c r="U2" s="52"/>
      <c r="V2" s="52"/>
      <c r="W2" s="52"/>
      <c r="X2" s="52"/>
      <c r="Y2" s="52"/>
      <c r="Z2" s="52"/>
      <c r="AA2" s="52"/>
      <c r="AB2" s="52"/>
    </row>
    <row r="3" spans="2:28" ht="15" thickBot="1" x14ac:dyDescent="0.35">
      <c r="B3" s="142" t="s">
        <v>166</v>
      </c>
      <c r="C3" s="187">
        <f>+DATOS_INGEI!C25/1000</f>
        <v>0</v>
      </c>
      <c r="D3" s="187">
        <f>+DATOS_INGEI!D25/1000</f>
        <v>0</v>
      </c>
      <c r="E3" s="187">
        <f>+DATOS_INGEI!E25/1000</f>
        <v>0</v>
      </c>
      <c r="F3" s="187">
        <f>+DATOS_INGEI!F25/1000</f>
        <v>0</v>
      </c>
      <c r="G3" s="187">
        <f>+DATOS_INGEI!G25/1000</f>
        <v>0</v>
      </c>
      <c r="H3" s="187">
        <f>+DATOS_INGEI!H25/1000</f>
        <v>0</v>
      </c>
      <c r="I3" s="187">
        <f>+DATOS_INGEI!I25/1000</f>
        <v>0</v>
      </c>
      <c r="J3" s="187">
        <f>+DATOS_INGEI!J25/1000</f>
        <v>0</v>
      </c>
      <c r="K3" s="187">
        <f>+DATOS_INGEI!K25/1000</f>
        <v>0</v>
      </c>
      <c r="L3" s="187">
        <f>+DATOS_INGEI!L25/1000</f>
        <v>0</v>
      </c>
      <c r="M3" s="187">
        <f>+DATOS_INGEI!M25/1000</f>
        <v>0</v>
      </c>
      <c r="N3" s="187">
        <f>+DATOS_INGEI!N25/1000</f>
        <v>2.2652626919999999</v>
      </c>
      <c r="O3" s="187">
        <f>+DATOS_INGEI!O25/1000</f>
        <v>2.2652626919999999</v>
      </c>
      <c r="P3" s="392">
        <f>+SUM(P4:P13)</f>
        <v>0.29680805334612304</v>
      </c>
      <c r="Q3" s="392">
        <f t="shared" ref="Q3:AA3" si="0">+SUM(Q4:Q13)</f>
        <v>0.29456926901855929</v>
      </c>
      <c r="R3" s="392">
        <f t="shared" si="0"/>
        <v>0.292347375894984</v>
      </c>
      <c r="S3" s="392">
        <f t="shared" si="0"/>
        <v>0.29014224650071613</v>
      </c>
      <c r="T3" s="392">
        <f t="shared" si="0"/>
        <v>0.28795375432333042</v>
      </c>
      <c r="U3" s="392">
        <f t="shared" si="0"/>
        <v>0.28578205230582826</v>
      </c>
      <c r="V3" s="392">
        <f t="shared" si="0"/>
        <v>0.2836261782373426</v>
      </c>
      <c r="W3" s="392">
        <f t="shared" si="0"/>
        <v>0.28148657398399185</v>
      </c>
      <c r="X3" s="392">
        <f t="shared" si="0"/>
        <v>0.27936393285540173</v>
      </c>
      <c r="Y3" s="392">
        <f t="shared" si="0"/>
        <v>0.27725675808062661</v>
      </c>
      <c r="Z3" s="392">
        <f t="shared" si="0"/>
        <v>0.27516548130057172</v>
      </c>
      <c r="AA3" s="392">
        <f t="shared" si="0"/>
        <v>0.27308998253792338</v>
      </c>
      <c r="AB3" s="393">
        <f>+SUM(AB4:AB13)</f>
        <v>0.2710304063899357</v>
      </c>
    </row>
    <row r="4" spans="2:28" x14ac:dyDescent="0.3">
      <c r="B4" s="191" t="s">
        <v>2</v>
      </c>
      <c r="C4" s="192">
        <f>+C$3*COBERTURA_BOSQUE!C35</f>
        <v>0</v>
      </c>
      <c r="D4" s="192">
        <f>+D$3*COBERTURA_BOSQUE!D35</f>
        <v>0</v>
      </c>
      <c r="E4" s="192">
        <f>+E$3*COBERTURA_BOSQUE!E35</f>
        <v>0</v>
      </c>
      <c r="F4" s="192">
        <f>+F$3*COBERTURA_BOSQUE!F35</f>
        <v>0</v>
      </c>
      <c r="G4" s="192">
        <f>+G$3*COBERTURA_BOSQUE!G35</f>
        <v>0</v>
      </c>
      <c r="H4" s="192">
        <f>+H$3*COBERTURA_BOSQUE!H35</f>
        <v>0</v>
      </c>
      <c r="I4" s="192">
        <f>+I$3*COBERTURA_BOSQUE!I35</f>
        <v>0</v>
      </c>
      <c r="J4" s="192">
        <f>+J$3*COBERTURA_BOSQUE!J35</f>
        <v>0</v>
      </c>
      <c r="K4" s="193">
        <f>+K$3*COBERTURA_BOSQUE!K35</f>
        <v>0</v>
      </c>
      <c r="L4" s="193">
        <f>+L$3*COBERTURA_BOSQUE!L35</f>
        <v>0</v>
      </c>
      <c r="M4" s="193">
        <f>+M$3*COBERTURA_BOSQUE!M35</f>
        <v>0</v>
      </c>
      <c r="N4" s="193">
        <f>+N$3*COBERTURA_BOSQUE!N35</f>
        <v>5.18562564256843E-3</v>
      </c>
      <c r="O4" s="193">
        <f>+O$3*COBERTURA_BOSQUE!P35</f>
        <v>5.18562564256843E-3</v>
      </c>
      <c r="P4" s="395">
        <f>+P15*P26</f>
        <v>6.7945119909849038E-4</v>
      </c>
      <c r="Q4" s="395">
        <f t="shared" ref="Q4:AA4" si="1">+Q15*Q26</f>
        <v>6.7432618756751235E-4</v>
      </c>
      <c r="R4" s="395">
        <f t="shared" si="1"/>
        <v>6.6923984327845929E-4</v>
      </c>
      <c r="S4" s="395">
        <f t="shared" si="1"/>
        <v>6.64191874417064E-4</v>
      </c>
      <c r="T4" s="395">
        <f t="shared" si="1"/>
        <v>6.5918199137184779E-4</v>
      </c>
      <c r="U4" s="395">
        <f t="shared" si="1"/>
        <v>6.5421054425900366E-4</v>
      </c>
      <c r="V4" s="395">
        <f t="shared" si="1"/>
        <v>6.4927533039123937E-4</v>
      </c>
      <c r="W4" s="395">
        <f t="shared" si="1"/>
        <v>6.4437736128579806E-4</v>
      </c>
      <c r="X4" s="395">
        <f t="shared" si="1"/>
        <v>6.3951822406287898E-4</v>
      </c>
      <c r="Y4" s="395">
        <f t="shared" si="1"/>
        <v>6.3469449232349327E-4</v>
      </c>
      <c r="Z4" s="395">
        <f t="shared" si="1"/>
        <v>6.2990715417738795E-4</v>
      </c>
      <c r="AA4" s="395">
        <f t="shared" si="1"/>
        <v>6.2515593497322315E-4</v>
      </c>
      <c r="AB4" s="396">
        <f>+AB15*AB26</f>
        <v>6.2044116572215779E-4</v>
      </c>
    </row>
    <row r="5" spans="2:28" x14ac:dyDescent="0.3">
      <c r="B5" s="185" t="s">
        <v>4</v>
      </c>
      <c r="C5" s="189">
        <f>+C$3*COBERTURA_BOSQUE!C36</f>
        <v>0</v>
      </c>
      <c r="D5" s="189">
        <f>+D$3*COBERTURA_BOSQUE!D36</f>
        <v>0</v>
      </c>
      <c r="E5" s="189">
        <f>+E$3*COBERTURA_BOSQUE!E36</f>
        <v>0</v>
      </c>
      <c r="F5" s="189">
        <f>+F$3*COBERTURA_BOSQUE!F36</f>
        <v>0</v>
      </c>
      <c r="G5" s="189">
        <f>+G$3*COBERTURA_BOSQUE!G36</f>
        <v>0</v>
      </c>
      <c r="H5" s="189">
        <f>+H$3*COBERTURA_BOSQUE!H36</f>
        <v>0</v>
      </c>
      <c r="I5" s="189">
        <f>+I$3*COBERTURA_BOSQUE!I36</f>
        <v>0</v>
      </c>
      <c r="J5" s="189">
        <f>+J$3*COBERTURA_BOSQUE!J36</f>
        <v>0</v>
      </c>
      <c r="K5" s="190">
        <f>+K$3*COBERTURA_BOSQUE!K36</f>
        <v>0</v>
      </c>
      <c r="L5" s="190">
        <f>+L$3*COBERTURA_BOSQUE!L36</f>
        <v>0</v>
      </c>
      <c r="M5" s="190">
        <f>+M$3*COBERTURA_BOSQUE!M36</f>
        <v>0</v>
      </c>
      <c r="N5" s="190">
        <f>+N$3*COBERTURA_BOSQUE!N36</f>
        <v>5.3010899583061474E-2</v>
      </c>
      <c r="O5" s="190">
        <f>+O$3*COBERTURA_BOSQUE!P36</f>
        <v>5.3010899583061474E-2</v>
      </c>
      <c r="P5" s="398">
        <f t="shared" ref="P5:AA13" si="2">+P16*P27</f>
        <v>6.9458001347665688E-3</v>
      </c>
      <c r="Q5" s="398">
        <f t="shared" si="2"/>
        <v>6.893408872774863E-3</v>
      </c>
      <c r="R5" s="398">
        <f t="shared" si="2"/>
        <v>6.8414128929381226E-3</v>
      </c>
      <c r="S5" s="398">
        <f t="shared" si="2"/>
        <v>6.7898092121376511E-3</v>
      </c>
      <c r="T5" s="398">
        <f t="shared" si="2"/>
        <v>6.73859486977311E-3</v>
      </c>
      <c r="U5" s="398">
        <f t="shared" si="2"/>
        <v>6.687773444964097E-3</v>
      </c>
      <c r="V5" s="398">
        <f t="shared" si="2"/>
        <v>6.6373224203823446E-3</v>
      </c>
      <c r="W5" s="398">
        <f t="shared" si="2"/>
        <v>6.5872521364270069E-3</v>
      </c>
      <c r="X5" s="398">
        <f t="shared" si="2"/>
        <v>6.5375788176918539E-3</v>
      </c>
      <c r="Y5" s="398">
        <f t="shared" si="2"/>
        <v>6.4882674372572354E-3</v>
      </c>
      <c r="Z5" s="398">
        <f t="shared" si="2"/>
        <v>6.4393280962353775E-3</v>
      </c>
      <c r="AA5" s="398">
        <f t="shared" si="2"/>
        <v>6.3907579869583913E-3</v>
      </c>
      <c r="AB5" s="399">
        <f t="shared" ref="AB5" si="3">+AB16*AB27</f>
        <v>6.3425604932415601E-3</v>
      </c>
    </row>
    <row r="6" spans="2:28" x14ac:dyDescent="0.3">
      <c r="B6" s="185" t="s">
        <v>5</v>
      </c>
      <c r="C6" s="189">
        <f>+C$3*COBERTURA_BOSQUE!C37</f>
        <v>0</v>
      </c>
      <c r="D6" s="189">
        <f>+D$3*COBERTURA_BOSQUE!D37</f>
        <v>0</v>
      </c>
      <c r="E6" s="189">
        <f>+E$3*COBERTURA_BOSQUE!E37</f>
        <v>0</v>
      </c>
      <c r="F6" s="189">
        <f>+F$3*COBERTURA_BOSQUE!F37</f>
        <v>0</v>
      </c>
      <c r="G6" s="189">
        <f>+G$3*COBERTURA_BOSQUE!G37</f>
        <v>0</v>
      </c>
      <c r="H6" s="189">
        <f>+H$3*COBERTURA_BOSQUE!H37</f>
        <v>0</v>
      </c>
      <c r="I6" s="189">
        <f>+I$3*COBERTURA_BOSQUE!I37</f>
        <v>0</v>
      </c>
      <c r="J6" s="189">
        <f>+J$3*COBERTURA_BOSQUE!J37</f>
        <v>0</v>
      </c>
      <c r="K6" s="190">
        <f>+K$3*COBERTURA_BOSQUE!K37</f>
        <v>0</v>
      </c>
      <c r="L6" s="190">
        <f>+L$3*COBERTURA_BOSQUE!L37</f>
        <v>0</v>
      </c>
      <c r="M6" s="190">
        <f>+M$3*COBERTURA_BOSQUE!M37</f>
        <v>0</v>
      </c>
      <c r="N6" s="190">
        <f>+N$3*COBERTURA_BOSQUE!N37</f>
        <v>0.47825578194289453</v>
      </c>
      <c r="O6" s="190">
        <f>+O$3*COBERTURA_BOSQUE!P37</f>
        <v>0.47825578194289453</v>
      </c>
      <c r="P6" s="398">
        <f t="shared" si="2"/>
        <v>6.2663888007916058E-2</v>
      </c>
      <c r="Q6" s="398">
        <f t="shared" si="2"/>
        <v>6.2191222496334637E-2</v>
      </c>
      <c r="R6" s="398">
        <f t="shared" si="2"/>
        <v>6.1722123156570705E-2</v>
      </c>
      <c r="S6" s="398">
        <f t="shared" si="2"/>
        <v>6.1256563075408679E-2</v>
      </c>
      <c r="T6" s="398">
        <f t="shared" si="2"/>
        <v>6.0794515542790119E-2</v>
      </c>
      <c r="U6" s="398">
        <f t="shared" si="2"/>
        <v>6.0336012848954436E-2</v>
      </c>
      <c r="V6" s="398">
        <f t="shared" si="2"/>
        <v>5.9880851846199533E-2</v>
      </c>
      <c r="W6" s="398">
        <f t="shared" si="2"/>
        <v>5.9429125823937973E-2</v>
      </c>
      <c r="X6" s="398">
        <f t="shared" si="2"/>
        <v>5.8980981157836697E-2</v>
      </c>
      <c r="Y6" s="398">
        <f t="shared" si="2"/>
        <v>5.8536101840678735E-2</v>
      </c>
      <c r="Z6" s="398">
        <f t="shared" si="2"/>
        <v>5.8094579003068608E-2</v>
      </c>
      <c r="AA6" s="398">
        <f t="shared" si="2"/>
        <v>5.7656387314679695E-2</v>
      </c>
      <c r="AB6" s="399">
        <f t="shared" ref="AB6" si="4">+AB17*AB28</f>
        <v>5.7221557303747443E-2</v>
      </c>
    </row>
    <row r="7" spans="2:28" x14ac:dyDescent="0.3">
      <c r="B7" s="185" t="s">
        <v>6</v>
      </c>
      <c r="C7" s="189">
        <f>+C$3*COBERTURA_BOSQUE!C38</f>
        <v>0</v>
      </c>
      <c r="D7" s="189">
        <f>+D$3*COBERTURA_BOSQUE!D38</f>
        <v>0</v>
      </c>
      <c r="E7" s="189">
        <f>+E$3*COBERTURA_BOSQUE!E38</f>
        <v>0</v>
      </c>
      <c r="F7" s="189">
        <f>+F$3*COBERTURA_BOSQUE!F38</f>
        <v>0</v>
      </c>
      <c r="G7" s="189">
        <f>+G$3*COBERTURA_BOSQUE!G38</f>
        <v>0</v>
      </c>
      <c r="H7" s="189">
        <f>+H$3*COBERTURA_BOSQUE!H38</f>
        <v>0</v>
      </c>
      <c r="I7" s="189">
        <f>+I$3*COBERTURA_BOSQUE!I38</f>
        <v>0</v>
      </c>
      <c r="J7" s="189">
        <f>+J$3*COBERTURA_BOSQUE!J38</f>
        <v>0</v>
      </c>
      <c r="K7" s="190">
        <f>+K$3*COBERTURA_BOSQUE!K38</f>
        <v>0</v>
      </c>
      <c r="L7" s="190">
        <f>+L$3*COBERTURA_BOSQUE!L38</f>
        <v>0</v>
      </c>
      <c r="M7" s="190">
        <f>+M$3*COBERTURA_BOSQUE!M38</f>
        <v>0</v>
      </c>
      <c r="N7" s="190">
        <f>+N$3*COBERTURA_BOSQUE!N38</f>
        <v>0.1959181471224988</v>
      </c>
      <c r="O7" s="190">
        <f>+O$3*COBERTURA_BOSQUE!P38</f>
        <v>0.1959181471224988</v>
      </c>
      <c r="P7" s="398">
        <f t="shared" si="2"/>
        <v>2.5670348992181343E-2</v>
      </c>
      <c r="Q7" s="398">
        <f t="shared" si="2"/>
        <v>2.5476720907097801E-2</v>
      </c>
      <c r="R7" s="398">
        <f t="shared" si="2"/>
        <v>2.5284553709265759E-2</v>
      </c>
      <c r="S7" s="398">
        <f t="shared" si="2"/>
        <v>2.5093836373648992E-2</v>
      </c>
      <c r="T7" s="398">
        <f t="shared" si="2"/>
        <v>2.4904557958434843E-2</v>
      </c>
      <c r="U7" s="398">
        <f t="shared" si="2"/>
        <v>2.4716731691364881E-2</v>
      </c>
      <c r="V7" s="398">
        <f t="shared" si="2"/>
        <v>2.4530274352700002E-2</v>
      </c>
      <c r="W7" s="398">
        <f t="shared" si="2"/>
        <v>2.4345224158578007E-2</v>
      </c>
      <c r="X7" s="398">
        <f t="shared" si="2"/>
        <v>2.4161641071994693E-2</v>
      </c>
      <c r="Y7" s="398">
        <f t="shared" si="2"/>
        <v>2.3979395640153538E-2</v>
      </c>
      <c r="Z7" s="398">
        <f t="shared" si="2"/>
        <v>2.3798525194833609E-2</v>
      </c>
      <c r="AA7" s="398">
        <f t="shared" si="2"/>
        <v>2.3619019359431316E-2</v>
      </c>
      <c r="AB7" s="399">
        <f t="shared" ref="AB7" si="5">+AB18*AB29</f>
        <v>2.3440890639880835E-2</v>
      </c>
    </row>
    <row r="8" spans="2:28" x14ac:dyDescent="0.3">
      <c r="B8" s="185" t="s">
        <v>7</v>
      </c>
      <c r="C8" s="189">
        <f>+C$3*COBERTURA_BOSQUE!C39</f>
        <v>0</v>
      </c>
      <c r="D8" s="189">
        <f>+D$3*COBERTURA_BOSQUE!D39</f>
        <v>0</v>
      </c>
      <c r="E8" s="189">
        <f>+E$3*COBERTURA_BOSQUE!E39</f>
        <v>0</v>
      </c>
      <c r="F8" s="189">
        <f>+F$3*COBERTURA_BOSQUE!F39</f>
        <v>0</v>
      </c>
      <c r="G8" s="189">
        <f>+G$3*COBERTURA_BOSQUE!G39</f>
        <v>0</v>
      </c>
      <c r="H8" s="189">
        <f>+H$3*COBERTURA_BOSQUE!H39</f>
        <v>0</v>
      </c>
      <c r="I8" s="189">
        <f>+I$3*COBERTURA_BOSQUE!I39</f>
        <v>0</v>
      </c>
      <c r="J8" s="189">
        <f>+J$3*COBERTURA_BOSQUE!J39</f>
        <v>0</v>
      </c>
      <c r="K8" s="190">
        <f>+K$3*COBERTURA_BOSQUE!K39</f>
        <v>0</v>
      </c>
      <c r="L8" s="190">
        <f>+L$3*COBERTURA_BOSQUE!L39</f>
        <v>0</v>
      </c>
      <c r="M8" s="190">
        <f>+M$3*COBERTURA_BOSQUE!M39</f>
        <v>0</v>
      </c>
      <c r="N8" s="190">
        <f>+N$3*COBERTURA_BOSQUE!N39</f>
        <v>0.14266042164709947</v>
      </c>
      <c r="O8" s="190">
        <f>+O$3*COBERTURA_BOSQUE!P39</f>
        <v>0.14266042164709947</v>
      </c>
      <c r="P8" s="398">
        <f t="shared" si="2"/>
        <v>1.8692208275954202E-2</v>
      </c>
      <c r="Q8" s="398">
        <f t="shared" si="2"/>
        <v>1.8551215393638572E-2</v>
      </c>
      <c r="R8" s="398">
        <f t="shared" si="2"/>
        <v>1.8411286275932495E-2</v>
      </c>
      <c r="S8" s="398">
        <f t="shared" si="2"/>
        <v>1.8272412894808243E-2</v>
      </c>
      <c r="T8" s="398">
        <f t="shared" si="2"/>
        <v>1.8134587282838462E-2</v>
      </c>
      <c r="U8" s="398">
        <f t="shared" si="2"/>
        <v>1.7997819071980239E-2</v>
      </c>
      <c r="V8" s="398">
        <f t="shared" si="2"/>
        <v>1.7862047664666474E-2</v>
      </c>
      <c r="W8" s="398">
        <f t="shared" si="2"/>
        <v>1.7727300888489502E-2</v>
      </c>
      <c r="X8" s="398">
        <f t="shared" si="2"/>
        <v>1.7593622406307474E-2</v>
      </c>
      <c r="Y8" s="398">
        <f t="shared" si="2"/>
        <v>1.7460917955333565E-2</v>
      </c>
      <c r="Z8" s="398">
        <f t="shared" si="2"/>
        <v>1.7329214719202474E-2</v>
      </c>
      <c r="AA8" s="398">
        <f t="shared" si="2"/>
        <v>1.7198505142051394E-2</v>
      </c>
      <c r="AB8" s="399">
        <f t="shared" ref="AB8" si="6">+AB19*AB30</f>
        <v>1.70687983302437E-2</v>
      </c>
    </row>
    <row r="9" spans="2:28" x14ac:dyDescent="0.3">
      <c r="B9" s="185" t="s">
        <v>8</v>
      </c>
      <c r="C9" s="189">
        <f>+C$3*COBERTURA_BOSQUE!C40</f>
        <v>0</v>
      </c>
      <c r="D9" s="189">
        <f>+D$3*COBERTURA_BOSQUE!D40</f>
        <v>0</v>
      </c>
      <c r="E9" s="189">
        <f>+E$3*COBERTURA_BOSQUE!E40</f>
        <v>0</v>
      </c>
      <c r="F9" s="189">
        <f>+F$3*COBERTURA_BOSQUE!F40</f>
        <v>0</v>
      </c>
      <c r="G9" s="189">
        <f>+G$3*COBERTURA_BOSQUE!G40</f>
        <v>0</v>
      </c>
      <c r="H9" s="189">
        <f>+H$3*COBERTURA_BOSQUE!H40</f>
        <v>0</v>
      </c>
      <c r="I9" s="189">
        <f>+I$3*COBERTURA_BOSQUE!I40</f>
        <v>0</v>
      </c>
      <c r="J9" s="189">
        <f>+J$3*COBERTURA_BOSQUE!J40</f>
        <v>0</v>
      </c>
      <c r="K9" s="190">
        <f>+K$3*COBERTURA_BOSQUE!K40</f>
        <v>0</v>
      </c>
      <c r="L9" s="190">
        <f>+L$3*COBERTURA_BOSQUE!L40</f>
        <v>0</v>
      </c>
      <c r="M9" s="190">
        <f>+M$3*COBERTURA_BOSQUE!M40</f>
        <v>0</v>
      </c>
      <c r="N9" s="190">
        <f>+N$3*COBERTURA_BOSQUE!N40</f>
        <v>1.1139043346723219</v>
      </c>
      <c r="O9" s="190">
        <f>+O$3*COBERTURA_BOSQUE!P40</f>
        <v>1.1139043346723219</v>
      </c>
      <c r="P9" s="398">
        <f t="shared" si="2"/>
        <v>0.14595030340432597</v>
      </c>
      <c r="Q9" s="398">
        <f t="shared" si="2"/>
        <v>0.1448494193542435</v>
      </c>
      <c r="R9" s="398">
        <f t="shared" si="2"/>
        <v>0.1437568412659406</v>
      </c>
      <c r="S9" s="398">
        <f t="shared" si="2"/>
        <v>0.14267250645591487</v>
      </c>
      <c r="T9" s="398">
        <f t="shared" si="2"/>
        <v>0.14159635271383644</v>
      </c>
      <c r="U9" s="398">
        <f t="shared" si="2"/>
        <v>0.14052845524682059</v>
      </c>
      <c r="V9" s="398">
        <f t="shared" si="2"/>
        <v>0.13946834090406701</v>
      </c>
      <c r="W9" s="398">
        <f t="shared" si="2"/>
        <v>0.1384162269657111</v>
      </c>
      <c r="X9" s="398">
        <f t="shared" si="2"/>
        <v>0.13737245435494921</v>
      </c>
      <c r="Y9" s="398">
        <f t="shared" si="2"/>
        <v>0.13633628706016993</v>
      </c>
      <c r="Z9" s="398">
        <f t="shared" si="2"/>
        <v>0.13530793733343424</v>
      </c>
      <c r="AA9" s="398">
        <f t="shared" si="2"/>
        <v>0.1342873461779423</v>
      </c>
      <c r="AB9" s="399">
        <f t="shared" ref="AB9" si="7">+AB20*AB31</f>
        <v>0.13327458469693029</v>
      </c>
    </row>
    <row r="10" spans="2:28" x14ac:dyDescent="0.3">
      <c r="B10" s="185" t="s">
        <v>9</v>
      </c>
      <c r="C10" s="189">
        <f>+C$3*COBERTURA_BOSQUE!C41</f>
        <v>0</v>
      </c>
      <c r="D10" s="189">
        <f>+D$3*COBERTURA_BOSQUE!D41</f>
        <v>0</v>
      </c>
      <c r="E10" s="189">
        <f>+E$3*COBERTURA_BOSQUE!E41</f>
        <v>0</v>
      </c>
      <c r="F10" s="189">
        <f>+F$3*COBERTURA_BOSQUE!F41</f>
        <v>0</v>
      </c>
      <c r="G10" s="189">
        <f>+G$3*COBERTURA_BOSQUE!G41</f>
        <v>0</v>
      </c>
      <c r="H10" s="189">
        <f>+H$3*COBERTURA_BOSQUE!H41</f>
        <v>0</v>
      </c>
      <c r="I10" s="189">
        <f>+I$3*COBERTURA_BOSQUE!I41</f>
        <v>0</v>
      </c>
      <c r="J10" s="189">
        <f>+J$3*COBERTURA_BOSQUE!J41</f>
        <v>0</v>
      </c>
      <c r="K10" s="190">
        <f>+K$3*COBERTURA_BOSQUE!K41</f>
        <v>0</v>
      </c>
      <c r="L10" s="190">
        <f>+L$3*COBERTURA_BOSQUE!L41</f>
        <v>0</v>
      </c>
      <c r="M10" s="190">
        <f>+M$3*COBERTURA_BOSQUE!M41</f>
        <v>0</v>
      </c>
      <c r="N10" s="190">
        <f>+N$3*COBERTURA_BOSQUE!N41</f>
        <v>9.1461353421661465E-2</v>
      </c>
      <c r="O10" s="190">
        <f>+O$3*COBERTURA_BOSQUE!P41</f>
        <v>9.1461353421661465E-2</v>
      </c>
      <c r="P10" s="398">
        <f t="shared" si="2"/>
        <v>1.1983804951785743E-2</v>
      </c>
      <c r="Q10" s="398">
        <f t="shared" si="2"/>
        <v>1.1893412678368045E-2</v>
      </c>
      <c r="R10" s="398">
        <f t="shared" si="2"/>
        <v>1.1803702397543586E-2</v>
      </c>
      <c r="S10" s="398">
        <f t="shared" si="2"/>
        <v>1.1714668962444915E-2</v>
      </c>
      <c r="T10" s="398">
        <f t="shared" si="2"/>
        <v>1.1626307265056219E-2</v>
      </c>
      <c r="U10" s="398">
        <f t="shared" si="2"/>
        <v>1.153862348054382E-2</v>
      </c>
      <c r="V10" s="398">
        <f t="shared" si="2"/>
        <v>1.145157875906109E-2</v>
      </c>
      <c r="W10" s="398">
        <f t="shared" si="2"/>
        <v>1.1365190941220219E-2</v>
      </c>
      <c r="X10" s="398">
        <f t="shared" si="2"/>
        <v>1.1279488019817346E-2</v>
      </c>
      <c r="Y10" s="398">
        <f t="shared" si="2"/>
        <v>1.119440956181884E-2</v>
      </c>
      <c r="Z10" s="398">
        <f t="shared" si="2"/>
        <v>1.1109972994987711E-2</v>
      </c>
      <c r="AA10" s="398">
        <f t="shared" si="2"/>
        <v>1.1026173475167251E-2</v>
      </c>
      <c r="AB10" s="399">
        <f t="shared" ref="AB10" si="8">+AB21*AB32</f>
        <v>1.0943016840559188E-2</v>
      </c>
    </row>
    <row r="11" spans="2:28" x14ac:dyDescent="0.3">
      <c r="B11" s="185" t="s">
        <v>10</v>
      </c>
      <c r="C11" s="189">
        <f>+C$3*COBERTURA_BOSQUE!C42</f>
        <v>0</v>
      </c>
      <c r="D11" s="189">
        <f>+D$3*COBERTURA_BOSQUE!D42</f>
        <v>0</v>
      </c>
      <c r="E11" s="189">
        <f>+E$3*COBERTURA_BOSQUE!E42</f>
        <v>0</v>
      </c>
      <c r="F11" s="189">
        <f>+F$3*COBERTURA_BOSQUE!F42</f>
        <v>0</v>
      </c>
      <c r="G11" s="189">
        <f>+G$3*COBERTURA_BOSQUE!G42</f>
        <v>0</v>
      </c>
      <c r="H11" s="189">
        <f>+H$3*COBERTURA_BOSQUE!H42</f>
        <v>0</v>
      </c>
      <c r="I11" s="189">
        <f>+I$3*COBERTURA_BOSQUE!I42</f>
        <v>0</v>
      </c>
      <c r="J11" s="189">
        <f>+J$3*COBERTURA_BOSQUE!J42</f>
        <v>0</v>
      </c>
      <c r="K11" s="190">
        <f>+K$3*COBERTURA_BOSQUE!K42</f>
        <v>0</v>
      </c>
      <c r="L11" s="190">
        <f>+L$3*COBERTURA_BOSQUE!L42</f>
        <v>0</v>
      </c>
      <c r="M11" s="190">
        <f>+M$3*COBERTURA_BOSQUE!M42</f>
        <v>0</v>
      </c>
      <c r="N11" s="190">
        <f>+N$3*COBERTURA_BOSQUE!N42</f>
        <v>3.7304177660624098E-2</v>
      </c>
      <c r="O11" s="190">
        <f>+O$3*COBERTURA_BOSQUE!P42</f>
        <v>3.7304177660624098E-2</v>
      </c>
      <c r="P11" s="398">
        <f t="shared" si="2"/>
        <v>4.8878129641344789E-3</v>
      </c>
      <c r="Q11" s="398">
        <f t="shared" si="2"/>
        <v>4.8509448302115569E-3</v>
      </c>
      <c r="R11" s="398">
        <f t="shared" si="2"/>
        <v>4.8143548593805813E-3</v>
      </c>
      <c r="S11" s="398">
        <f t="shared" si="2"/>
        <v>4.7780409523979868E-3</v>
      </c>
      <c r="T11" s="398">
        <f t="shared" si="2"/>
        <v>4.7420010258665511E-3</v>
      </c>
      <c r="U11" s="398">
        <f t="shared" si="2"/>
        <v>4.7062375984402551E-3</v>
      </c>
      <c r="V11" s="398">
        <f t="shared" si="2"/>
        <v>4.6707348245020536E-3</v>
      </c>
      <c r="W11" s="398">
        <f t="shared" si="2"/>
        <v>4.6354999806703387E-3</v>
      </c>
      <c r="X11" s="398">
        <f t="shared" si="2"/>
        <v>4.6005444843165086E-3</v>
      </c>
      <c r="Y11" s="398">
        <f t="shared" si="2"/>
        <v>4.5658436867278681E-3</v>
      </c>
      <c r="Z11" s="398">
        <f t="shared" si="2"/>
        <v>4.5314046961347594E-3</v>
      </c>
      <c r="AA11" s="398">
        <f t="shared" si="2"/>
        <v>4.4972255367597015E-3</v>
      </c>
      <c r="AB11" s="399">
        <f t="shared" ref="AB11" si="9">+AB22*AB33</f>
        <v>4.4633085898195292E-3</v>
      </c>
    </row>
    <row r="12" spans="2:28" x14ac:dyDescent="0.3">
      <c r="B12" s="185" t="s">
        <v>11</v>
      </c>
      <c r="C12" s="189">
        <f>+C$3*COBERTURA_BOSQUE!C43</f>
        <v>0</v>
      </c>
      <c r="D12" s="189">
        <f>+D$3*COBERTURA_BOSQUE!D43</f>
        <v>0</v>
      </c>
      <c r="E12" s="189">
        <f>+E$3*COBERTURA_BOSQUE!E43</f>
        <v>0</v>
      </c>
      <c r="F12" s="189">
        <f>+F$3*COBERTURA_BOSQUE!F43</f>
        <v>0</v>
      </c>
      <c r="G12" s="189">
        <f>+G$3*COBERTURA_BOSQUE!G43</f>
        <v>0</v>
      </c>
      <c r="H12" s="189">
        <f>+H$3*COBERTURA_BOSQUE!H43</f>
        <v>0</v>
      </c>
      <c r="I12" s="189">
        <f>+I$3*COBERTURA_BOSQUE!I43</f>
        <v>0</v>
      </c>
      <c r="J12" s="189">
        <f>+J$3*COBERTURA_BOSQUE!J43</f>
        <v>0</v>
      </c>
      <c r="K12" s="190">
        <f>+K$3*COBERTURA_BOSQUE!K43</f>
        <v>0</v>
      </c>
      <c r="L12" s="190">
        <f>+L$3*COBERTURA_BOSQUE!L43</f>
        <v>0</v>
      </c>
      <c r="M12" s="190">
        <f>+M$3*COBERTURA_BOSQUE!M43</f>
        <v>0</v>
      </c>
      <c r="N12" s="190">
        <f>+N$3*COBERTURA_BOSQUE!N43</f>
        <v>0.103768419486459</v>
      </c>
      <c r="O12" s="190">
        <f>+O$3*COBERTURA_BOSQUE!P43</f>
        <v>0.103768419486459</v>
      </c>
      <c r="P12" s="398">
        <f t="shared" si="2"/>
        <v>1.3596349198417731E-2</v>
      </c>
      <c r="Q12" s="398">
        <f t="shared" si="2"/>
        <v>1.3493793714648551E-2</v>
      </c>
      <c r="R12" s="398">
        <f t="shared" si="2"/>
        <v>1.3392011992592427E-2</v>
      </c>
      <c r="S12" s="398">
        <f t="shared" si="2"/>
        <v>1.329099819281794E-2</v>
      </c>
      <c r="T12" s="398">
        <f t="shared" si="2"/>
        <v>1.3190746519973196E-2</v>
      </c>
      <c r="U12" s="398">
        <f t="shared" si="2"/>
        <v>1.309126398015668E-2</v>
      </c>
      <c r="V12" s="398">
        <f t="shared" si="2"/>
        <v>1.2992506495875208E-2</v>
      </c>
      <c r="W12" s="398">
        <f t="shared" si="2"/>
        <v>1.2894494308378888E-2</v>
      </c>
      <c r="X12" s="398">
        <f t="shared" si="2"/>
        <v>1.2797259177182567E-2</v>
      </c>
      <c r="Y12" s="398">
        <f t="shared" si="2"/>
        <v>1.2700732537366199E-2</v>
      </c>
      <c r="Z12" s="398">
        <f t="shared" si="2"/>
        <v>1.260493416177761E-2</v>
      </c>
      <c r="AA12" s="398">
        <f t="shared" si="2"/>
        <v>1.2509858554428968E-2</v>
      </c>
      <c r="AB12" s="399">
        <f t="shared" ref="AB12" si="10">+AB23*AB34</f>
        <v>1.2415512339112105E-2</v>
      </c>
    </row>
    <row r="13" spans="2:28" ht="15" thickBot="1" x14ac:dyDescent="0.35">
      <c r="B13" s="186" t="s">
        <v>12</v>
      </c>
      <c r="C13" s="196">
        <f>+C$3*COBERTURA_BOSQUE!C44</f>
        <v>0</v>
      </c>
      <c r="D13" s="196">
        <f>+D$3*COBERTURA_BOSQUE!D44</f>
        <v>0</v>
      </c>
      <c r="E13" s="196">
        <f>+E$3*COBERTURA_BOSQUE!E44</f>
        <v>0</v>
      </c>
      <c r="F13" s="196">
        <f>+F$3*COBERTURA_BOSQUE!F44</f>
        <v>0</v>
      </c>
      <c r="G13" s="196">
        <f>+G$3*COBERTURA_BOSQUE!G44</f>
        <v>0</v>
      </c>
      <c r="H13" s="196">
        <f>+H$3*COBERTURA_BOSQUE!H44</f>
        <v>0</v>
      </c>
      <c r="I13" s="196">
        <f>+I$3*COBERTURA_BOSQUE!I44</f>
        <v>0</v>
      </c>
      <c r="J13" s="196">
        <f>+J$3*COBERTURA_BOSQUE!J44</f>
        <v>0</v>
      </c>
      <c r="K13" s="197">
        <f>+K$3*COBERTURA_BOSQUE!K44</f>
        <v>0</v>
      </c>
      <c r="L13" s="197">
        <f>+L$3*COBERTURA_BOSQUE!L44</f>
        <v>0</v>
      </c>
      <c r="M13" s="197">
        <f>+M$3*COBERTURA_BOSQUE!M44</f>
        <v>0</v>
      </c>
      <c r="N13" s="197">
        <f>+N$3*COBERTURA_BOSQUE!N44</f>
        <v>4.3793530820810757E-2</v>
      </c>
      <c r="O13" s="197">
        <f>+O$3*COBERTURA_BOSQUE!P44</f>
        <v>4.3793530820810757E-2</v>
      </c>
      <c r="P13" s="398">
        <f t="shared" si="2"/>
        <v>5.7380862175424388E-3</v>
      </c>
      <c r="Q13" s="398">
        <f t="shared" si="2"/>
        <v>5.6948045836742959E-3</v>
      </c>
      <c r="R13" s="398">
        <f t="shared" si="2"/>
        <v>5.6518495015412231E-3</v>
      </c>
      <c r="S13" s="398">
        <f t="shared" si="2"/>
        <v>5.609218506719831E-3</v>
      </c>
      <c r="T13" s="398">
        <f t="shared" si="2"/>
        <v>5.5669091533896787E-3</v>
      </c>
      <c r="U13" s="398">
        <f t="shared" si="2"/>
        <v>5.5249243983442791E-3</v>
      </c>
      <c r="V13" s="398">
        <f t="shared" si="2"/>
        <v>5.4832456394977051E-3</v>
      </c>
      <c r="W13" s="398">
        <f t="shared" si="2"/>
        <v>5.4418814192929692E-3</v>
      </c>
      <c r="X13" s="398">
        <f t="shared" si="2"/>
        <v>5.4008451412424279E-3</v>
      </c>
      <c r="Y13" s="398">
        <f t="shared" si="2"/>
        <v>5.3601078687972297E-3</v>
      </c>
      <c r="Z13" s="398">
        <f t="shared" si="2"/>
        <v>5.3196779467199274E-3</v>
      </c>
      <c r="AA13" s="398">
        <f t="shared" si="2"/>
        <v>5.279553055531106E-3</v>
      </c>
      <c r="AB13" s="399">
        <f t="shared" ref="AB13" si="11">+AB24*AB35</f>
        <v>5.2397359906788746E-3</v>
      </c>
    </row>
    <row r="14" spans="2:28" ht="15" thickBot="1" x14ac:dyDescent="0.35">
      <c r="B14" s="142" t="s">
        <v>34</v>
      </c>
      <c r="C14" s="187"/>
      <c r="D14" s="187"/>
      <c r="E14" s="187"/>
      <c r="F14" s="187"/>
      <c r="G14" s="187"/>
      <c r="H14" s="187"/>
      <c r="I14" s="187"/>
      <c r="J14" s="187"/>
      <c r="K14" s="187"/>
      <c r="L14" s="187"/>
      <c r="M14" s="187"/>
      <c r="N14" s="187"/>
      <c r="O14" s="187"/>
      <c r="P14" s="187"/>
      <c r="Q14" s="187"/>
      <c r="R14" s="187"/>
      <c r="S14" s="187"/>
      <c r="T14" s="187"/>
      <c r="U14" s="187"/>
      <c r="V14" s="187"/>
      <c r="W14" s="187"/>
      <c r="X14" s="187"/>
      <c r="Y14" s="187"/>
      <c r="Z14" s="187"/>
      <c r="AA14" s="187"/>
      <c r="AB14" s="188"/>
    </row>
    <row r="15" spans="2:28" x14ac:dyDescent="0.3">
      <c r="B15" s="191" t="s">
        <v>2</v>
      </c>
      <c r="C15" s="489">
        <f>+COBERTURA_CAMBIOS_TF!E39/1000</f>
        <v>0</v>
      </c>
      <c r="D15" s="489">
        <f>+COBERTURA_CAMBIOS_TF!F39/1000</f>
        <v>0</v>
      </c>
      <c r="E15" s="489">
        <f>+COBERTURA_CAMBIOS_TF!G39/1000</f>
        <v>0</v>
      </c>
      <c r="F15" s="489">
        <f>+COBERTURA_CAMBIOS_TF!H39/1000</f>
        <v>0</v>
      </c>
      <c r="G15" s="489">
        <f>+COBERTURA_CAMBIOS_TF!I39/1000</f>
        <v>0</v>
      </c>
      <c r="H15" s="489">
        <f>+COBERTURA_CAMBIOS_TF!J39/1000</f>
        <v>0</v>
      </c>
      <c r="I15" s="489">
        <f>+COBERTURA_CAMBIOS_TF!K39/1000</f>
        <v>0</v>
      </c>
      <c r="J15" s="489">
        <f>+COBERTURA_CAMBIOS_TF!L39/1000</f>
        <v>0</v>
      </c>
      <c r="K15" s="490">
        <f>+COBERTURA_CAMBIOS_TF!M39/1000</f>
        <v>0</v>
      </c>
      <c r="L15" s="490">
        <f>+COBERTURA_CAMBIOS_TF!N39/1000</f>
        <v>5.706E-2</v>
      </c>
      <c r="M15" s="490">
        <f>+COBERTURA_CAMBIOS_TF!O39/1000</f>
        <v>5.706E-2</v>
      </c>
      <c r="N15" s="490">
        <f>+COBERTURA_CAMBIOS_TF!P39/1000</f>
        <v>9.134999999999999E-3</v>
      </c>
      <c r="O15" s="490">
        <f>+COBERTURA_CAMBIOS_TF!Q39/1000</f>
        <v>9.134999999999999E-3</v>
      </c>
      <c r="P15" s="489">
        <f>+COBERTURA_CAMBIOS_TF!R39/1000</f>
        <v>7.7799896011174928E-3</v>
      </c>
      <c r="Q15" s="489">
        <f>+COBERTURA_CAMBIOS_TF!S39/1000</f>
        <v>7.721306157082778E-3</v>
      </c>
      <c r="R15" s="489">
        <f>+COBERTURA_CAMBIOS_TF!T39/1000</f>
        <v>7.6630654685255423E-3</v>
      </c>
      <c r="S15" s="489">
        <f>+COBERTURA_CAMBIOS_TF!U39/1000</f>
        <v>7.6052641940550147E-3</v>
      </c>
      <c r="T15" s="489">
        <f>+COBERTURA_CAMBIOS_TF!V39/1000</f>
        <v>7.5478990175032448E-3</v>
      </c>
      <c r="U15" s="489">
        <f>+COBERTURA_CAMBIOS_TF!W39/1000</f>
        <v>7.4909739478415073E-3</v>
      </c>
      <c r="V15" s="489">
        <f>+COBERTURA_CAMBIOS_TF!X39/1000</f>
        <v>7.4344637634140729E-3</v>
      </c>
      <c r="W15" s="489">
        <f>+COBERTURA_CAMBIOS_TF!Y39/1000</f>
        <v>7.3783800465003517E-3</v>
      </c>
      <c r="X15" s="489">
        <f>+COBERTURA_CAMBIOS_TF!Z39/1000</f>
        <v>7.3227409702651888E-3</v>
      </c>
      <c r="Y15" s="489">
        <f>+COBERTURA_CAMBIOS_TF!AA39/1000</f>
        <v>7.2675073010615805E-3</v>
      </c>
      <c r="Z15" s="489">
        <f>+COBERTURA_CAMBIOS_TF!AB39/1000</f>
        <v>7.2126903531436861E-3</v>
      </c>
      <c r="AA15" s="489">
        <f>+COBERTURA_CAMBIOS_TF!AC39/1000</f>
        <v>7.1582869816431624E-3</v>
      </c>
      <c r="AB15" s="491">
        <f>+COBERTURA_CAMBIOS_TF!AD39/1000</f>
        <v>7.1043009767709567E-3</v>
      </c>
    </row>
    <row r="16" spans="2:28" x14ac:dyDescent="0.3">
      <c r="B16" s="185" t="s">
        <v>4</v>
      </c>
      <c r="C16" s="492">
        <f>+COBERTURA_CAMBIOS_TF!E40/1000</f>
        <v>0.18540000000000001</v>
      </c>
      <c r="D16" s="492">
        <f>+COBERTURA_CAMBIOS_TF!F40/1000</f>
        <v>0.18540000000000001</v>
      </c>
      <c r="E16" s="492">
        <f>+COBERTURA_CAMBIOS_TF!G40/1000</f>
        <v>0.18540000000000001</v>
      </c>
      <c r="F16" s="492">
        <f>+COBERTURA_CAMBIOS_TF!H40/1000</f>
        <v>0.18540000000000001</v>
      </c>
      <c r="G16" s="492">
        <f>+COBERTURA_CAMBIOS_TF!I40/1000</f>
        <v>0.18540000000000001</v>
      </c>
      <c r="H16" s="492">
        <f>+COBERTURA_CAMBIOS_TF!J40/1000</f>
        <v>0.1905075</v>
      </c>
      <c r="I16" s="492">
        <f>+COBERTURA_CAMBIOS_TF!K40/1000</f>
        <v>0.19561499999999998</v>
      </c>
      <c r="J16" s="492">
        <f>+COBERTURA_CAMBIOS_TF!L40/1000</f>
        <v>0.13349250000000001</v>
      </c>
      <c r="K16" s="493">
        <f>+COBERTURA_CAMBIOS_TF!M40/1000</f>
        <v>7.1370000000000003E-2</v>
      </c>
      <c r="L16" s="493">
        <f>+COBERTURA_CAMBIOS_TF!N40/1000</f>
        <v>9.7200000000000009E-2</v>
      </c>
      <c r="M16" s="493">
        <f>+COBERTURA_CAMBIOS_TF!O40/1000</f>
        <v>9.7200000000000009E-2</v>
      </c>
      <c r="N16" s="493">
        <f>+COBERTURA_CAMBIOS_TF!P40/1000</f>
        <v>2.034E-2</v>
      </c>
      <c r="O16" s="493">
        <f>+COBERTURA_CAMBIOS_TF!Q40/1000</f>
        <v>2.034E-2</v>
      </c>
      <c r="P16" s="492">
        <f>+COBERTURA_CAMBIOS_TF!R40/1000</f>
        <v>1.7322932510862598E-2</v>
      </c>
      <c r="Q16" s="492">
        <f>+COBERTURA_CAMBIOS_TF!S40/1000</f>
        <v>1.7192267896558699E-2</v>
      </c>
      <c r="R16" s="492">
        <f>+COBERTURA_CAMBIOS_TF!T40/1000</f>
        <v>1.7062589122037168E-2</v>
      </c>
      <c r="S16" s="492">
        <f>+COBERTURA_CAMBIOS_TF!U40/1000</f>
        <v>1.6933888747354027E-2</v>
      </c>
      <c r="T16" s="492">
        <f>+COBERTURA_CAMBIOS_TF!V40/1000</f>
        <v>1.6806159388726438E-2</v>
      </c>
      <c r="U16" s="492">
        <f>+COBERTURA_CAMBIOS_TF!W40/1000</f>
        <v>1.6679409972533799E-2</v>
      </c>
      <c r="V16" s="492">
        <f>+COBERTURA_CAMBIOS_TF!X40/1000</f>
        <v>1.6553584340212615E-2</v>
      </c>
      <c r="W16" s="492">
        <f>+COBERTURA_CAMBIOS_TF!Y40/1000</f>
        <v>1.6428708280877634E-2</v>
      </c>
      <c r="X16" s="492">
        <f>+COBERTURA_CAMBIOS_TF!Z40/1000</f>
        <v>1.6304822258915594E-2</v>
      </c>
      <c r="Y16" s="492">
        <f>+COBERTURA_CAMBIOS_TF!AA40/1000</f>
        <v>1.618183891664943E-2</v>
      </c>
      <c r="Z16" s="492">
        <f>+COBERTURA_CAMBIOS_TF!AB40/1000</f>
        <v>1.6059783446408602E-2</v>
      </c>
      <c r="AA16" s="492">
        <f>+COBERTURA_CAMBIOS_TF!AC40/1000</f>
        <v>1.5938648845826155E-2</v>
      </c>
      <c r="AB16" s="494">
        <f>+COBERTURA_CAMBIOS_TF!AD40/1000</f>
        <v>1.5818443554189522E-2</v>
      </c>
    </row>
    <row r="17" spans="2:30" x14ac:dyDescent="0.3">
      <c r="B17" s="185" t="s">
        <v>5</v>
      </c>
      <c r="C17" s="492">
        <f>+COBERTURA_CAMBIOS_TF!E41/1000</f>
        <v>0</v>
      </c>
      <c r="D17" s="492">
        <f>+COBERTURA_CAMBIOS_TF!F41/1000</f>
        <v>0</v>
      </c>
      <c r="E17" s="492">
        <f>+COBERTURA_CAMBIOS_TF!G41/1000</f>
        <v>0</v>
      </c>
      <c r="F17" s="492">
        <f>+COBERTURA_CAMBIOS_TF!H41/1000</f>
        <v>0</v>
      </c>
      <c r="G17" s="492">
        <f>+COBERTURA_CAMBIOS_TF!I41/1000</f>
        <v>0</v>
      </c>
      <c r="H17" s="492">
        <f>+COBERTURA_CAMBIOS_TF!J41/1000</f>
        <v>0</v>
      </c>
      <c r="I17" s="492">
        <f>+COBERTURA_CAMBIOS_TF!K41/1000</f>
        <v>0</v>
      </c>
      <c r="J17" s="492">
        <f>+COBERTURA_CAMBIOS_TF!L41/1000</f>
        <v>5.6249999999999996E-4</v>
      </c>
      <c r="K17" s="493">
        <f>+COBERTURA_CAMBIOS_TF!M41/1000</f>
        <v>1.1249999999999999E-3</v>
      </c>
      <c r="L17" s="493">
        <f>+COBERTURA_CAMBIOS_TF!N41/1000</f>
        <v>0.73129999999999995</v>
      </c>
      <c r="M17" s="493">
        <f>+COBERTURA_CAMBIOS_TF!O41/1000</f>
        <v>0.73129999999999995</v>
      </c>
      <c r="N17" s="493">
        <f>+COBERTURA_CAMBIOS_TF!P41/1000</f>
        <v>0.46012500000000001</v>
      </c>
      <c r="O17" s="493">
        <f>+COBERTURA_CAMBIOS_TF!Q41/1000</f>
        <v>0.46012500000000001</v>
      </c>
      <c r="P17" s="492">
        <f>+COBERTURA_CAMBIOS_TF!R41/1000</f>
        <v>0.39187386045037625</v>
      </c>
      <c r="Q17" s="492">
        <f>+COBERTURA_CAMBIOS_TF!S41/1000</f>
        <v>0.38891800717325814</v>
      </c>
      <c r="R17" s="492">
        <f>+COBERTURA_CAMBIOS_TF!T41/1000</f>
        <v>0.38598445524962399</v>
      </c>
      <c r="S17" s="492">
        <f>+COBERTURA_CAMBIOS_TF!U41/1000</f>
        <v>0.38307303637543116</v>
      </c>
      <c r="T17" s="492">
        <f>+COBERTURA_CAMBIOS_TF!V41/1000</f>
        <v>0.38018358351709697</v>
      </c>
      <c r="U17" s="492">
        <f>+COBERTURA_CAMBIOS_TF!W41/1000</f>
        <v>0.37731629860433208</v>
      </c>
      <c r="V17" s="492">
        <f>+COBERTURA_CAMBIOS_TF!X41/1000</f>
        <v>0.37446991123600448</v>
      </c>
      <c r="W17" s="492">
        <f>+COBERTURA_CAMBIOS_TF!Y41/1000</f>
        <v>0.37164500480525176</v>
      </c>
      <c r="X17" s="492">
        <f>+COBERTURA_CAMBIOS_TF!Z41/1000</f>
        <v>0.36884249468453972</v>
      </c>
      <c r="Y17" s="492">
        <f>+COBERTURA_CAMBIOS_TF!AA41/1000</f>
        <v>0.36606040469632839</v>
      </c>
      <c r="Z17" s="492">
        <f>+COBERTURA_CAMBIOS_TF!AB41/1000</f>
        <v>0.36329930473346894</v>
      </c>
      <c r="AA17" s="492">
        <f>+COBERTURA_CAMBIOS_TF!AC41/1000</f>
        <v>0.36055903639064701</v>
      </c>
      <c r="AB17" s="494">
        <f>+COBERTURA_CAMBIOS_TF!AD41/1000</f>
        <v>0.35783979057873416</v>
      </c>
    </row>
    <row r="18" spans="2:30" x14ac:dyDescent="0.3">
      <c r="B18" s="185" t="s">
        <v>6</v>
      </c>
      <c r="C18" s="492">
        <f>+COBERTURA_CAMBIOS_TF!E42/1000</f>
        <v>0</v>
      </c>
      <c r="D18" s="492">
        <f>+COBERTURA_CAMBIOS_TF!F42/1000</f>
        <v>0</v>
      </c>
      <c r="E18" s="492">
        <f>+COBERTURA_CAMBIOS_TF!G42/1000</f>
        <v>0</v>
      </c>
      <c r="F18" s="492">
        <f>+COBERTURA_CAMBIOS_TF!H42/1000</f>
        <v>0</v>
      </c>
      <c r="G18" s="492">
        <f>+COBERTURA_CAMBIOS_TF!I42/1000</f>
        <v>0</v>
      </c>
      <c r="H18" s="492">
        <f>+COBERTURA_CAMBIOS_TF!J42/1000</f>
        <v>0</v>
      </c>
      <c r="I18" s="492">
        <f>+COBERTURA_CAMBIOS_TF!K42/1000</f>
        <v>0</v>
      </c>
      <c r="J18" s="492">
        <f>+COBERTURA_CAMBIOS_TF!L42/1000</f>
        <v>2.2949999999999997E-3</v>
      </c>
      <c r="K18" s="493">
        <f>+COBERTURA_CAMBIOS_TF!M42/1000</f>
        <v>4.5899999999999995E-3</v>
      </c>
      <c r="L18" s="493">
        <f>+COBERTURA_CAMBIOS_TF!N42/1000</f>
        <v>0.23719999999999999</v>
      </c>
      <c r="M18" s="493">
        <f>+COBERTURA_CAMBIOS_TF!O42/1000</f>
        <v>0.23719999999999999</v>
      </c>
      <c r="N18" s="493">
        <f>+COBERTURA_CAMBIOS_TF!P42/1000</f>
        <v>0.9504450000000001</v>
      </c>
      <c r="O18" s="493">
        <f>+COBERTURA_CAMBIOS_TF!Q42/1000</f>
        <v>0.9504450000000001</v>
      </c>
      <c r="P18" s="492">
        <f>+COBERTURA_CAMBIOS_TF!R42/1000</f>
        <v>0.80946384416355954</v>
      </c>
      <c r="Q18" s="492">
        <f>+COBERTURA_CAMBIOS_TF!S42/1000</f>
        <v>0.80335816425490336</v>
      </c>
      <c r="R18" s="492">
        <f>+COBERTURA_CAMBIOS_TF!T42/1000</f>
        <v>0.79729855054545817</v>
      </c>
      <c r="S18" s="492">
        <f>+COBERTURA_CAMBIOS_TF!U42/1000</f>
        <v>0.79128465538244341</v>
      </c>
      <c r="T18" s="492">
        <f>+COBERTURA_CAMBIOS_TF!V42/1000</f>
        <v>0.78531613373736975</v>
      </c>
      <c r="U18" s="492">
        <f>+COBERTURA_CAMBIOS_TF!W42/1000</f>
        <v>0.77939340272098767</v>
      </c>
      <c r="V18" s="492">
        <f>+COBERTURA_CAMBIOS_TF!X42/1000</f>
        <v>0.77351383816289976</v>
      </c>
      <c r="W18" s="492">
        <f>+COBERTURA_CAMBIOS_TF!Y42/1000</f>
        <v>0.76767864513366479</v>
      </c>
      <c r="X18" s="492">
        <f>+COBERTURA_CAMBIOS_TF!Z42/1000</f>
        <v>0.76188971444813336</v>
      </c>
      <c r="Y18" s="492">
        <f>+COBERTURA_CAMBIOS_TF!AA42/1000</f>
        <v>0.75614296406759429</v>
      </c>
      <c r="Z18" s="492">
        <f>+COBERTURA_CAMBIOS_TF!AB42/1000</f>
        <v>0.75043957117609761</v>
      </c>
      <c r="AA18" s="492">
        <f>+COBERTURA_CAMBIOS_TF!AC42/1000</f>
        <v>0.74477920856790758</v>
      </c>
      <c r="AB18" s="494">
        <f>+COBERTURA_CAMBIOS_TF!AD42/1000</f>
        <v>0.73916227059300199</v>
      </c>
    </row>
    <row r="19" spans="2:30" x14ac:dyDescent="0.3">
      <c r="B19" s="185" t="s">
        <v>7</v>
      </c>
      <c r="C19" s="492">
        <f>+COBERTURA_CAMBIOS_TF!E43/1000</f>
        <v>0</v>
      </c>
      <c r="D19" s="492">
        <f>+COBERTURA_CAMBIOS_TF!F43/1000</f>
        <v>0</v>
      </c>
      <c r="E19" s="492">
        <f>+COBERTURA_CAMBIOS_TF!G43/1000</f>
        <v>0</v>
      </c>
      <c r="F19" s="492">
        <f>+COBERTURA_CAMBIOS_TF!H43/1000</f>
        <v>0</v>
      </c>
      <c r="G19" s="492">
        <f>+COBERTURA_CAMBIOS_TF!I43/1000</f>
        <v>0</v>
      </c>
      <c r="H19" s="492">
        <f>+COBERTURA_CAMBIOS_TF!J43/1000</f>
        <v>0</v>
      </c>
      <c r="I19" s="492">
        <f>+COBERTURA_CAMBIOS_TF!K43/1000</f>
        <v>0</v>
      </c>
      <c r="J19" s="492">
        <f>+COBERTURA_CAMBIOS_TF!L43/1000</f>
        <v>0</v>
      </c>
      <c r="K19" s="493">
        <f>+COBERTURA_CAMBIOS_TF!M43/1000</f>
        <v>0</v>
      </c>
      <c r="L19" s="493">
        <f>+COBERTURA_CAMBIOS_TF!N43/1000</f>
        <v>5.4770000000000006E-2</v>
      </c>
      <c r="M19" s="493">
        <f>+COBERTURA_CAMBIOS_TF!O43/1000</f>
        <v>5.4770000000000006E-2</v>
      </c>
      <c r="N19" s="493">
        <f>+COBERTURA_CAMBIOS_TF!P43/1000</f>
        <v>2.5559999999999999E-2</v>
      </c>
      <c r="O19" s="493">
        <f>+COBERTURA_CAMBIOS_TF!Q43/1000</f>
        <v>2.5559999999999999E-2</v>
      </c>
      <c r="P19" s="492">
        <f>+COBERTURA_CAMBIOS_TF!R43/1000</f>
        <v>2.1768640854358302E-2</v>
      </c>
      <c r="Q19" s="492">
        <f>+COBERTURA_CAMBIOS_TF!S43/1000</f>
        <v>2.1604442843463141E-2</v>
      </c>
      <c r="R19" s="492">
        <f>+COBERTURA_CAMBIOS_TF!T43/1000</f>
        <v>2.1441483675480336E-2</v>
      </c>
      <c r="S19" s="492">
        <f>+COBERTURA_CAMBIOS_TF!U43/1000</f>
        <v>2.1279754001099743E-2</v>
      </c>
      <c r="T19" s="492">
        <f>+COBERTURA_CAMBIOS_TF!V43/1000</f>
        <v>2.1119244541585435E-2</v>
      </c>
      <c r="U19" s="492">
        <f>+COBERTURA_CAMBIOS_TF!W43/1000</f>
        <v>2.0959966514157515E-2</v>
      </c>
      <c r="V19" s="492">
        <f>+COBERTURA_CAMBIOS_TF!X43/1000</f>
        <v>2.0801849347877797E-2</v>
      </c>
      <c r="W19" s="492">
        <f>+COBERTURA_CAMBIOS_TF!Y43/1000</f>
        <v>2.0644925450306401E-2</v>
      </c>
      <c r="X19" s="492">
        <f>+COBERTURA_CAMBIOS_TF!Z43/1000</f>
        <v>2.0489245670495697E-2</v>
      </c>
      <c r="Y19" s="492">
        <f>+COBERTURA_CAMBIOS_TF!AA43/1000</f>
        <v>2.0334700231541759E-2</v>
      </c>
      <c r="Z19" s="492">
        <f>+COBERTURA_CAMBIOS_TF!AB43/1000</f>
        <v>2.0181320791062135E-2</v>
      </c>
      <c r="AA19" s="492">
        <f>+COBERTURA_CAMBIOS_TF!AC43/1000</f>
        <v>2.0029098549622249E-2</v>
      </c>
      <c r="AB19" s="494">
        <f>+COBERTURA_CAMBIOS_TF!AD43/1000</f>
        <v>1.987804411234435E-2</v>
      </c>
    </row>
    <row r="20" spans="2:30" x14ac:dyDescent="0.3">
      <c r="B20" s="185" t="s">
        <v>8</v>
      </c>
      <c r="C20" s="492">
        <f>+COBERTURA_CAMBIOS_TF!E44/1000</f>
        <v>0</v>
      </c>
      <c r="D20" s="492">
        <f>+COBERTURA_CAMBIOS_TF!F44/1000</f>
        <v>0</v>
      </c>
      <c r="E20" s="492">
        <f>+COBERTURA_CAMBIOS_TF!G44/1000</f>
        <v>0</v>
      </c>
      <c r="F20" s="492">
        <f>+COBERTURA_CAMBIOS_TF!H44/1000</f>
        <v>0</v>
      </c>
      <c r="G20" s="492">
        <f>+COBERTURA_CAMBIOS_TF!I44/1000</f>
        <v>0</v>
      </c>
      <c r="H20" s="492">
        <f>+COBERTURA_CAMBIOS_TF!J44/1000</f>
        <v>0</v>
      </c>
      <c r="I20" s="492">
        <f>+COBERTURA_CAMBIOS_TF!K44/1000</f>
        <v>0</v>
      </c>
      <c r="J20" s="492">
        <f>+COBERTURA_CAMBIOS_TF!L44/1000</f>
        <v>0</v>
      </c>
      <c r="K20" s="493">
        <f>+COBERTURA_CAMBIOS_TF!M44/1000</f>
        <v>0</v>
      </c>
      <c r="L20" s="493">
        <f>+COBERTURA_CAMBIOS_TF!N44/1000</f>
        <v>3.0419099999999997</v>
      </c>
      <c r="M20" s="493">
        <f>+COBERTURA_CAMBIOS_TF!O44/1000</f>
        <v>3.0419099999999997</v>
      </c>
      <c r="N20" s="493">
        <f>+COBERTURA_CAMBIOS_TF!P44/1000</f>
        <v>5.1799600000000003</v>
      </c>
      <c r="O20" s="493">
        <f>+COBERTURA_CAMBIOS_TF!Q44/1000</f>
        <v>5.1799600000000003</v>
      </c>
      <c r="P20" s="492">
        <f>+COBERTURA_CAMBIOS_TF!R44/1000</f>
        <v>4.4116075461636095</v>
      </c>
      <c r="Q20" s="492">
        <f>+COBERTURA_CAMBIOS_TF!S44/1000</f>
        <v>4.3783313674266564</v>
      </c>
      <c r="R20" s="492">
        <f>+COBERTURA_CAMBIOS_TF!T44/1000</f>
        <v>4.3453062511596681</v>
      </c>
      <c r="S20" s="492">
        <f>+COBERTURA_CAMBIOS_TF!U44/1000</f>
        <v>4.312530302642279</v>
      </c>
      <c r="T20" s="492">
        <f>+COBERTURA_CAMBIOS_TF!V44/1000</f>
        <v>4.2800016414566073</v>
      </c>
      <c r="U20" s="492">
        <f>+COBERTURA_CAMBIOS_TF!W44/1000</f>
        <v>4.2477225408714929</v>
      </c>
      <c r="V20" s="492">
        <f>+COBERTURA_CAMBIOS_TF!X44/1000</f>
        <v>4.2156786990623276</v>
      </c>
      <c r="W20" s="492">
        <f>+COBERTURA_CAMBIOS_TF!Y44/1000</f>
        <v>4.1838766837077142</v>
      </c>
      <c r="X20" s="492">
        <f>+COBERTURA_CAMBIOS_TF!Z44/1000</f>
        <v>4.1523267998177191</v>
      </c>
      <c r="Y20" s="492">
        <f>+COBERTURA_CAMBIOS_TF!AA44/1000</f>
        <v>4.1210068001321227</v>
      </c>
      <c r="Z20" s="492">
        <f>+COBERTURA_CAMBIOS_TF!AB44/1000</f>
        <v>4.0899231003470353</v>
      </c>
      <c r="AA20" s="492">
        <f>+COBERTURA_CAMBIOS_TF!AC44/1000</f>
        <v>4.0590739171792354</v>
      </c>
      <c r="AB20" s="494">
        <f>+COBERTURA_CAMBIOS_TF!AD44/1000</f>
        <v>4.0284613998505181</v>
      </c>
    </row>
    <row r="21" spans="2:30" x14ac:dyDescent="0.3">
      <c r="B21" s="185" t="s">
        <v>9</v>
      </c>
      <c r="C21" s="492">
        <f>+COBERTURA_CAMBIOS_TF!E45/1000</f>
        <v>2.3205E-2</v>
      </c>
      <c r="D21" s="492">
        <f>+COBERTURA_CAMBIOS_TF!F45/1000</f>
        <v>2.3205E-2</v>
      </c>
      <c r="E21" s="492">
        <f>+COBERTURA_CAMBIOS_TF!G45/1000</f>
        <v>2.3205E-2</v>
      </c>
      <c r="F21" s="492">
        <f>+COBERTURA_CAMBIOS_TF!H45/1000</f>
        <v>2.3205E-2</v>
      </c>
      <c r="G21" s="492">
        <f>+COBERTURA_CAMBIOS_TF!I45/1000</f>
        <v>2.3205E-2</v>
      </c>
      <c r="H21" s="492">
        <f>+COBERTURA_CAMBIOS_TF!J45/1000</f>
        <v>5.3520000000000012E-2</v>
      </c>
      <c r="I21" s="492">
        <f>+COBERTURA_CAMBIOS_TF!K45/1000</f>
        <v>8.3835000000000021E-2</v>
      </c>
      <c r="J21" s="492">
        <f>+COBERTURA_CAMBIOS_TF!L45/1000</f>
        <v>6.1627500000000009E-2</v>
      </c>
      <c r="K21" s="493">
        <f>+COBERTURA_CAMBIOS_TF!M45/1000</f>
        <v>3.9420000000000004E-2</v>
      </c>
      <c r="L21" s="493">
        <f>+COBERTURA_CAMBIOS_TF!N45/1000</f>
        <v>1.7149999999999999E-2</v>
      </c>
      <c r="M21" s="493">
        <f>+COBERTURA_CAMBIOS_TF!O45/1000</f>
        <v>1.7149999999999999E-2</v>
      </c>
      <c r="N21" s="493">
        <f>+COBERTURA_CAMBIOS_TF!P45/1000</f>
        <v>6.93E-2</v>
      </c>
      <c r="O21" s="493">
        <f>+COBERTURA_CAMBIOS_TF!Q45/1000</f>
        <v>6.93E-2</v>
      </c>
      <c r="P21" s="492">
        <f>+COBERTURA_CAMBIOS_TF!R45/1000</f>
        <v>5.9020610767098219E-2</v>
      </c>
      <c r="Q21" s="492">
        <f>+COBERTURA_CAMBIOS_TF!S45/1000</f>
        <v>5.8575426019248658E-2</v>
      </c>
      <c r="R21" s="492">
        <f>+COBERTURA_CAMBIOS_TF!T45/1000</f>
        <v>5.8133600106055831E-2</v>
      </c>
      <c r="S21" s="492">
        <f>+COBERTURA_CAMBIOS_TF!U45/1000</f>
        <v>5.7695107679038037E-2</v>
      </c>
      <c r="T21" s="492">
        <f>+COBERTURA_CAMBIOS_TF!V45/1000</f>
        <v>5.7259923581059101E-2</v>
      </c>
      <c r="U21" s="492">
        <f>+COBERTURA_CAMBIOS_TF!W45/1000</f>
        <v>5.6828078225004533E-2</v>
      </c>
      <c r="V21" s="492">
        <f>+COBERTURA_CAMBIOS_TF!X45/1000</f>
        <v>5.639938027417573E-2</v>
      </c>
      <c r="W21" s="492">
        <f>+COBERTURA_CAMBIOS_TF!Y45/1000</f>
        <v>5.5973917594140596E-2</v>
      </c>
      <c r="X21" s="492">
        <f>+COBERTURA_CAMBIOS_TF!Z45/1000</f>
        <v>5.5551828050287633E-2</v>
      </c>
      <c r="Y21" s="492">
        <f>+COBERTURA_CAMBIOS_TF!AA45/1000</f>
        <v>5.5132814008053366E-2</v>
      </c>
      <c r="Z21" s="492">
        <f>+COBERTURA_CAMBIOS_TF!AB45/1000</f>
        <v>5.4716961299710716E-2</v>
      </c>
      <c r="AA21" s="492">
        <f>+COBERTURA_CAMBIOS_TF!AC45/1000</f>
        <v>5.4304246067637778E-2</v>
      </c>
      <c r="AB21" s="494">
        <f>+COBERTURA_CAMBIOS_TF!AD45/1000</f>
        <v>5.3894697065158981E-2</v>
      </c>
    </row>
    <row r="22" spans="2:30" x14ac:dyDescent="0.3">
      <c r="B22" s="185" t="s">
        <v>10</v>
      </c>
      <c r="C22" s="492">
        <f>+COBERTURA_CAMBIOS_TF!E46/1000</f>
        <v>0.70913999999999999</v>
      </c>
      <c r="D22" s="492">
        <f>+COBERTURA_CAMBIOS_TF!F46/1000</f>
        <v>0.70913999999999999</v>
      </c>
      <c r="E22" s="492">
        <f>+COBERTURA_CAMBIOS_TF!G46/1000</f>
        <v>0.70913999999999999</v>
      </c>
      <c r="F22" s="492">
        <f>+COBERTURA_CAMBIOS_TF!H46/1000</f>
        <v>0.70913999999999999</v>
      </c>
      <c r="G22" s="492">
        <f>+COBERTURA_CAMBIOS_TF!I46/1000</f>
        <v>0.70913999999999999</v>
      </c>
      <c r="H22" s="492">
        <f>+COBERTURA_CAMBIOS_TF!J46/1000</f>
        <v>0.80933999999999995</v>
      </c>
      <c r="I22" s="492">
        <f>+COBERTURA_CAMBIOS_TF!K46/1000</f>
        <v>0.90954000000000002</v>
      </c>
      <c r="J22" s="492">
        <f>+COBERTURA_CAMBIOS_TF!L46/1000</f>
        <v>0.94743000000000011</v>
      </c>
      <c r="K22" s="493">
        <f>+COBERTURA_CAMBIOS_TF!M46/1000</f>
        <v>0.98532000000000008</v>
      </c>
      <c r="L22" s="493">
        <f>+COBERTURA_CAMBIOS_TF!N46/1000</f>
        <v>0.71914999999999996</v>
      </c>
      <c r="M22" s="493">
        <f>+COBERTURA_CAMBIOS_TF!O46/1000</f>
        <v>0.71914999999999996</v>
      </c>
      <c r="N22" s="493">
        <f>+COBERTURA_CAMBIOS_TF!P46/1000</f>
        <v>4.8149999999999998E-2</v>
      </c>
      <c r="O22" s="493">
        <f>+COBERTURA_CAMBIOS_TF!Q46/1000</f>
        <v>4.8149999999999998E-2</v>
      </c>
      <c r="P22" s="492">
        <f>+COBERTURA_CAMBIOS_TF!R46/1000</f>
        <v>4.1007826961555263E-2</v>
      </c>
      <c r="Q22" s="492">
        <f>+COBERTURA_CAMBIOS_TF!S46/1000</f>
        <v>4.0698510286101344E-2</v>
      </c>
      <c r="R22" s="492">
        <f>+COBERTURA_CAMBIOS_TF!T46/1000</f>
        <v>4.0391527346415421E-2</v>
      </c>
      <c r="S22" s="492">
        <f>+COBERTURA_CAMBIOS_TF!U46/1000</f>
        <v>4.0086860530240721E-2</v>
      </c>
      <c r="T22" s="492">
        <f>+COBERTURA_CAMBIOS_TF!V46/1000</f>
        <v>3.9784492358268336E-2</v>
      </c>
      <c r="U22" s="492">
        <f>+COBERTURA_CAMBIOS_TF!W46/1000</f>
        <v>3.9484443961529121E-2</v>
      </c>
      <c r="V22" s="492">
        <f>+COBERTURA_CAMBIOS_TF!X46/1000</f>
        <v>3.9186582398290933E-2</v>
      </c>
      <c r="W22" s="492">
        <f>+COBERTURA_CAMBIOS_TF!Y46/1000</f>
        <v>3.8890968718006784E-2</v>
      </c>
      <c r="X22" s="492">
        <f>+COBERTURA_CAMBIOS_TF!Z46/1000</f>
        <v>3.8597698710264784E-2</v>
      </c>
      <c r="Y22" s="492">
        <f>+COBERTURA_CAMBIOS_TF!AA46/1000</f>
        <v>3.8306565577024096E-2</v>
      </c>
      <c r="Z22" s="492">
        <f>+COBERTURA_CAMBIOS_TF!AB46/1000</f>
        <v>3.8017628954993818E-2</v>
      </c>
      <c r="AA22" s="492">
        <f>+COBERTURA_CAMBIOS_TF!AC46/1000</f>
        <v>3.7730872267774301E-2</v>
      </c>
      <c r="AB22" s="494">
        <f>+COBERTURA_CAMBIOS_TF!AD46/1000</f>
        <v>3.744631549332475E-2</v>
      </c>
    </row>
    <row r="23" spans="2:30" x14ac:dyDescent="0.3">
      <c r="B23" s="185" t="s">
        <v>11</v>
      </c>
      <c r="C23" s="492">
        <f>+COBERTURA_CAMBIOS_TF!E47/1000</f>
        <v>0</v>
      </c>
      <c r="D23" s="492">
        <f>+COBERTURA_CAMBIOS_TF!F47/1000</f>
        <v>0</v>
      </c>
      <c r="E23" s="492">
        <f>+COBERTURA_CAMBIOS_TF!G47/1000</f>
        <v>0</v>
      </c>
      <c r="F23" s="492">
        <f>+COBERTURA_CAMBIOS_TF!H47/1000</f>
        <v>0</v>
      </c>
      <c r="G23" s="492">
        <f>+COBERTURA_CAMBIOS_TF!I47/1000</f>
        <v>0</v>
      </c>
      <c r="H23" s="492">
        <f>+COBERTURA_CAMBIOS_TF!J47/1000</f>
        <v>0</v>
      </c>
      <c r="I23" s="492">
        <f>+COBERTURA_CAMBIOS_TF!K47/1000</f>
        <v>0</v>
      </c>
      <c r="J23" s="492">
        <f>+COBERTURA_CAMBIOS_TF!L47/1000</f>
        <v>0</v>
      </c>
      <c r="K23" s="493">
        <f>+COBERTURA_CAMBIOS_TF!M47/1000</f>
        <v>0</v>
      </c>
      <c r="L23" s="493">
        <f>+COBERTURA_CAMBIOS_TF!N47/1000</f>
        <v>0.55277999999999994</v>
      </c>
      <c r="M23" s="493">
        <f>+COBERTURA_CAMBIOS_TF!O47/1000</f>
        <v>0.55277999999999994</v>
      </c>
      <c r="N23" s="493">
        <f>+COBERTURA_CAMBIOS_TF!P47/1000</f>
        <v>0.23463000000000001</v>
      </c>
      <c r="O23" s="493">
        <f>+COBERTURA_CAMBIOS_TF!Q47/1000</f>
        <v>0.23463000000000001</v>
      </c>
      <c r="P23" s="492">
        <f>+COBERTURA_CAMBIOS_TF!R47/1000</f>
        <v>0.19982692502574684</v>
      </c>
      <c r="Q23" s="492">
        <f>+COBERTURA_CAMBIOS_TF!S47/1000</f>
        <v>0.19831965666517046</v>
      </c>
      <c r="R23" s="492">
        <f>+COBERTURA_CAMBIOS_TF!T47/1000</f>
        <v>0.19682376035907476</v>
      </c>
      <c r="S23" s="492">
        <f>+COBERTURA_CAMBIOS_TF!U47/1000</f>
        <v>0.19533915028474308</v>
      </c>
      <c r="T23" s="492">
        <f>+COBERTURA_CAMBIOS_TF!V47/1000</f>
        <v>0.19386574126730011</v>
      </c>
      <c r="U23" s="492">
        <f>+COBERTURA_CAMBIOS_TF!W47/1000</f>
        <v>0.19240363627608678</v>
      </c>
      <c r="V23" s="492">
        <f>+COBERTURA_CAMBIOS_TF!X47/1000</f>
        <v>0.19095218749970924</v>
      </c>
      <c r="W23" s="492">
        <f>+COBERTURA_CAMBIOS_TF!Y47/1000</f>
        <v>0.18951169242587604</v>
      </c>
      <c r="X23" s="492">
        <f>+COBERTURA_CAMBIOS_TF!Z47/1000</f>
        <v>0.18808261782740243</v>
      </c>
      <c r="Y23" s="492">
        <f>+COBERTURA_CAMBIOS_TF!AA47/1000</f>
        <v>0.18666395599869498</v>
      </c>
      <c r="Z23" s="492">
        <f>+COBERTURA_CAMBIOS_TF!AB47/1000</f>
        <v>0.18525599754330629</v>
      </c>
      <c r="AA23" s="492">
        <f>+COBERTURA_CAMBIOS_TF!AC47/1000</f>
        <v>0.18385866168614506</v>
      </c>
      <c r="AB23" s="494">
        <f>+COBERTURA_CAMBIOS_TF!AD47/1000</f>
        <v>0.18247204577775256</v>
      </c>
    </row>
    <row r="24" spans="2:30" ht="15" thickBot="1" x14ac:dyDescent="0.35">
      <c r="B24" s="186" t="s">
        <v>12</v>
      </c>
      <c r="C24" s="495">
        <f>+COBERTURA_CAMBIOS_TF!E48/1000</f>
        <v>0</v>
      </c>
      <c r="D24" s="495">
        <f>+COBERTURA_CAMBIOS_TF!F48/1000</f>
        <v>0</v>
      </c>
      <c r="E24" s="495">
        <f>+COBERTURA_CAMBIOS_TF!G48/1000</f>
        <v>0</v>
      </c>
      <c r="F24" s="495">
        <f>+COBERTURA_CAMBIOS_TF!H48/1000</f>
        <v>0</v>
      </c>
      <c r="G24" s="495">
        <f>+COBERTURA_CAMBIOS_TF!I48/1000</f>
        <v>0</v>
      </c>
      <c r="H24" s="495">
        <f>+COBERTURA_CAMBIOS_TF!J48/1000</f>
        <v>5.4810000000000005E-2</v>
      </c>
      <c r="I24" s="495">
        <f>+COBERTURA_CAMBIOS_TF!K48/1000</f>
        <v>0.10962000000000001</v>
      </c>
      <c r="J24" s="495">
        <f>+COBERTURA_CAMBIOS_TF!L48/1000</f>
        <v>6.3770000000000007E-2</v>
      </c>
      <c r="K24" s="496">
        <f>+COBERTURA_CAMBIOS_TF!M48/1000</f>
        <v>1.7920000000000002E-2</v>
      </c>
      <c r="L24" s="496">
        <f>+COBERTURA_CAMBIOS_TF!N48/1000</f>
        <v>1.899E-2</v>
      </c>
      <c r="M24" s="496">
        <f>+COBERTURA_CAMBIOS_TF!O48/1000</f>
        <v>1.899E-2</v>
      </c>
      <c r="N24" s="496">
        <f>+COBERTURA_CAMBIOS_TF!P48/1000</f>
        <v>7.1999999999999998E-3</v>
      </c>
      <c r="O24" s="496">
        <f>+COBERTURA_CAMBIOS_TF!Q48/1000</f>
        <v>7.1999999999999998E-3</v>
      </c>
      <c r="P24" s="495">
        <f>+COBERTURA_CAMBIOS_TF!R48/1000</f>
        <v>6.1320115082699458E-3</v>
      </c>
      <c r="Q24" s="495">
        <f>+COBERTURA_CAMBIOS_TF!S48/1000</f>
        <v>6.0857585474544066E-3</v>
      </c>
      <c r="R24" s="495">
        <f>+COBERTURA_CAMBIOS_TF!T48/1000</f>
        <v>6.0398545564733343E-3</v>
      </c>
      <c r="S24" s="495">
        <f>+COBERTURA_CAMBIOS_TF!U48/1000</f>
        <v>5.9942969017182388E-3</v>
      </c>
      <c r="T24" s="495">
        <f>+COBERTURA_CAMBIOS_TF!V48/1000</f>
        <v>5.9490829694606867E-3</v>
      </c>
      <c r="U24" s="495">
        <f>+COBERTURA_CAMBIOS_TF!W48/1000</f>
        <v>5.9042159194809905E-3</v>
      </c>
      <c r="V24" s="495">
        <f>+COBERTURA_CAMBIOS_TF!X48/1000</f>
        <v>5.8596758726416351E-3</v>
      </c>
      <c r="W24" s="495">
        <f>+COBERTURA_CAMBIOS_TF!Y48/1000</f>
        <v>5.8154719578327905E-3</v>
      </c>
      <c r="X24" s="495">
        <f>+COBERTURA_CAMBIOS_TF!Z48/1000</f>
        <v>5.771618498731184E-3</v>
      </c>
      <c r="Y24" s="495">
        <f>+COBERTURA_CAMBIOS_TF!AA48/1000</f>
        <v>5.7280845722652851E-3</v>
      </c>
      <c r="Z24" s="495">
        <f>+COBERTURA_CAMBIOS_TF!AB48/1000</f>
        <v>5.6848790960738419E-3</v>
      </c>
      <c r="AA24" s="495">
        <f>+COBERTURA_CAMBIOS_TF!AC48/1000</f>
        <v>5.6419995914428868E-3</v>
      </c>
      <c r="AB24" s="497">
        <f>+COBERTURA_CAMBIOS_TF!AD48/1000</f>
        <v>5.599449045730804E-3</v>
      </c>
    </row>
    <row r="25" spans="2:30" ht="15" thickBot="1" x14ac:dyDescent="0.35">
      <c r="B25" s="142" t="s">
        <v>35</v>
      </c>
      <c r="C25" s="187"/>
      <c r="D25" s="187"/>
      <c r="E25" s="187"/>
      <c r="F25" s="187"/>
      <c r="G25" s="187"/>
      <c r="H25" s="187"/>
      <c r="I25" s="187"/>
      <c r="J25" s="187"/>
      <c r="K25" s="187"/>
      <c r="L25" s="187"/>
      <c r="M25" s="187"/>
      <c r="N25" s="187"/>
      <c r="O25" s="187"/>
      <c r="P25" s="187"/>
      <c r="Q25" s="187"/>
      <c r="R25" s="187"/>
      <c r="S25" s="187"/>
      <c r="T25" s="187"/>
      <c r="U25" s="187"/>
      <c r="V25" s="187"/>
      <c r="W25" s="187"/>
      <c r="X25" s="187"/>
      <c r="Y25" s="187"/>
      <c r="Z25" s="187"/>
      <c r="AA25" s="187"/>
      <c r="AB25" s="188"/>
      <c r="AD25" s="417" t="s">
        <v>232</v>
      </c>
    </row>
    <row r="26" spans="2:30" x14ac:dyDescent="0.3">
      <c r="B26" s="191" t="s">
        <v>2</v>
      </c>
      <c r="C26" s="384">
        <v>0</v>
      </c>
      <c r="D26" s="384">
        <v>0</v>
      </c>
      <c r="E26" s="384">
        <v>0</v>
      </c>
      <c r="F26" s="384">
        <v>0</v>
      </c>
      <c r="G26" s="384">
        <v>0</v>
      </c>
      <c r="H26" s="384">
        <v>0</v>
      </c>
      <c r="I26" s="384">
        <v>0</v>
      </c>
      <c r="J26" s="384">
        <v>0</v>
      </c>
      <c r="K26" s="385">
        <v>0</v>
      </c>
      <c r="L26" s="385">
        <f t="shared" ref="L26:O35" si="12">+L4/L15</f>
        <v>0</v>
      </c>
      <c r="M26" s="385">
        <f t="shared" si="12"/>
        <v>0</v>
      </c>
      <c r="N26" s="385">
        <f t="shared" si="12"/>
        <v>0.56766564231728855</v>
      </c>
      <c r="O26" s="385">
        <f>+O4/O15</f>
        <v>0.56766564231728855</v>
      </c>
      <c r="P26" s="377">
        <f>IF(AD26="CONSTANTE",O26,AVERAGE(C26:O26))</f>
        <v>8.7333175741121316E-2</v>
      </c>
      <c r="Q26" s="192">
        <f t="shared" ref="Q26:AA26" si="13">+P26</f>
        <v>8.7333175741121316E-2</v>
      </c>
      <c r="R26" s="192">
        <f t="shared" si="13"/>
        <v>8.7333175741121316E-2</v>
      </c>
      <c r="S26" s="192">
        <f t="shared" si="13"/>
        <v>8.7333175741121316E-2</v>
      </c>
      <c r="T26" s="192">
        <f t="shared" si="13"/>
        <v>8.7333175741121316E-2</v>
      </c>
      <c r="U26" s="192">
        <f t="shared" si="13"/>
        <v>8.7333175741121316E-2</v>
      </c>
      <c r="V26" s="192">
        <f t="shared" si="13"/>
        <v>8.7333175741121316E-2</v>
      </c>
      <c r="W26" s="192">
        <f t="shared" si="13"/>
        <v>8.7333175741121316E-2</v>
      </c>
      <c r="X26" s="192">
        <f t="shared" si="13"/>
        <v>8.7333175741121316E-2</v>
      </c>
      <c r="Y26" s="192">
        <f t="shared" si="13"/>
        <v>8.7333175741121316E-2</v>
      </c>
      <c r="Z26" s="192">
        <f t="shared" si="13"/>
        <v>8.7333175741121316E-2</v>
      </c>
      <c r="AA26" s="192">
        <f t="shared" si="13"/>
        <v>8.7333175741121316E-2</v>
      </c>
      <c r="AB26" s="194">
        <f>+AA26</f>
        <v>8.7333175741121316E-2</v>
      </c>
      <c r="AD26" s="418" t="s">
        <v>234</v>
      </c>
    </row>
    <row r="27" spans="2:30" x14ac:dyDescent="0.3">
      <c r="B27" s="185" t="s">
        <v>4</v>
      </c>
      <c r="C27" s="386">
        <v>0</v>
      </c>
      <c r="D27" s="386">
        <v>0</v>
      </c>
      <c r="E27" s="386">
        <v>0</v>
      </c>
      <c r="F27" s="386">
        <v>0</v>
      </c>
      <c r="G27" s="386">
        <v>0</v>
      </c>
      <c r="H27" s="386">
        <v>0</v>
      </c>
      <c r="I27" s="386">
        <v>0</v>
      </c>
      <c r="J27" s="386">
        <f t="shared" ref="J27:K29" si="14">+J5/J16</f>
        <v>0</v>
      </c>
      <c r="K27" s="387">
        <f t="shared" si="14"/>
        <v>0</v>
      </c>
      <c r="L27" s="387">
        <f t="shared" si="12"/>
        <v>0</v>
      </c>
      <c r="M27" s="387">
        <f t="shared" si="12"/>
        <v>0</v>
      </c>
      <c r="N27" s="387">
        <f t="shared" si="12"/>
        <v>2.6062389175546445</v>
      </c>
      <c r="O27" s="387">
        <f t="shared" si="12"/>
        <v>2.6062389175546445</v>
      </c>
      <c r="P27" s="374">
        <f t="shared" ref="P27:P35" si="15">IF(AD27="CONSTANTE",O27,AVERAGE(C27:O27))</f>
        <v>0.40095983346994529</v>
      </c>
      <c r="Q27" s="189">
        <f t="shared" ref="Q27:AA35" si="16">+P27</f>
        <v>0.40095983346994529</v>
      </c>
      <c r="R27" s="189">
        <f t="shared" si="16"/>
        <v>0.40095983346994529</v>
      </c>
      <c r="S27" s="189">
        <f t="shared" si="16"/>
        <v>0.40095983346994529</v>
      </c>
      <c r="T27" s="189">
        <f t="shared" si="16"/>
        <v>0.40095983346994529</v>
      </c>
      <c r="U27" s="189">
        <f t="shared" si="16"/>
        <v>0.40095983346994529</v>
      </c>
      <c r="V27" s="189">
        <f t="shared" si="16"/>
        <v>0.40095983346994529</v>
      </c>
      <c r="W27" s="189">
        <f t="shared" si="16"/>
        <v>0.40095983346994529</v>
      </c>
      <c r="X27" s="189">
        <f t="shared" si="16"/>
        <v>0.40095983346994529</v>
      </c>
      <c r="Y27" s="189">
        <f t="shared" si="16"/>
        <v>0.40095983346994529</v>
      </c>
      <c r="Z27" s="189">
        <f t="shared" si="16"/>
        <v>0.40095983346994529</v>
      </c>
      <c r="AA27" s="189">
        <f t="shared" si="16"/>
        <v>0.40095983346994529</v>
      </c>
      <c r="AB27" s="195">
        <f t="shared" ref="AB27" si="17">+AA27</f>
        <v>0.40095983346994529</v>
      </c>
      <c r="AD27" s="418" t="s">
        <v>234</v>
      </c>
    </row>
    <row r="28" spans="2:30" x14ac:dyDescent="0.3">
      <c r="B28" s="185" t="s">
        <v>5</v>
      </c>
      <c r="C28" s="386">
        <v>0</v>
      </c>
      <c r="D28" s="386">
        <v>0</v>
      </c>
      <c r="E28" s="386">
        <v>0</v>
      </c>
      <c r="F28" s="386">
        <v>0</v>
      </c>
      <c r="G28" s="386">
        <v>0</v>
      </c>
      <c r="H28" s="386">
        <v>0</v>
      </c>
      <c r="I28" s="386">
        <v>0</v>
      </c>
      <c r="J28" s="386">
        <f t="shared" si="14"/>
        <v>0</v>
      </c>
      <c r="K28" s="387">
        <f t="shared" si="14"/>
        <v>0</v>
      </c>
      <c r="L28" s="387">
        <f t="shared" si="12"/>
        <v>0</v>
      </c>
      <c r="M28" s="387">
        <f t="shared" si="12"/>
        <v>0</v>
      </c>
      <c r="N28" s="387">
        <f t="shared" si="12"/>
        <v>1.0394040357357122</v>
      </c>
      <c r="O28" s="387">
        <f t="shared" si="12"/>
        <v>1.0394040357357122</v>
      </c>
      <c r="P28" s="374">
        <f t="shared" si="15"/>
        <v>0.15990831319010956</v>
      </c>
      <c r="Q28" s="189">
        <f t="shared" si="16"/>
        <v>0.15990831319010956</v>
      </c>
      <c r="R28" s="189">
        <f t="shared" si="16"/>
        <v>0.15990831319010956</v>
      </c>
      <c r="S28" s="189">
        <f t="shared" si="16"/>
        <v>0.15990831319010956</v>
      </c>
      <c r="T28" s="189">
        <f t="shared" si="16"/>
        <v>0.15990831319010956</v>
      </c>
      <c r="U28" s="189">
        <f t="shared" si="16"/>
        <v>0.15990831319010956</v>
      </c>
      <c r="V28" s="189">
        <f t="shared" si="16"/>
        <v>0.15990831319010956</v>
      </c>
      <c r="W28" s="189">
        <f t="shared" si="16"/>
        <v>0.15990831319010956</v>
      </c>
      <c r="X28" s="189">
        <f t="shared" si="16"/>
        <v>0.15990831319010956</v>
      </c>
      <c r="Y28" s="189">
        <f t="shared" si="16"/>
        <v>0.15990831319010956</v>
      </c>
      <c r="Z28" s="189">
        <f t="shared" si="16"/>
        <v>0.15990831319010956</v>
      </c>
      <c r="AA28" s="189">
        <f t="shared" si="16"/>
        <v>0.15990831319010956</v>
      </c>
      <c r="AB28" s="195">
        <f t="shared" ref="AB28" si="18">+AA28</f>
        <v>0.15990831319010956</v>
      </c>
      <c r="AD28" s="418" t="s">
        <v>234</v>
      </c>
    </row>
    <row r="29" spans="2:30" x14ac:dyDescent="0.3">
      <c r="B29" s="185" t="s">
        <v>6</v>
      </c>
      <c r="C29" s="386">
        <v>0</v>
      </c>
      <c r="D29" s="386">
        <v>0</v>
      </c>
      <c r="E29" s="386">
        <v>0</v>
      </c>
      <c r="F29" s="386">
        <v>0</v>
      </c>
      <c r="G29" s="386">
        <v>0</v>
      </c>
      <c r="H29" s="386">
        <v>0</v>
      </c>
      <c r="I29" s="386">
        <v>0</v>
      </c>
      <c r="J29" s="386">
        <f t="shared" si="14"/>
        <v>0</v>
      </c>
      <c r="K29" s="387">
        <f t="shared" si="14"/>
        <v>0</v>
      </c>
      <c r="L29" s="387">
        <f t="shared" si="12"/>
        <v>0</v>
      </c>
      <c r="M29" s="387">
        <f t="shared" si="12"/>
        <v>0</v>
      </c>
      <c r="N29" s="387">
        <f t="shared" si="12"/>
        <v>0.20613307147967402</v>
      </c>
      <c r="O29" s="387">
        <f t="shared" si="12"/>
        <v>0.20613307147967402</v>
      </c>
      <c r="P29" s="374">
        <f t="shared" si="15"/>
        <v>3.1712780227642158E-2</v>
      </c>
      <c r="Q29" s="189">
        <f t="shared" si="16"/>
        <v>3.1712780227642158E-2</v>
      </c>
      <c r="R29" s="189">
        <f t="shared" si="16"/>
        <v>3.1712780227642158E-2</v>
      </c>
      <c r="S29" s="189">
        <f t="shared" si="16"/>
        <v>3.1712780227642158E-2</v>
      </c>
      <c r="T29" s="189">
        <f t="shared" si="16"/>
        <v>3.1712780227642158E-2</v>
      </c>
      <c r="U29" s="189">
        <f t="shared" si="16"/>
        <v>3.1712780227642158E-2</v>
      </c>
      <c r="V29" s="189">
        <f t="shared" si="16"/>
        <v>3.1712780227642158E-2</v>
      </c>
      <c r="W29" s="189">
        <f t="shared" si="16"/>
        <v>3.1712780227642158E-2</v>
      </c>
      <c r="X29" s="189">
        <f t="shared" si="16"/>
        <v>3.1712780227642158E-2</v>
      </c>
      <c r="Y29" s="189">
        <f t="shared" si="16"/>
        <v>3.1712780227642158E-2</v>
      </c>
      <c r="Z29" s="189">
        <f t="shared" si="16"/>
        <v>3.1712780227642158E-2</v>
      </c>
      <c r="AA29" s="189">
        <f t="shared" si="16"/>
        <v>3.1712780227642158E-2</v>
      </c>
      <c r="AB29" s="195">
        <f t="shared" ref="AB29" si="19">+AA29</f>
        <v>3.1712780227642158E-2</v>
      </c>
      <c r="AD29" s="418" t="s">
        <v>234</v>
      </c>
    </row>
    <row r="30" spans="2:30" x14ac:dyDescent="0.3">
      <c r="B30" s="185" t="s">
        <v>7</v>
      </c>
      <c r="C30" s="386">
        <v>0</v>
      </c>
      <c r="D30" s="386">
        <v>0</v>
      </c>
      <c r="E30" s="386">
        <v>0</v>
      </c>
      <c r="F30" s="386">
        <v>0</v>
      </c>
      <c r="G30" s="386">
        <v>0</v>
      </c>
      <c r="H30" s="386">
        <v>0</v>
      </c>
      <c r="I30" s="386">
        <v>0</v>
      </c>
      <c r="J30" s="386">
        <v>0</v>
      </c>
      <c r="K30" s="387">
        <v>0</v>
      </c>
      <c r="L30" s="387">
        <f t="shared" si="12"/>
        <v>0</v>
      </c>
      <c r="M30" s="387">
        <f t="shared" si="12"/>
        <v>0</v>
      </c>
      <c r="N30" s="387">
        <f t="shared" si="12"/>
        <v>5.581393648165081</v>
      </c>
      <c r="O30" s="387">
        <f t="shared" si="12"/>
        <v>5.581393648165081</v>
      </c>
      <c r="P30" s="374">
        <f t="shared" si="15"/>
        <v>0.85867594587155094</v>
      </c>
      <c r="Q30" s="189">
        <f t="shared" si="16"/>
        <v>0.85867594587155094</v>
      </c>
      <c r="R30" s="189">
        <f t="shared" si="16"/>
        <v>0.85867594587155094</v>
      </c>
      <c r="S30" s="189">
        <f t="shared" si="16"/>
        <v>0.85867594587155094</v>
      </c>
      <c r="T30" s="189">
        <f t="shared" si="16"/>
        <v>0.85867594587155094</v>
      </c>
      <c r="U30" s="189">
        <f t="shared" si="16"/>
        <v>0.85867594587155094</v>
      </c>
      <c r="V30" s="189">
        <f t="shared" si="16"/>
        <v>0.85867594587155094</v>
      </c>
      <c r="W30" s="189">
        <f t="shared" si="16"/>
        <v>0.85867594587155094</v>
      </c>
      <c r="X30" s="189">
        <f t="shared" si="16"/>
        <v>0.85867594587155094</v>
      </c>
      <c r="Y30" s="189">
        <f t="shared" si="16"/>
        <v>0.85867594587155094</v>
      </c>
      <c r="Z30" s="189">
        <f t="shared" si="16"/>
        <v>0.85867594587155094</v>
      </c>
      <c r="AA30" s="189">
        <f t="shared" si="16"/>
        <v>0.85867594587155094</v>
      </c>
      <c r="AB30" s="195">
        <f t="shared" ref="AB30" si="20">+AA30</f>
        <v>0.85867594587155094</v>
      </c>
      <c r="AD30" s="418" t="s">
        <v>234</v>
      </c>
    </row>
    <row r="31" spans="2:30" x14ac:dyDescent="0.3">
      <c r="B31" s="185" t="s">
        <v>8</v>
      </c>
      <c r="C31" s="386">
        <v>0</v>
      </c>
      <c r="D31" s="386">
        <v>0</v>
      </c>
      <c r="E31" s="386">
        <v>0</v>
      </c>
      <c r="F31" s="386">
        <v>0</v>
      </c>
      <c r="G31" s="386">
        <v>0</v>
      </c>
      <c r="H31" s="386">
        <v>0</v>
      </c>
      <c r="I31" s="386">
        <v>0</v>
      </c>
      <c r="J31" s="386">
        <v>0</v>
      </c>
      <c r="K31" s="387">
        <v>0</v>
      </c>
      <c r="L31" s="387">
        <f t="shared" si="12"/>
        <v>0</v>
      </c>
      <c r="M31" s="387">
        <f t="shared" si="12"/>
        <v>0</v>
      </c>
      <c r="N31" s="387">
        <f t="shared" si="12"/>
        <v>0.21504110739703045</v>
      </c>
      <c r="O31" s="387">
        <f t="shared" si="12"/>
        <v>0.21504110739703045</v>
      </c>
      <c r="P31" s="374">
        <f t="shared" si="15"/>
        <v>3.3083247291850838E-2</v>
      </c>
      <c r="Q31" s="189">
        <f t="shared" si="16"/>
        <v>3.3083247291850838E-2</v>
      </c>
      <c r="R31" s="189">
        <f t="shared" si="16"/>
        <v>3.3083247291850838E-2</v>
      </c>
      <c r="S31" s="189">
        <f t="shared" si="16"/>
        <v>3.3083247291850838E-2</v>
      </c>
      <c r="T31" s="189">
        <f t="shared" si="16"/>
        <v>3.3083247291850838E-2</v>
      </c>
      <c r="U31" s="189">
        <f t="shared" si="16"/>
        <v>3.3083247291850838E-2</v>
      </c>
      <c r="V31" s="189">
        <f t="shared" si="16"/>
        <v>3.3083247291850838E-2</v>
      </c>
      <c r="W31" s="189">
        <f t="shared" si="16"/>
        <v>3.3083247291850838E-2</v>
      </c>
      <c r="X31" s="189">
        <f t="shared" si="16"/>
        <v>3.3083247291850838E-2</v>
      </c>
      <c r="Y31" s="189">
        <f t="shared" si="16"/>
        <v>3.3083247291850838E-2</v>
      </c>
      <c r="Z31" s="189">
        <f t="shared" si="16"/>
        <v>3.3083247291850838E-2</v>
      </c>
      <c r="AA31" s="189">
        <f t="shared" si="16"/>
        <v>3.3083247291850838E-2</v>
      </c>
      <c r="AB31" s="195">
        <f t="shared" ref="AB31" si="21">+AA31</f>
        <v>3.3083247291850838E-2</v>
      </c>
      <c r="AD31" s="418" t="s">
        <v>234</v>
      </c>
    </row>
    <row r="32" spans="2:30" x14ac:dyDescent="0.3">
      <c r="B32" s="185" t="s">
        <v>9</v>
      </c>
      <c r="C32" s="386">
        <v>0</v>
      </c>
      <c r="D32" s="386">
        <v>0</v>
      </c>
      <c r="E32" s="386">
        <v>0</v>
      </c>
      <c r="F32" s="386">
        <v>0</v>
      </c>
      <c r="G32" s="386">
        <v>0</v>
      </c>
      <c r="H32" s="386">
        <v>0</v>
      </c>
      <c r="I32" s="386">
        <v>0</v>
      </c>
      <c r="J32" s="386">
        <f>+J10/J21</f>
        <v>0</v>
      </c>
      <c r="K32" s="387">
        <f>+K10/K21</f>
        <v>0</v>
      </c>
      <c r="L32" s="387">
        <f t="shared" si="12"/>
        <v>0</v>
      </c>
      <c r="M32" s="387">
        <f t="shared" si="12"/>
        <v>0</v>
      </c>
      <c r="N32" s="387">
        <f t="shared" si="12"/>
        <v>1.3197886496632245</v>
      </c>
      <c r="O32" s="387">
        <f t="shared" si="12"/>
        <v>1.3197886496632245</v>
      </c>
      <c r="P32" s="374">
        <f t="shared" si="15"/>
        <v>0.20304440764049608</v>
      </c>
      <c r="Q32" s="189">
        <f t="shared" si="16"/>
        <v>0.20304440764049608</v>
      </c>
      <c r="R32" s="189">
        <f t="shared" si="16"/>
        <v>0.20304440764049608</v>
      </c>
      <c r="S32" s="189">
        <f t="shared" si="16"/>
        <v>0.20304440764049608</v>
      </c>
      <c r="T32" s="189">
        <f t="shared" si="16"/>
        <v>0.20304440764049608</v>
      </c>
      <c r="U32" s="189">
        <f t="shared" si="16"/>
        <v>0.20304440764049608</v>
      </c>
      <c r="V32" s="189">
        <f t="shared" si="16"/>
        <v>0.20304440764049608</v>
      </c>
      <c r="W32" s="189">
        <f t="shared" si="16"/>
        <v>0.20304440764049608</v>
      </c>
      <c r="X32" s="189">
        <f t="shared" si="16"/>
        <v>0.20304440764049608</v>
      </c>
      <c r="Y32" s="189">
        <f t="shared" si="16"/>
        <v>0.20304440764049608</v>
      </c>
      <c r="Z32" s="189">
        <f t="shared" si="16"/>
        <v>0.20304440764049608</v>
      </c>
      <c r="AA32" s="189">
        <f t="shared" si="16"/>
        <v>0.20304440764049608</v>
      </c>
      <c r="AB32" s="195">
        <f t="shared" ref="AB32" si="22">+AA32</f>
        <v>0.20304440764049608</v>
      </c>
      <c r="AD32" s="418" t="s">
        <v>234</v>
      </c>
    </row>
    <row r="33" spans="2:30" x14ac:dyDescent="0.3">
      <c r="B33" s="185" t="s">
        <v>10</v>
      </c>
      <c r="C33" s="386">
        <v>0</v>
      </c>
      <c r="D33" s="386">
        <v>0</v>
      </c>
      <c r="E33" s="386">
        <v>0</v>
      </c>
      <c r="F33" s="386">
        <v>0</v>
      </c>
      <c r="G33" s="386">
        <v>0</v>
      </c>
      <c r="H33" s="386">
        <v>0</v>
      </c>
      <c r="I33" s="386">
        <v>0</v>
      </c>
      <c r="J33" s="386">
        <f>+J11/J22</f>
        <v>0</v>
      </c>
      <c r="K33" s="387">
        <f>+K11/K22</f>
        <v>0</v>
      </c>
      <c r="L33" s="387">
        <f t="shared" si="12"/>
        <v>0</v>
      </c>
      <c r="M33" s="387">
        <f t="shared" si="12"/>
        <v>0</v>
      </c>
      <c r="N33" s="387">
        <f t="shared" si="12"/>
        <v>0.77474927644079128</v>
      </c>
      <c r="O33" s="387">
        <f t="shared" si="12"/>
        <v>0.77474927644079128</v>
      </c>
      <c r="P33" s="374">
        <f t="shared" si="15"/>
        <v>0.11919219637550635</v>
      </c>
      <c r="Q33" s="189">
        <f t="shared" si="16"/>
        <v>0.11919219637550635</v>
      </c>
      <c r="R33" s="189">
        <f t="shared" si="16"/>
        <v>0.11919219637550635</v>
      </c>
      <c r="S33" s="189">
        <f t="shared" si="16"/>
        <v>0.11919219637550635</v>
      </c>
      <c r="T33" s="189">
        <f t="shared" si="16"/>
        <v>0.11919219637550635</v>
      </c>
      <c r="U33" s="189">
        <f t="shared" si="16"/>
        <v>0.11919219637550635</v>
      </c>
      <c r="V33" s="189">
        <f t="shared" si="16"/>
        <v>0.11919219637550635</v>
      </c>
      <c r="W33" s="189">
        <f t="shared" si="16"/>
        <v>0.11919219637550635</v>
      </c>
      <c r="X33" s="189">
        <f t="shared" si="16"/>
        <v>0.11919219637550635</v>
      </c>
      <c r="Y33" s="189">
        <f t="shared" si="16"/>
        <v>0.11919219637550635</v>
      </c>
      <c r="Z33" s="189">
        <f t="shared" si="16"/>
        <v>0.11919219637550635</v>
      </c>
      <c r="AA33" s="189">
        <f t="shared" si="16"/>
        <v>0.11919219637550635</v>
      </c>
      <c r="AB33" s="195">
        <f t="shared" ref="AB33" si="23">+AA33</f>
        <v>0.11919219637550635</v>
      </c>
      <c r="AD33" s="418" t="s">
        <v>234</v>
      </c>
    </row>
    <row r="34" spans="2:30" x14ac:dyDescent="0.3">
      <c r="B34" s="185" t="s">
        <v>11</v>
      </c>
      <c r="C34" s="386">
        <v>0</v>
      </c>
      <c r="D34" s="386">
        <v>0</v>
      </c>
      <c r="E34" s="386">
        <v>0</v>
      </c>
      <c r="F34" s="386">
        <v>0</v>
      </c>
      <c r="G34" s="386">
        <v>0</v>
      </c>
      <c r="H34" s="386">
        <v>0</v>
      </c>
      <c r="I34" s="386">
        <v>0</v>
      </c>
      <c r="J34" s="386">
        <v>0</v>
      </c>
      <c r="K34" s="387">
        <v>0</v>
      </c>
      <c r="L34" s="387">
        <f t="shared" si="12"/>
        <v>0</v>
      </c>
      <c r="M34" s="387">
        <f t="shared" si="12"/>
        <v>0</v>
      </c>
      <c r="N34" s="387">
        <f t="shared" si="12"/>
        <v>0.442264073163956</v>
      </c>
      <c r="O34" s="387">
        <f t="shared" si="12"/>
        <v>0.442264073163956</v>
      </c>
      <c r="P34" s="374">
        <f t="shared" si="15"/>
        <v>6.8040626640608615E-2</v>
      </c>
      <c r="Q34" s="189">
        <f t="shared" si="16"/>
        <v>6.8040626640608615E-2</v>
      </c>
      <c r="R34" s="189">
        <f t="shared" si="16"/>
        <v>6.8040626640608615E-2</v>
      </c>
      <c r="S34" s="189">
        <f t="shared" si="16"/>
        <v>6.8040626640608615E-2</v>
      </c>
      <c r="T34" s="189">
        <f t="shared" si="16"/>
        <v>6.8040626640608615E-2</v>
      </c>
      <c r="U34" s="189">
        <f t="shared" si="16"/>
        <v>6.8040626640608615E-2</v>
      </c>
      <c r="V34" s="189">
        <f t="shared" si="16"/>
        <v>6.8040626640608615E-2</v>
      </c>
      <c r="W34" s="189">
        <f t="shared" si="16"/>
        <v>6.8040626640608615E-2</v>
      </c>
      <c r="X34" s="189">
        <f t="shared" si="16"/>
        <v>6.8040626640608615E-2</v>
      </c>
      <c r="Y34" s="189">
        <f t="shared" si="16"/>
        <v>6.8040626640608615E-2</v>
      </c>
      <c r="Z34" s="189">
        <f t="shared" si="16"/>
        <v>6.8040626640608615E-2</v>
      </c>
      <c r="AA34" s="189">
        <f t="shared" si="16"/>
        <v>6.8040626640608615E-2</v>
      </c>
      <c r="AB34" s="195">
        <f t="shared" ref="AB34" si="24">+AA34</f>
        <v>6.8040626640608615E-2</v>
      </c>
      <c r="AD34" s="418" t="s">
        <v>234</v>
      </c>
    </row>
    <row r="35" spans="2:30" ht="15" thickBot="1" x14ac:dyDescent="0.35">
      <c r="B35" s="186" t="s">
        <v>12</v>
      </c>
      <c r="C35" s="388">
        <v>0</v>
      </c>
      <c r="D35" s="388">
        <v>0</v>
      </c>
      <c r="E35" s="388">
        <v>0</v>
      </c>
      <c r="F35" s="388">
        <v>0</v>
      </c>
      <c r="G35" s="388">
        <v>0</v>
      </c>
      <c r="H35" s="388">
        <f>+H13/H24</f>
        <v>0</v>
      </c>
      <c r="I35" s="388">
        <f>+I13/I24</f>
        <v>0</v>
      </c>
      <c r="J35" s="388">
        <f>+J13/J24</f>
        <v>0</v>
      </c>
      <c r="K35" s="389">
        <f>+K13/K24</f>
        <v>0</v>
      </c>
      <c r="L35" s="389">
        <f t="shared" si="12"/>
        <v>0</v>
      </c>
      <c r="M35" s="389">
        <f t="shared" si="12"/>
        <v>0</v>
      </c>
      <c r="N35" s="389">
        <f t="shared" si="12"/>
        <v>6.0824348362237162</v>
      </c>
      <c r="O35" s="389">
        <f t="shared" si="12"/>
        <v>6.0824348362237162</v>
      </c>
      <c r="P35" s="374">
        <f t="shared" si="15"/>
        <v>0.93575920557287939</v>
      </c>
      <c r="Q35" s="196">
        <f t="shared" si="16"/>
        <v>0.93575920557287939</v>
      </c>
      <c r="R35" s="196">
        <f t="shared" si="16"/>
        <v>0.93575920557287939</v>
      </c>
      <c r="S35" s="196">
        <f t="shared" si="16"/>
        <v>0.93575920557287939</v>
      </c>
      <c r="T35" s="196">
        <f t="shared" si="16"/>
        <v>0.93575920557287939</v>
      </c>
      <c r="U35" s="196">
        <f t="shared" si="16"/>
        <v>0.93575920557287939</v>
      </c>
      <c r="V35" s="196">
        <f t="shared" si="16"/>
        <v>0.93575920557287939</v>
      </c>
      <c r="W35" s="196">
        <f t="shared" si="16"/>
        <v>0.93575920557287939</v>
      </c>
      <c r="X35" s="196">
        <f t="shared" si="16"/>
        <v>0.93575920557287939</v>
      </c>
      <c r="Y35" s="196">
        <f t="shared" si="16"/>
        <v>0.93575920557287939</v>
      </c>
      <c r="Z35" s="196">
        <f t="shared" si="16"/>
        <v>0.93575920557287939</v>
      </c>
      <c r="AA35" s="196">
        <f t="shared" si="16"/>
        <v>0.93575920557287939</v>
      </c>
      <c r="AB35" s="198">
        <f t="shared" ref="AB35" si="25">+AA35</f>
        <v>0.93575920557287939</v>
      </c>
      <c r="AD35" s="418" t="s">
        <v>234</v>
      </c>
    </row>
    <row r="37" spans="2:30" ht="15" thickBot="1" x14ac:dyDescent="0.35">
      <c r="B37" s="415" t="s">
        <v>183</v>
      </c>
      <c r="C37" s="52"/>
      <c r="D37" s="52"/>
      <c r="E37" s="52"/>
      <c r="F37" s="52"/>
      <c r="G37" s="52"/>
      <c r="H37" s="52"/>
      <c r="I37" s="52"/>
      <c r="J37" s="52"/>
      <c r="K37" s="52"/>
      <c r="L37" s="52"/>
      <c r="M37" s="52"/>
      <c r="N37" s="52"/>
      <c r="O37" s="52"/>
      <c r="P37" s="52"/>
      <c r="Q37" s="52"/>
      <c r="R37" s="52"/>
      <c r="S37" s="52"/>
      <c r="T37" s="52"/>
      <c r="U37" s="52"/>
      <c r="V37" s="52"/>
      <c r="W37" s="52"/>
      <c r="X37" s="52"/>
      <c r="Y37" s="52"/>
      <c r="Z37" s="52"/>
      <c r="AA37" s="52"/>
      <c r="AB37" s="52"/>
    </row>
    <row r="38" spans="2:30" ht="15" thickBot="1" x14ac:dyDescent="0.35">
      <c r="B38" s="142" t="s">
        <v>166</v>
      </c>
      <c r="C38" s="187">
        <f>+SUM(DATOS_INGEI!C26:C29)/1000</f>
        <v>839.3201959999999</v>
      </c>
      <c r="D38" s="187">
        <f>+SUM(DATOS_INGEI!D26:D29)/1000</f>
        <v>839.3201959999999</v>
      </c>
      <c r="E38" s="187">
        <f>+SUM(DATOS_INGEI!E26:E29)/1000</f>
        <v>839.3201959999999</v>
      </c>
      <c r="F38" s="187">
        <f>+SUM(DATOS_INGEI!F26:F29)/1000</f>
        <v>839.3201959999999</v>
      </c>
      <c r="G38" s="187">
        <f>+SUM(DATOS_INGEI!G26:G29)/1000</f>
        <v>839.3201959999999</v>
      </c>
      <c r="H38" s="187">
        <f>+SUM(DATOS_INGEI!H26:H29)/1000</f>
        <v>613.67044933333318</v>
      </c>
      <c r="I38" s="187">
        <f>+SUM(DATOS_INGEI!I26:I29)/1000</f>
        <v>388.02070266666658</v>
      </c>
      <c r="J38" s="187">
        <f>+SUM(DATOS_INGEI!J26:J29)/1000</f>
        <v>617.90127299999983</v>
      </c>
      <c r="K38" s="187">
        <f>+SUM(DATOS_INGEI!K26:K29)/1000</f>
        <v>847.78184333333331</v>
      </c>
      <c r="L38" s="187">
        <f>+SUM(DATOS_INGEI!L26:L29)/1000</f>
        <v>2.6208306666666661</v>
      </c>
      <c r="M38" s="187">
        <f>+SUM(DATOS_INGEI!M26:M29)/1000</f>
        <v>2.6208306666666661</v>
      </c>
      <c r="N38" s="187">
        <f>+SUM(DATOS_INGEI!N26:N29)/1000</f>
        <v>0.57384066666666655</v>
      </c>
      <c r="O38" s="187">
        <f>+SUM(DATOS_INGEI!O26:O29)/1000</f>
        <v>0.57384066666666655</v>
      </c>
      <c r="P38" s="392">
        <f>+P39+P40</f>
        <v>100.22206904699264</v>
      </c>
      <c r="Q38" s="392">
        <f t="shared" ref="Q38:AB38" si="26">+Q39+Q40</f>
        <v>100.22206904699264</v>
      </c>
      <c r="R38" s="392">
        <f t="shared" si="26"/>
        <v>100.22206904699264</v>
      </c>
      <c r="S38" s="392">
        <f t="shared" si="26"/>
        <v>100.22206904699264</v>
      </c>
      <c r="T38" s="392">
        <f t="shared" si="26"/>
        <v>100.22206904699264</v>
      </c>
      <c r="U38" s="392">
        <f t="shared" si="26"/>
        <v>100.22206904699264</v>
      </c>
      <c r="V38" s="392">
        <f t="shared" si="26"/>
        <v>100.22206904699264</v>
      </c>
      <c r="W38" s="392">
        <f t="shared" si="26"/>
        <v>100.22206904699264</v>
      </c>
      <c r="X38" s="392">
        <f t="shared" si="26"/>
        <v>100.22206904699264</v>
      </c>
      <c r="Y38" s="392">
        <f t="shared" si="26"/>
        <v>100.22206904699264</v>
      </c>
      <c r="Z38" s="392">
        <f t="shared" si="26"/>
        <v>100.22206904699264</v>
      </c>
      <c r="AA38" s="392">
        <f t="shared" si="26"/>
        <v>100.22206904699264</v>
      </c>
      <c r="AB38" s="393">
        <f t="shared" si="26"/>
        <v>100.22206904699264</v>
      </c>
    </row>
    <row r="39" spans="2:30" x14ac:dyDescent="0.3">
      <c r="B39" s="191" t="s">
        <v>184</v>
      </c>
      <c r="C39" s="192">
        <f>+DATOS_INGEI!C26/1000</f>
        <v>827.38369999999986</v>
      </c>
      <c r="D39" s="192">
        <f>+DATOS_INGEI!D26/1000</f>
        <v>827.38369999999986</v>
      </c>
      <c r="E39" s="192">
        <f>+DATOS_INGEI!E26/1000</f>
        <v>827.38369999999986</v>
      </c>
      <c r="F39" s="192">
        <f>+DATOS_INGEI!F26/1000</f>
        <v>827.38369999999986</v>
      </c>
      <c r="G39" s="192">
        <f>+DATOS_INGEI!G26/1000</f>
        <v>827.38369999999986</v>
      </c>
      <c r="H39" s="192">
        <f>+DATOS_INGEI!H26/1000</f>
        <v>602.16823333333321</v>
      </c>
      <c r="I39" s="192">
        <f>+DATOS_INGEI!I26/1000</f>
        <v>376.95276666666661</v>
      </c>
      <c r="J39" s="192">
        <f>+DATOS_INGEI!J26/1000</f>
        <v>610.69222499999989</v>
      </c>
      <c r="K39" s="193">
        <f>+DATOS_INGEI!K26/1000</f>
        <v>844.43168333333324</v>
      </c>
      <c r="L39" s="193">
        <f>+DATOS_INGEI!L26/1000</f>
        <v>2.5215666666666663</v>
      </c>
      <c r="M39" s="193">
        <f>+DATOS_INGEI!M26/1000</f>
        <v>2.5215666666666663</v>
      </c>
      <c r="N39" s="193">
        <f>+DATOS_INGEI!N26/1000</f>
        <v>0.22641666666666663</v>
      </c>
      <c r="O39" s="193">
        <f>+DATOS_INGEI!O26/1000</f>
        <v>0.22641666666666663</v>
      </c>
      <c r="P39" s="395">
        <f>+P42*P45</f>
        <v>97.997153022277274</v>
      </c>
      <c r="Q39" s="395">
        <f t="shared" ref="Q39:AB39" si="27">+Q42*Q45</f>
        <v>97.997153022277274</v>
      </c>
      <c r="R39" s="395">
        <f t="shared" si="27"/>
        <v>97.997153022277274</v>
      </c>
      <c r="S39" s="395">
        <f>+S42*S45</f>
        <v>97.997153022277274</v>
      </c>
      <c r="T39" s="395">
        <f t="shared" si="27"/>
        <v>97.997153022277274</v>
      </c>
      <c r="U39" s="395">
        <f t="shared" si="27"/>
        <v>97.997153022277274</v>
      </c>
      <c r="V39" s="395">
        <f t="shared" si="27"/>
        <v>97.997153022277274</v>
      </c>
      <c r="W39" s="395">
        <f t="shared" si="27"/>
        <v>97.997153022277274</v>
      </c>
      <c r="X39" s="395">
        <f t="shared" si="27"/>
        <v>97.997153022277274</v>
      </c>
      <c r="Y39" s="395">
        <f t="shared" si="27"/>
        <v>97.997153022277274</v>
      </c>
      <c r="Z39" s="395">
        <f t="shared" si="27"/>
        <v>97.997153022277274</v>
      </c>
      <c r="AA39" s="395">
        <f t="shared" si="27"/>
        <v>97.997153022277274</v>
      </c>
      <c r="AB39" s="396">
        <f t="shared" si="27"/>
        <v>97.997153022277274</v>
      </c>
    </row>
    <row r="40" spans="2:30" ht="15" thickBot="1" x14ac:dyDescent="0.35">
      <c r="B40" s="186" t="s">
        <v>185</v>
      </c>
      <c r="C40" s="196">
        <f>+DATOS_INGEI!C27/1000</f>
        <v>11.936495999999998</v>
      </c>
      <c r="D40" s="196">
        <f>+DATOS_INGEI!D27/1000</f>
        <v>11.936495999999998</v>
      </c>
      <c r="E40" s="196">
        <f>+DATOS_INGEI!E27/1000</f>
        <v>11.936495999999998</v>
      </c>
      <c r="F40" s="196">
        <f>+DATOS_INGEI!F27/1000</f>
        <v>11.936495999999998</v>
      </c>
      <c r="G40" s="196">
        <f>+DATOS_INGEI!G27/1000</f>
        <v>11.936495999999998</v>
      </c>
      <c r="H40" s="196">
        <f>+DATOS_INGEI!H27/1000</f>
        <v>11.502215999999999</v>
      </c>
      <c r="I40" s="196">
        <f>+DATOS_INGEI!I27/1000</f>
        <v>11.067936</v>
      </c>
      <c r="J40" s="196">
        <f>+DATOS_INGEI!J27/1000</f>
        <v>7.2090480000000001</v>
      </c>
      <c r="K40" s="197">
        <f>+DATOS_INGEI!K27/1000</f>
        <v>3.3501599999999998</v>
      </c>
      <c r="L40" s="197">
        <f>+DATOS_INGEI!L27/1000</f>
        <v>9.9263999999999977E-2</v>
      </c>
      <c r="M40" s="197">
        <f>+DATOS_INGEI!M27/1000</f>
        <v>9.9263999999999977E-2</v>
      </c>
      <c r="N40" s="197">
        <f>+DATOS_INGEI!N27/1000</f>
        <v>0.34742399999999996</v>
      </c>
      <c r="O40" s="197">
        <f>+DATOS_INGEI!O27/1000</f>
        <v>0.34742399999999996</v>
      </c>
      <c r="P40" s="398">
        <f>+P43*P46</f>
        <v>2.2249160247153714</v>
      </c>
      <c r="Q40" s="398">
        <f t="shared" ref="Q40:AB40" si="28">+Q43*Q46</f>
        <v>2.2249160247153714</v>
      </c>
      <c r="R40" s="398">
        <f t="shared" si="28"/>
        <v>2.2249160247153714</v>
      </c>
      <c r="S40" s="398">
        <f t="shared" si="28"/>
        <v>2.2249160247153714</v>
      </c>
      <c r="T40" s="398">
        <f t="shared" si="28"/>
        <v>2.2249160247153714</v>
      </c>
      <c r="U40" s="398">
        <f t="shared" si="28"/>
        <v>2.2249160247153714</v>
      </c>
      <c r="V40" s="398">
        <f t="shared" si="28"/>
        <v>2.2249160247153714</v>
      </c>
      <c r="W40" s="398">
        <f t="shared" si="28"/>
        <v>2.2249160247153714</v>
      </c>
      <c r="X40" s="398">
        <f t="shared" si="28"/>
        <v>2.2249160247153714</v>
      </c>
      <c r="Y40" s="398">
        <f t="shared" si="28"/>
        <v>2.2249160247153714</v>
      </c>
      <c r="Z40" s="398">
        <f t="shared" si="28"/>
        <v>2.2249160247153714</v>
      </c>
      <c r="AA40" s="398">
        <f t="shared" si="28"/>
        <v>2.2249160247153714</v>
      </c>
      <c r="AB40" s="399">
        <f t="shared" si="28"/>
        <v>2.2249160247153714</v>
      </c>
    </row>
    <row r="41" spans="2:30" ht="15" thickBot="1" x14ac:dyDescent="0.35">
      <c r="B41" s="142" t="s">
        <v>34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8"/>
    </row>
    <row r="42" spans="2:30" x14ac:dyDescent="0.3">
      <c r="B42" s="191" t="s">
        <v>184</v>
      </c>
      <c r="C42" s="480">
        <f>+COBERTURA_CAMBIOS_TF!E49/1000</f>
        <v>7.7390400000000001</v>
      </c>
      <c r="D42" s="480">
        <f>+COBERTURA_CAMBIOS_TF!F49/1000</f>
        <v>7.7390400000000001</v>
      </c>
      <c r="E42" s="480">
        <f>+COBERTURA_CAMBIOS_TF!G49/1000</f>
        <v>7.7390400000000001</v>
      </c>
      <c r="F42" s="480">
        <f>+COBERTURA_CAMBIOS_TF!H49/1000</f>
        <v>7.7390400000000001</v>
      </c>
      <c r="G42" s="480">
        <f>+COBERTURA_CAMBIOS_TF!I49/1000</f>
        <v>7.7390400000000001</v>
      </c>
      <c r="H42" s="480">
        <f>+COBERTURA_CAMBIOS_TF!J49/1000</f>
        <v>7.6357550000000005</v>
      </c>
      <c r="I42" s="480">
        <f>+COBERTURA_CAMBIOS_TF!K49/1000</f>
        <v>7.53247</v>
      </c>
      <c r="J42" s="480">
        <f>+COBERTURA_CAMBIOS_TF!L49/1000</f>
        <v>7.9341350000000004</v>
      </c>
      <c r="K42" s="481">
        <f>+COBERTURA_CAMBIOS_TF!M49/1000</f>
        <v>8.335799999999999</v>
      </c>
      <c r="L42" s="481">
        <f>+COBERTURA_CAMBIOS_TF!N49/1000</f>
        <v>7.0826899999999995</v>
      </c>
      <c r="M42" s="481">
        <f>+COBERTURA_CAMBIOS_TF!O49/1000</f>
        <v>7.0826899999999995</v>
      </c>
      <c r="N42" s="481">
        <f>+COBERTURA_CAMBIOS_TF!P49/1000</f>
        <v>1.51169</v>
      </c>
      <c r="O42" s="481">
        <f>+COBERTURA_CAMBIOS_TF!Q49/1000</f>
        <v>1.51169</v>
      </c>
      <c r="P42" s="480">
        <f>+COBERTURA_CAMBIOS_TF!R49/1000</f>
        <v>1.51169</v>
      </c>
      <c r="Q42" s="480">
        <f>+COBERTURA_CAMBIOS_TF!S49/1000</f>
        <v>1.51169</v>
      </c>
      <c r="R42" s="480">
        <f>+COBERTURA_CAMBIOS_TF!T49/1000</f>
        <v>1.51169</v>
      </c>
      <c r="S42" s="480">
        <f>+COBERTURA_CAMBIOS_TF!U49/1000</f>
        <v>1.51169</v>
      </c>
      <c r="T42" s="480">
        <f>+COBERTURA_CAMBIOS_TF!V49/1000</f>
        <v>1.51169</v>
      </c>
      <c r="U42" s="480">
        <f>+COBERTURA_CAMBIOS_TF!W49/1000</f>
        <v>1.51169</v>
      </c>
      <c r="V42" s="480">
        <f>+COBERTURA_CAMBIOS_TF!X49/1000</f>
        <v>1.51169</v>
      </c>
      <c r="W42" s="480">
        <f>+COBERTURA_CAMBIOS_TF!Y49/1000</f>
        <v>1.51169</v>
      </c>
      <c r="X42" s="480">
        <f>+COBERTURA_CAMBIOS_TF!Z49/1000</f>
        <v>1.51169</v>
      </c>
      <c r="Y42" s="480">
        <f>+COBERTURA_CAMBIOS_TF!AA49/1000</f>
        <v>1.51169</v>
      </c>
      <c r="Z42" s="480">
        <f>+COBERTURA_CAMBIOS_TF!AB49/1000</f>
        <v>1.51169</v>
      </c>
      <c r="AA42" s="480">
        <f>+COBERTURA_CAMBIOS_TF!AC49/1000</f>
        <v>1.51169</v>
      </c>
      <c r="AB42" s="482">
        <f>+COBERTURA_CAMBIOS_TF!AD49/1000</f>
        <v>1.51169</v>
      </c>
    </row>
    <row r="43" spans="2:30" ht="15" thickBot="1" x14ac:dyDescent="0.35">
      <c r="B43" s="186" t="s">
        <v>185</v>
      </c>
      <c r="C43" s="486">
        <f>+COBERTURA_CAMBIOS_TF!E50/1000</f>
        <v>0.42025999999999997</v>
      </c>
      <c r="D43" s="486">
        <f>+COBERTURA_CAMBIOS_TF!F50/1000</f>
        <v>0.42025999999999997</v>
      </c>
      <c r="E43" s="486">
        <f>+COBERTURA_CAMBIOS_TF!G50/1000</f>
        <v>0.42025999999999997</v>
      </c>
      <c r="F43" s="486">
        <f>+COBERTURA_CAMBIOS_TF!H50/1000</f>
        <v>0.42025999999999997</v>
      </c>
      <c r="G43" s="486">
        <f>+COBERTURA_CAMBIOS_TF!I50/1000</f>
        <v>0.42025999999999997</v>
      </c>
      <c r="H43" s="486">
        <f>+COBERTURA_CAMBIOS_TF!J50/1000</f>
        <v>0.65466499999999994</v>
      </c>
      <c r="I43" s="486">
        <f>+COBERTURA_CAMBIOS_TF!K50/1000</f>
        <v>0.88906999999999992</v>
      </c>
      <c r="J43" s="486">
        <f>+COBERTURA_CAMBIOS_TF!L50/1000</f>
        <v>0.53034999999999988</v>
      </c>
      <c r="K43" s="487">
        <f>+COBERTURA_CAMBIOS_TF!M50/1000</f>
        <v>0.17163</v>
      </c>
      <c r="L43" s="487">
        <f>+COBERTURA_CAMBIOS_TF!N50/1000</f>
        <v>1.0575999999999999</v>
      </c>
      <c r="M43" s="487">
        <f>+COBERTURA_CAMBIOS_TF!O50/1000</f>
        <v>1.0575999999999999</v>
      </c>
      <c r="N43" s="487">
        <f>+COBERTURA_CAMBIOS_TF!P50/1000</f>
        <v>0.13748000000000002</v>
      </c>
      <c r="O43" s="487">
        <f>+COBERTURA_CAMBIOS_TF!Q50/1000</f>
        <v>0.13748000000000002</v>
      </c>
      <c r="P43" s="486">
        <f>+COBERTURA_CAMBIOS_TF!R50/1000</f>
        <v>0.13748000000000002</v>
      </c>
      <c r="Q43" s="486">
        <f>+COBERTURA_CAMBIOS_TF!S50/1000</f>
        <v>0.13748000000000002</v>
      </c>
      <c r="R43" s="486">
        <f>+COBERTURA_CAMBIOS_TF!T50/1000</f>
        <v>0.13748000000000002</v>
      </c>
      <c r="S43" s="486">
        <f>+COBERTURA_CAMBIOS_TF!U50/1000</f>
        <v>0.13748000000000002</v>
      </c>
      <c r="T43" s="486">
        <f>+COBERTURA_CAMBIOS_TF!V50/1000</f>
        <v>0.13748000000000002</v>
      </c>
      <c r="U43" s="486">
        <f>+COBERTURA_CAMBIOS_TF!W50/1000</f>
        <v>0.13748000000000002</v>
      </c>
      <c r="V43" s="486">
        <f>+COBERTURA_CAMBIOS_TF!X50/1000</f>
        <v>0.13748000000000002</v>
      </c>
      <c r="W43" s="486">
        <f>+COBERTURA_CAMBIOS_TF!Y50/1000</f>
        <v>0.13748000000000002</v>
      </c>
      <c r="X43" s="486">
        <f>+COBERTURA_CAMBIOS_TF!Z50/1000</f>
        <v>0.13748000000000002</v>
      </c>
      <c r="Y43" s="486">
        <f>+COBERTURA_CAMBIOS_TF!AA50/1000</f>
        <v>0.13748000000000002</v>
      </c>
      <c r="Z43" s="486">
        <f>+COBERTURA_CAMBIOS_TF!AB50/1000</f>
        <v>0.13748000000000002</v>
      </c>
      <c r="AA43" s="486">
        <f>+COBERTURA_CAMBIOS_TF!AC50/1000</f>
        <v>0.13748000000000002</v>
      </c>
      <c r="AB43" s="488">
        <f>+COBERTURA_CAMBIOS_TF!AD50/1000</f>
        <v>0.13748000000000002</v>
      </c>
    </row>
    <row r="44" spans="2:30" ht="15" thickBot="1" x14ac:dyDescent="0.35">
      <c r="B44" s="142" t="s">
        <v>35</v>
      </c>
      <c r="C44" s="187"/>
      <c r="D44" s="187"/>
      <c r="E44" s="187"/>
      <c r="F44" s="187"/>
      <c r="G44" s="187"/>
      <c r="H44" s="187"/>
      <c r="I44" s="187"/>
      <c r="J44" s="187"/>
      <c r="K44" s="187"/>
      <c r="L44" s="187"/>
      <c r="M44" s="187"/>
      <c r="N44" s="187"/>
      <c r="O44" s="187"/>
      <c r="P44" s="187"/>
      <c r="Q44" s="187"/>
      <c r="R44" s="187"/>
      <c r="S44" s="187"/>
      <c r="T44" s="187"/>
      <c r="U44" s="187"/>
      <c r="V44" s="187"/>
      <c r="W44" s="187"/>
      <c r="X44" s="187"/>
      <c r="Y44" s="187"/>
      <c r="Z44" s="187"/>
      <c r="AA44" s="187"/>
      <c r="AB44" s="188"/>
      <c r="AD44" s="417" t="s">
        <v>232</v>
      </c>
    </row>
    <row r="45" spans="2:30" x14ac:dyDescent="0.3">
      <c r="B45" s="191" t="s">
        <v>184</v>
      </c>
      <c r="C45" s="384">
        <f t="shared" ref="C45:O45" si="29">+C39/C42</f>
        <v>106.91037906510367</v>
      </c>
      <c r="D45" s="384">
        <f t="shared" si="29"/>
        <v>106.91037906510367</v>
      </c>
      <c r="E45" s="384">
        <f t="shared" si="29"/>
        <v>106.91037906510367</v>
      </c>
      <c r="F45" s="384">
        <f t="shared" si="29"/>
        <v>106.91037906510367</v>
      </c>
      <c r="G45" s="384">
        <f t="shared" si="29"/>
        <v>106.91037906510367</v>
      </c>
      <c r="H45" s="384">
        <f t="shared" si="29"/>
        <v>78.861649350107896</v>
      </c>
      <c r="I45" s="384">
        <f t="shared" si="29"/>
        <v>50.043712974185972</v>
      </c>
      <c r="J45" s="384">
        <f t="shared" si="29"/>
        <v>76.970233680168022</v>
      </c>
      <c r="K45" s="385">
        <f t="shared" si="29"/>
        <v>101.30181666226797</v>
      </c>
      <c r="L45" s="385">
        <f t="shared" si="29"/>
        <v>0.35601821718396071</v>
      </c>
      <c r="M45" s="385">
        <f t="shared" si="29"/>
        <v>0.35601821718396071</v>
      </c>
      <c r="N45" s="385">
        <f t="shared" si="29"/>
        <v>0.14977718094759285</v>
      </c>
      <c r="O45" s="385">
        <f t="shared" si="29"/>
        <v>0.14977718094759285</v>
      </c>
      <c r="P45" s="340">
        <f>IF(AD45="CONSTANTE",O45,AVERAGE(C45:O45))</f>
        <v>64.82622298373164</v>
      </c>
      <c r="Q45" s="192">
        <f t="shared" ref="Q45:AB45" si="30">+P45</f>
        <v>64.82622298373164</v>
      </c>
      <c r="R45" s="192">
        <f t="shared" si="30"/>
        <v>64.82622298373164</v>
      </c>
      <c r="S45" s="192">
        <f t="shared" si="30"/>
        <v>64.82622298373164</v>
      </c>
      <c r="T45" s="192">
        <f t="shared" si="30"/>
        <v>64.82622298373164</v>
      </c>
      <c r="U45" s="192">
        <f t="shared" si="30"/>
        <v>64.82622298373164</v>
      </c>
      <c r="V45" s="192">
        <f t="shared" si="30"/>
        <v>64.82622298373164</v>
      </c>
      <c r="W45" s="192">
        <f t="shared" si="30"/>
        <v>64.82622298373164</v>
      </c>
      <c r="X45" s="192">
        <f t="shared" si="30"/>
        <v>64.82622298373164</v>
      </c>
      <c r="Y45" s="192">
        <f t="shared" si="30"/>
        <v>64.82622298373164</v>
      </c>
      <c r="Z45" s="192">
        <f t="shared" si="30"/>
        <v>64.82622298373164</v>
      </c>
      <c r="AA45" s="192">
        <f t="shared" si="30"/>
        <v>64.82622298373164</v>
      </c>
      <c r="AB45" s="194">
        <f t="shared" si="30"/>
        <v>64.82622298373164</v>
      </c>
      <c r="AD45" s="418" t="s">
        <v>234</v>
      </c>
    </row>
    <row r="46" spans="2:30" ht="15" thickBot="1" x14ac:dyDescent="0.35">
      <c r="B46" s="186" t="s">
        <v>185</v>
      </c>
      <c r="C46" s="388">
        <f t="shared" ref="C46:O46" si="31">+C40/C43</f>
        <v>28.402645981059344</v>
      </c>
      <c r="D46" s="388">
        <f t="shared" si="31"/>
        <v>28.402645981059344</v>
      </c>
      <c r="E46" s="388">
        <f t="shared" si="31"/>
        <v>28.402645981059344</v>
      </c>
      <c r="F46" s="388">
        <f t="shared" si="31"/>
        <v>28.402645981059344</v>
      </c>
      <c r="G46" s="388">
        <f t="shared" si="31"/>
        <v>28.402645981059344</v>
      </c>
      <c r="H46" s="388">
        <f t="shared" si="31"/>
        <v>17.569621103923382</v>
      </c>
      <c r="I46" s="388">
        <f t="shared" si="31"/>
        <v>12.448891538349063</v>
      </c>
      <c r="J46" s="388">
        <f t="shared" si="31"/>
        <v>13.593000848496279</v>
      </c>
      <c r="K46" s="389">
        <f t="shared" si="31"/>
        <v>19.519664394336651</v>
      </c>
      <c r="L46" s="389">
        <f t="shared" si="31"/>
        <v>9.3857791225416029E-2</v>
      </c>
      <c r="M46" s="389">
        <f t="shared" si="31"/>
        <v>9.3857791225416029E-2</v>
      </c>
      <c r="N46" s="389">
        <f t="shared" si="31"/>
        <v>2.5270875763747447</v>
      </c>
      <c r="O46" s="389">
        <f t="shared" si="31"/>
        <v>2.5270875763747447</v>
      </c>
      <c r="P46" s="375">
        <f t="shared" ref="P46" si="32">IF(AD46="CONSTANTE",O46,AVERAGE(C46:O46))</f>
        <v>16.183561425046342</v>
      </c>
      <c r="Q46" s="196">
        <f t="shared" ref="Q46:AB46" si="33">+P46</f>
        <v>16.183561425046342</v>
      </c>
      <c r="R46" s="196">
        <f t="shared" si="33"/>
        <v>16.183561425046342</v>
      </c>
      <c r="S46" s="196">
        <f t="shared" si="33"/>
        <v>16.183561425046342</v>
      </c>
      <c r="T46" s="196">
        <f t="shared" si="33"/>
        <v>16.183561425046342</v>
      </c>
      <c r="U46" s="196">
        <f t="shared" si="33"/>
        <v>16.183561425046342</v>
      </c>
      <c r="V46" s="196">
        <f t="shared" si="33"/>
        <v>16.183561425046342</v>
      </c>
      <c r="W46" s="196">
        <f t="shared" si="33"/>
        <v>16.183561425046342</v>
      </c>
      <c r="X46" s="196">
        <f t="shared" si="33"/>
        <v>16.183561425046342</v>
      </c>
      <c r="Y46" s="196">
        <f t="shared" si="33"/>
        <v>16.183561425046342</v>
      </c>
      <c r="Z46" s="196">
        <f t="shared" si="33"/>
        <v>16.183561425046342</v>
      </c>
      <c r="AA46" s="196">
        <f t="shared" si="33"/>
        <v>16.183561425046342</v>
      </c>
      <c r="AB46" s="198">
        <f t="shared" si="33"/>
        <v>16.183561425046342</v>
      </c>
      <c r="AD46" s="418" t="s">
        <v>234</v>
      </c>
    </row>
    <row r="47" spans="2:30" ht="15" thickBot="1" x14ac:dyDescent="0.35"/>
    <row r="48" spans="2:30" x14ac:dyDescent="0.3">
      <c r="B48" s="191" t="s">
        <v>231</v>
      </c>
      <c r="C48" s="367">
        <v>2010</v>
      </c>
      <c r="D48" s="367">
        <v>2011</v>
      </c>
      <c r="E48" s="367">
        <v>2012</v>
      </c>
      <c r="F48" s="367">
        <v>2013</v>
      </c>
      <c r="G48" s="367">
        <v>2014</v>
      </c>
      <c r="H48" s="367">
        <v>2015</v>
      </c>
      <c r="I48" s="367">
        <v>2016</v>
      </c>
      <c r="J48" s="367">
        <v>2017</v>
      </c>
      <c r="K48" s="367">
        <v>2018</v>
      </c>
      <c r="L48" s="367">
        <v>2019</v>
      </c>
      <c r="M48" s="367">
        <v>2020</v>
      </c>
      <c r="N48" s="367">
        <v>2021</v>
      </c>
      <c r="O48" s="367">
        <v>2022</v>
      </c>
      <c r="P48" s="367">
        <v>2023</v>
      </c>
      <c r="Q48" s="367">
        <v>2024</v>
      </c>
      <c r="R48" s="367">
        <v>2025</v>
      </c>
      <c r="S48" s="367">
        <v>2026</v>
      </c>
      <c r="T48" s="367">
        <v>2027</v>
      </c>
      <c r="U48" s="367">
        <v>2028</v>
      </c>
      <c r="V48" s="367">
        <v>2029</v>
      </c>
      <c r="W48" s="367">
        <v>2030</v>
      </c>
      <c r="X48" s="367">
        <v>2031</v>
      </c>
      <c r="Y48" s="367">
        <v>2032</v>
      </c>
      <c r="Z48" s="367">
        <v>2033</v>
      </c>
      <c r="AA48" s="367">
        <v>2034</v>
      </c>
      <c r="AB48" s="368">
        <v>2035</v>
      </c>
    </row>
    <row r="49" spans="2:28" x14ac:dyDescent="0.3">
      <c r="B49" s="390" t="s">
        <v>177</v>
      </c>
      <c r="C49" s="363">
        <f>C3</f>
        <v>0</v>
      </c>
      <c r="D49" s="363">
        <f t="shared" ref="D49:AB49" si="34">D3</f>
        <v>0</v>
      </c>
      <c r="E49" s="363">
        <f t="shared" si="34"/>
        <v>0</v>
      </c>
      <c r="F49" s="363">
        <f t="shared" si="34"/>
        <v>0</v>
      </c>
      <c r="G49" s="363">
        <f t="shared" si="34"/>
        <v>0</v>
      </c>
      <c r="H49" s="363">
        <f t="shared" si="34"/>
        <v>0</v>
      </c>
      <c r="I49" s="363">
        <f t="shared" si="34"/>
        <v>0</v>
      </c>
      <c r="J49" s="363">
        <f t="shared" si="34"/>
        <v>0</v>
      </c>
      <c r="K49" s="364">
        <f t="shared" si="34"/>
        <v>0</v>
      </c>
      <c r="L49" s="364">
        <f t="shared" si="34"/>
        <v>0</v>
      </c>
      <c r="M49" s="364">
        <f t="shared" si="34"/>
        <v>0</v>
      </c>
      <c r="N49" s="364">
        <f t="shared" si="34"/>
        <v>2.2652626919999999</v>
      </c>
      <c r="O49" s="364">
        <f t="shared" si="34"/>
        <v>2.2652626919999999</v>
      </c>
      <c r="P49" s="346">
        <f t="shared" si="34"/>
        <v>0.29680805334612304</v>
      </c>
      <c r="Q49" s="346">
        <f t="shared" si="34"/>
        <v>0.29456926901855929</v>
      </c>
      <c r="R49" s="346">
        <f t="shared" si="34"/>
        <v>0.292347375894984</v>
      </c>
      <c r="S49" s="346">
        <f t="shared" si="34"/>
        <v>0.29014224650071613</v>
      </c>
      <c r="T49" s="346">
        <f t="shared" si="34"/>
        <v>0.28795375432333042</v>
      </c>
      <c r="U49" s="346">
        <f t="shared" si="34"/>
        <v>0.28578205230582826</v>
      </c>
      <c r="V49" s="346">
        <f t="shared" si="34"/>
        <v>0.2836261782373426</v>
      </c>
      <c r="W49" s="346">
        <f t="shared" si="34"/>
        <v>0.28148657398399185</v>
      </c>
      <c r="X49" s="346">
        <f t="shared" si="34"/>
        <v>0.27936393285540173</v>
      </c>
      <c r="Y49" s="346">
        <f t="shared" si="34"/>
        <v>0.27725675808062661</v>
      </c>
      <c r="Z49" s="346">
        <f t="shared" si="34"/>
        <v>0.27516548130057172</v>
      </c>
      <c r="AA49" s="346">
        <f t="shared" si="34"/>
        <v>0.27308998253792338</v>
      </c>
      <c r="AB49" s="347">
        <f t="shared" si="34"/>
        <v>0.2710304063899357</v>
      </c>
    </row>
    <row r="50" spans="2:28" ht="15" thickBot="1" x14ac:dyDescent="0.35">
      <c r="B50" s="416" t="s">
        <v>178</v>
      </c>
      <c r="C50" s="365">
        <f>+C38</f>
        <v>839.3201959999999</v>
      </c>
      <c r="D50" s="365">
        <f t="shared" ref="D50:AB50" si="35">+D38</f>
        <v>839.3201959999999</v>
      </c>
      <c r="E50" s="365">
        <f t="shared" si="35"/>
        <v>839.3201959999999</v>
      </c>
      <c r="F50" s="365">
        <f t="shared" si="35"/>
        <v>839.3201959999999</v>
      </c>
      <c r="G50" s="365">
        <f t="shared" si="35"/>
        <v>839.3201959999999</v>
      </c>
      <c r="H50" s="365">
        <f t="shared" si="35"/>
        <v>613.67044933333318</v>
      </c>
      <c r="I50" s="365">
        <f t="shared" si="35"/>
        <v>388.02070266666658</v>
      </c>
      <c r="J50" s="365">
        <f t="shared" si="35"/>
        <v>617.90127299999983</v>
      </c>
      <c r="K50" s="366">
        <f t="shared" si="35"/>
        <v>847.78184333333331</v>
      </c>
      <c r="L50" s="366">
        <f t="shared" si="35"/>
        <v>2.6208306666666661</v>
      </c>
      <c r="M50" s="366">
        <f t="shared" si="35"/>
        <v>2.6208306666666661</v>
      </c>
      <c r="N50" s="366">
        <f t="shared" si="35"/>
        <v>0.57384066666666655</v>
      </c>
      <c r="O50" s="366">
        <f t="shared" si="35"/>
        <v>0.57384066666666655</v>
      </c>
      <c r="P50" s="350">
        <f t="shared" si="35"/>
        <v>100.22206904699264</v>
      </c>
      <c r="Q50" s="350">
        <f t="shared" si="35"/>
        <v>100.22206904699264</v>
      </c>
      <c r="R50" s="350">
        <f t="shared" si="35"/>
        <v>100.22206904699264</v>
      </c>
      <c r="S50" s="350">
        <f t="shared" si="35"/>
        <v>100.22206904699264</v>
      </c>
      <c r="T50" s="350">
        <f t="shared" si="35"/>
        <v>100.22206904699264</v>
      </c>
      <c r="U50" s="350">
        <f t="shared" si="35"/>
        <v>100.22206904699264</v>
      </c>
      <c r="V50" s="350">
        <f t="shared" si="35"/>
        <v>100.22206904699264</v>
      </c>
      <c r="W50" s="350">
        <f t="shared" si="35"/>
        <v>100.22206904699264</v>
      </c>
      <c r="X50" s="350">
        <f t="shared" si="35"/>
        <v>100.22206904699264</v>
      </c>
      <c r="Y50" s="350">
        <f t="shared" si="35"/>
        <v>100.22206904699264</v>
      </c>
      <c r="Z50" s="350">
        <f t="shared" si="35"/>
        <v>100.22206904699264</v>
      </c>
      <c r="AA50" s="350">
        <f t="shared" si="35"/>
        <v>100.22206904699264</v>
      </c>
      <c r="AB50" s="351">
        <f t="shared" si="35"/>
        <v>100.22206904699264</v>
      </c>
    </row>
  </sheetData>
  <dataValidations count="1">
    <dataValidation type="list" allowBlank="1" showInputMessage="1" showErrorMessage="1" sqref="AD26:AD35 AD45:AD47" xr:uid="{D50FB06E-E9B4-4A86-B2D8-2E4BA21E90C6}">
      <formula1>"CONSTANTE, PROMEDIO"</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A7F5D-7629-4AF5-8F91-0E2FD81D4B65}">
  <sheetPr>
    <tabColor theme="4"/>
  </sheetPr>
  <dimension ref="B1:AD50"/>
  <sheetViews>
    <sheetView tabSelected="1" topLeftCell="B1" workbookViewId="0">
      <pane ySplit="1" topLeftCell="A10" activePane="bottomLeft" state="frozen"/>
      <selection pane="bottomLeft" activeCell="N19" sqref="N19"/>
    </sheetView>
  </sheetViews>
  <sheetFormatPr baseColWidth="10" defaultColWidth="11.44140625" defaultRowHeight="14.4" x14ac:dyDescent="0.3"/>
  <cols>
    <col min="2" max="2" width="52.33203125" customWidth="1"/>
    <col min="3" max="3" width="12" bestFit="1" customWidth="1"/>
  </cols>
  <sheetData>
    <row r="1" spans="2:28" ht="15" thickBot="1" x14ac:dyDescent="0.35">
      <c r="B1" s="182" t="s">
        <v>130</v>
      </c>
      <c r="C1" s="183">
        <v>2010</v>
      </c>
      <c r="D1" s="183">
        <v>2011</v>
      </c>
      <c r="E1" s="183">
        <v>2012</v>
      </c>
      <c r="F1" s="183">
        <v>2013</v>
      </c>
      <c r="G1" s="183">
        <v>2014</v>
      </c>
      <c r="H1" s="183">
        <v>2015</v>
      </c>
      <c r="I1" s="183">
        <v>2016</v>
      </c>
      <c r="J1" s="183">
        <v>2017</v>
      </c>
      <c r="K1" s="183">
        <v>2018</v>
      </c>
      <c r="L1" s="183">
        <v>2019</v>
      </c>
      <c r="M1" s="183">
        <v>2020</v>
      </c>
      <c r="N1" s="183">
        <v>2021</v>
      </c>
      <c r="O1" s="183">
        <v>2022</v>
      </c>
      <c r="P1" s="183">
        <v>2023</v>
      </c>
      <c r="Q1" s="183">
        <v>2024</v>
      </c>
      <c r="R1" s="183">
        <v>2025</v>
      </c>
      <c r="S1" s="183">
        <v>2026</v>
      </c>
      <c r="T1" s="183">
        <v>2027</v>
      </c>
      <c r="U1" s="183">
        <v>2028</v>
      </c>
      <c r="V1" s="183">
        <v>2029</v>
      </c>
      <c r="W1" s="183">
        <v>2030</v>
      </c>
      <c r="X1" s="183">
        <v>2031</v>
      </c>
      <c r="Y1" s="183">
        <v>2032</v>
      </c>
      <c r="Z1" s="183">
        <v>2033</v>
      </c>
      <c r="AA1" s="183">
        <v>2034</v>
      </c>
      <c r="AB1" s="184">
        <v>2035</v>
      </c>
    </row>
    <row r="2" spans="2:28" ht="15" thickBot="1" x14ac:dyDescent="0.35">
      <c r="B2" s="131" t="s">
        <v>186</v>
      </c>
      <c r="C2" s="52"/>
      <c r="D2" s="52"/>
      <c r="E2" s="52"/>
      <c r="F2" s="52"/>
      <c r="G2" s="52"/>
      <c r="H2" s="52"/>
      <c r="I2" s="52"/>
      <c r="J2" s="52"/>
      <c r="K2" s="52"/>
      <c r="L2" s="52"/>
      <c r="M2" s="52"/>
      <c r="N2" s="52"/>
      <c r="O2" s="52"/>
      <c r="P2" s="52"/>
      <c r="Q2" s="52"/>
      <c r="R2" s="52"/>
      <c r="S2" s="52"/>
      <c r="T2" s="52"/>
      <c r="U2" s="52"/>
      <c r="V2" s="52"/>
      <c r="W2" s="52"/>
      <c r="X2" s="52"/>
      <c r="Y2" s="52"/>
      <c r="Z2" s="52"/>
      <c r="AA2" s="52"/>
      <c r="AB2" s="52"/>
    </row>
    <row r="3" spans="2:28" ht="15" thickBot="1" x14ac:dyDescent="0.35">
      <c r="B3" s="142" t="s">
        <v>166</v>
      </c>
      <c r="C3" s="187">
        <f>+DATOS_INGEI!C32/1000</f>
        <v>184.23561129999999</v>
      </c>
      <c r="D3" s="187">
        <f>+DATOS_INGEI!D32/1000</f>
        <v>184.23561129999999</v>
      </c>
      <c r="E3" s="187">
        <f>+DATOS_INGEI!E32/1000</f>
        <v>184.23561129999999</v>
      </c>
      <c r="F3" s="187">
        <f>+DATOS_INGEI!F32/1000</f>
        <v>184.23561129999999</v>
      </c>
      <c r="G3" s="187">
        <f>+DATOS_INGEI!G32/1000</f>
        <v>184.23561129999999</v>
      </c>
      <c r="H3" s="187">
        <f>+DATOS_INGEI!H32/1000</f>
        <v>164.90974564999999</v>
      </c>
      <c r="I3" s="187">
        <f>+DATOS_INGEI!I32/1000</f>
        <v>145.58387999999999</v>
      </c>
      <c r="J3" s="187">
        <f>+DATOS_INGEI!J32/1000</f>
        <v>194.42970869999999</v>
      </c>
      <c r="K3" s="187">
        <f>+DATOS_INGEI!K32/1000</f>
        <v>243.27553739999996</v>
      </c>
      <c r="L3" s="187">
        <f>+DATOS_INGEI!L32/1000</f>
        <v>1053.0942143999998</v>
      </c>
      <c r="M3" s="187">
        <f>+DATOS_INGEI!M32/1000</f>
        <v>1053.0942143999998</v>
      </c>
      <c r="N3" s="187">
        <f>+DATOS_INGEI!N32/1000</f>
        <v>828.15711146666683</v>
      </c>
      <c r="O3" s="187">
        <f>+DATOS_INGEI!O32/1000</f>
        <v>828.15711146666683</v>
      </c>
      <c r="P3" s="392">
        <f>+SUM(P4:P13)</f>
        <v>1002.4089387835246</v>
      </c>
      <c r="Q3" s="392">
        <f t="shared" ref="Q3:AB3" si="0">+SUM(Q4:Q13)</f>
        <v>994.85637253962284</v>
      </c>
      <c r="R3" s="392">
        <f t="shared" si="0"/>
        <v>987.36078897846119</v>
      </c>
      <c r="S3" s="392">
        <f t="shared" si="0"/>
        <v>979.92175806264902</v>
      </c>
      <c r="T3" s="392">
        <f t="shared" si="0"/>
        <v>972.53885300097522</v>
      </c>
      <c r="U3" s="392">
        <f t="shared" si="0"/>
        <v>965.21258974852094</v>
      </c>
      <c r="V3" s="392">
        <f t="shared" si="0"/>
        <v>957.93972227518702</v>
      </c>
      <c r="W3" s="392">
        <f t="shared" si="0"/>
        <v>950.72174122171452</v>
      </c>
      <c r="X3" s="392">
        <f t="shared" si="0"/>
        <v>943.56098547658519</v>
      </c>
      <c r="Y3" s="392">
        <f t="shared" si="0"/>
        <v>936.45240566475229</v>
      </c>
      <c r="Z3" s="392">
        <f t="shared" si="0"/>
        <v>929.39745793207521</v>
      </c>
      <c r="AA3" s="392">
        <f t="shared" si="0"/>
        <v>922.39573753362288</v>
      </c>
      <c r="AB3" s="393">
        <f t="shared" si="0"/>
        <v>915.44773226999655</v>
      </c>
    </row>
    <row r="4" spans="2:28" x14ac:dyDescent="0.3">
      <c r="B4" s="191" t="s">
        <v>2</v>
      </c>
      <c r="C4" s="192">
        <f>+C$3*COBERTURA_BOSQUE!C35</f>
        <v>0.44817579153016346</v>
      </c>
      <c r="D4" s="192">
        <f>+D$3*COBERTURA_BOSQUE!D35</f>
        <v>0.46857656723783037</v>
      </c>
      <c r="E4" s="192">
        <f>+E$3*COBERTURA_BOSQUE!E35</f>
        <v>0.4875319776032277</v>
      </c>
      <c r="F4" s="192">
        <f>+F$3*COBERTURA_BOSQUE!F35</f>
        <v>0.48062322911910393</v>
      </c>
      <c r="G4" s="192">
        <f>+G$3*COBERTURA_BOSQUE!G35</f>
        <v>0.47402238039862105</v>
      </c>
      <c r="H4" s="192">
        <f>+H$3*COBERTURA_BOSQUE!H35</f>
        <v>0.42021682581892961</v>
      </c>
      <c r="I4" s="192">
        <f>+I$3*COBERTURA_BOSQUE!I35</f>
        <v>0.36745723121770085</v>
      </c>
      <c r="J4" s="192">
        <f>+J$3*COBERTURA_BOSQUE!J35</f>
        <v>0.48214738722074174</v>
      </c>
      <c r="K4" s="193">
        <f>+K$3*COBERTURA_BOSQUE!K35</f>
        <v>0.5928614153017715</v>
      </c>
      <c r="L4" s="193">
        <f>+L$3*COBERTURA_BOSQUE!L35</f>
        <v>2.5663859715115409</v>
      </c>
      <c r="M4" s="193">
        <f>+M$3*COBERTURA_BOSQUE!M35</f>
        <v>2.5663859715115409</v>
      </c>
      <c r="N4" s="193">
        <f>+N$3*COBERTURA_BOSQUE!N35</f>
        <v>1.8958122466164509</v>
      </c>
      <c r="O4" s="193">
        <f>+O$3*COBERTURA_BOSQUE!P35</f>
        <v>1.8958122466164509</v>
      </c>
      <c r="P4" s="395">
        <f>+P15*P26</f>
        <v>1.1233495371720938</v>
      </c>
      <c r="Q4" s="395">
        <f t="shared" ref="Q4:AB4" si="1">+Q15*Q26</f>
        <v>1.1233495371720938</v>
      </c>
      <c r="R4" s="395">
        <f t="shared" si="1"/>
        <v>1.1233495371720938</v>
      </c>
      <c r="S4" s="395">
        <f t="shared" si="1"/>
        <v>1.1233495371720938</v>
      </c>
      <c r="T4" s="395">
        <f t="shared" si="1"/>
        <v>1.1233495371720938</v>
      </c>
      <c r="U4" s="395">
        <f t="shared" si="1"/>
        <v>1.1233495371720938</v>
      </c>
      <c r="V4" s="395">
        <f t="shared" si="1"/>
        <v>1.1233495371720938</v>
      </c>
      <c r="W4" s="395">
        <f>+W15*W26</f>
        <v>1.1233495371720938</v>
      </c>
      <c r="X4" s="395">
        <f t="shared" si="1"/>
        <v>1.1233495371720938</v>
      </c>
      <c r="Y4" s="395">
        <f t="shared" si="1"/>
        <v>1.1233495371720938</v>
      </c>
      <c r="Z4" s="395">
        <f t="shared" si="1"/>
        <v>1.1233495371720938</v>
      </c>
      <c r="AA4" s="395">
        <f t="shared" si="1"/>
        <v>1.1233495371720938</v>
      </c>
      <c r="AB4" s="396">
        <f t="shared" si="1"/>
        <v>1.1233495371720938</v>
      </c>
    </row>
    <row r="5" spans="2:28" x14ac:dyDescent="0.3">
      <c r="B5" s="185" t="s">
        <v>4</v>
      </c>
      <c r="C5" s="189">
        <f>+C$3*COBERTURA_BOSQUE!C36</f>
        <v>4.3765199073710654</v>
      </c>
      <c r="D5" s="189">
        <f>+D$3*COBERTURA_BOSQUE!D36</f>
        <v>4.4126733002840695</v>
      </c>
      <c r="E5" s="189">
        <f>+E$3*COBERTURA_BOSQUE!E36</f>
        <v>4.4462652777945086</v>
      </c>
      <c r="F5" s="189">
        <f>+F$3*COBERTURA_BOSQUE!F36</f>
        <v>4.4821546841023867</v>
      </c>
      <c r="G5" s="189">
        <f>+G$3*COBERTURA_BOSQUE!G36</f>
        <v>4.5164446198629102</v>
      </c>
      <c r="H5" s="189">
        <f>+H$3*COBERTURA_BOSQUE!H36</f>
        <v>3.9871356106808475</v>
      </c>
      <c r="I5" s="189">
        <f>+I$3*COBERTURA_BOSQUE!I36</f>
        <v>3.4720601136720686</v>
      </c>
      <c r="J5" s="189">
        <f>+J$3*COBERTURA_BOSQUE!J36</f>
        <v>4.5622990161809787</v>
      </c>
      <c r="K5" s="190">
        <f>+K$3*COBERTURA_BOSQUE!K36</f>
        <v>5.6179947692798864</v>
      </c>
      <c r="L5" s="190">
        <f>+L$3*COBERTURA_BOSQUE!L36</f>
        <v>24.319246609372041</v>
      </c>
      <c r="M5" s="190">
        <f>+M$3*COBERTURA_BOSQUE!M36</f>
        <v>24.319246609372041</v>
      </c>
      <c r="N5" s="190">
        <f>+N$3*COBERTURA_BOSQUE!N36</f>
        <v>19.380248317336314</v>
      </c>
      <c r="O5" s="190">
        <f>+O$3*COBERTURA_BOSQUE!P36</f>
        <v>19.380248317336314</v>
      </c>
      <c r="P5" s="398">
        <f t="shared" ref="P5:AB13" si="2">+P16*P27</f>
        <v>20.819183422231458</v>
      </c>
      <c r="Q5" s="398">
        <f t="shared" si="2"/>
        <v>20.662147044569526</v>
      </c>
      <c r="R5" s="398">
        <f t="shared" si="2"/>
        <v>20.506295476652774</v>
      </c>
      <c r="S5" s="398">
        <f t="shared" si="2"/>
        <v>20.35161977694904</v>
      </c>
      <c r="T5" s="398">
        <f t="shared" si="2"/>
        <v>20.198111071422179</v>
      </c>
      <c r="U5" s="398">
        <f t="shared" si="2"/>
        <v>20.045780088043895</v>
      </c>
      <c r="V5" s="398">
        <f t="shared" si="2"/>
        <v>19.894559333886345</v>
      </c>
      <c r="W5" s="398">
        <f t="shared" si="2"/>
        <v>19.744479803026881</v>
      </c>
      <c r="X5" s="398">
        <f t="shared" si="2"/>
        <v>19.595590126694024</v>
      </c>
      <c r="Y5" s="398">
        <f t="shared" si="2"/>
        <v>19.447785315995098</v>
      </c>
      <c r="Z5" s="398">
        <f t="shared" si="2"/>
        <v>19.30109564777425</v>
      </c>
      <c r="AA5" s="398">
        <f t="shared" si="2"/>
        <v>19.155512706391594</v>
      </c>
      <c r="AB5" s="399">
        <f t="shared" si="2"/>
        <v>19.011046634418115</v>
      </c>
    </row>
    <row r="6" spans="2:28" x14ac:dyDescent="0.3">
      <c r="B6" s="185" t="s">
        <v>5</v>
      </c>
      <c r="C6" s="189">
        <f>+C$3*COBERTURA_BOSQUE!C37</f>
        <v>41.848711422934507</v>
      </c>
      <c r="D6" s="189">
        <f>+D$3*COBERTURA_BOSQUE!D37</f>
        <v>40.511438126490781</v>
      </c>
      <c r="E6" s="189">
        <f>+E$3*COBERTURA_BOSQUE!E37</f>
        <v>39.268908701727199</v>
      </c>
      <c r="F6" s="189">
        <f>+F$3*COBERTURA_BOSQUE!F37</f>
        <v>39.500890080010173</v>
      </c>
      <c r="G6" s="189">
        <f>+G$3*COBERTURA_BOSQUE!G37</f>
        <v>39.722532825803221</v>
      </c>
      <c r="H6" s="189">
        <f>+H$3*COBERTURA_BOSQUE!H37</f>
        <v>35.13679652576068</v>
      </c>
      <c r="I6" s="189">
        <f>+I$3*COBERTURA_BOSQUE!I37</f>
        <v>30.658414304425584</v>
      </c>
      <c r="J6" s="189">
        <f>+J$3*COBERTURA_BOSQUE!J37</f>
        <v>40.631580618547197</v>
      </c>
      <c r="K6" s="190">
        <f>+K$3*COBERTURA_BOSQUE!K37</f>
        <v>50.459885710497005</v>
      </c>
      <c r="L6" s="190">
        <f>+L$3*COBERTURA_BOSQUE!L37</f>
        <v>218.43138964538417</v>
      </c>
      <c r="M6" s="190">
        <f>+M$3*COBERTURA_BOSQUE!M37</f>
        <v>218.43138964538417</v>
      </c>
      <c r="N6" s="190">
        <f>+N$3*COBERTURA_BOSQUE!N37</f>
        <v>174.84547302828207</v>
      </c>
      <c r="O6" s="190">
        <f>+O$3*COBERTURA_BOSQUE!P37</f>
        <v>174.84547302828207</v>
      </c>
      <c r="P6" s="398">
        <f t="shared" si="2"/>
        <v>136.87902320737058</v>
      </c>
      <c r="Q6" s="398">
        <f t="shared" si="2"/>
        <v>135.8465626374024</v>
      </c>
      <c r="R6" s="398">
        <f t="shared" si="2"/>
        <v>134.82189178700767</v>
      </c>
      <c r="S6" s="398">
        <f t="shared" si="2"/>
        <v>133.80495186866506</v>
      </c>
      <c r="T6" s="398">
        <f t="shared" si="2"/>
        <v>132.7956845386166</v>
      </c>
      <c r="U6" s="398">
        <f t="shared" si="2"/>
        <v>131.79416032961365</v>
      </c>
      <c r="V6" s="398">
        <f t="shared" si="2"/>
        <v>130.79993549869818</v>
      </c>
      <c r="W6" s="398">
        <f t="shared" si="2"/>
        <v>129.81321382134706</v>
      </c>
      <c r="X6" s="398">
        <f t="shared" si="2"/>
        <v>128.83431503128494</v>
      </c>
      <c r="Y6" s="398">
        <f t="shared" si="2"/>
        <v>127.86254886238635</v>
      </c>
      <c r="Z6" s="398">
        <f t="shared" si="2"/>
        <v>126.8981143745648</v>
      </c>
      <c r="AA6" s="398">
        <f t="shared" si="2"/>
        <v>125.94095623786116</v>
      </c>
      <c r="AB6" s="399">
        <f t="shared" si="2"/>
        <v>124.99114113621701</v>
      </c>
    </row>
    <row r="7" spans="2:28" x14ac:dyDescent="0.3">
      <c r="B7" s="185" t="s">
        <v>6</v>
      </c>
      <c r="C7" s="189">
        <f>+C$3*COBERTURA_BOSQUE!C38</f>
        <v>17.01123132077279</v>
      </c>
      <c r="D7" s="189">
        <f>+D$3*COBERTURA_BOSQUE!D38</f>
        <v>16.421717917266527</v>
      </c>
      <c r="E7" s="189">
        <f>+E$3*COBERTURA_BOSQUE!E38</f>
        <v>15.873970682578598</v>
      </c>
      <c r="F7" s="189">
        <f>+F$3*COBERTURA_BOSQUE!F38</f>
        <v>16.113935397755434</v>
      </c>
      <c r="G7" s="189">
        <f>+G$3*COBERTURA_BOSQUE!G38</f>
        <v>16.343205689875035</v>
      </c>
      <c r="H7" s="189">
        <f>+H$3*COBERTURA_BOSQUE!H38</f>
        <v>14.429831856486</v>
      </c>
      <c r="I7" s="189">
        <f>+I$3*COBERTURA_BOSQUE!I38</f>
        <v>12.56745509304489</v>
      </c>
      <c r="J7" s="189">
        <f>+J$3*COBERTURA_BOSQUE!J38</f>
        <v>16.788614589742988</v>
      </c>
      <c r="K7" s="190">
        <f>+K$3*COBERTURA_BOSQUE!K38</f>
        <v>21.011886548397797</v>
      </c>
      <c r="L7" s="190">
        <f>+L$3*COBERTURA_BOSQUE!L38</f>
        <v>90.956519484999845</v>
      </c>
      <c r="M7" s="190">
        <f>+M$3*COBERTURA_BOSQUE!M38</f>
        <v>90.956519484999845</v>
      </c>
      <c r="N7" s="190">
        <f>+N$3*COBERTURA_BOSQUE!N38</f>
        <v>71.625691527024927</v>
      </c>
      <c r="O7" s="190">
        <f>+O$3*COBERTURA_BOSQUE!P38</f>
        <v>71.625691527024927</v>
      </c>
      <c r="P7" s="398">
        <f t="shared" si="2"/>
        <v>50.543841394704863</v>
      </c>
      <c r="Q7" s="398">
        <f t="shared" si="2"/>
        <v>50.162595809574555</v>
      </c>
      <c r="R7" s="398">
        <f t="shared" si="2"/>
        <v>49.784226650220859</v>
      </c>
      <c r="S7" s="398">
        <f t="shared" si="2"/>
        <v>49.408712208809462</v>
      </c>
      <c r="T7" s="398">
        <f t="shared" si="2"/>
        <v>49.036030941369795</v>
      </c>
      <c r="U7" s="398">
        <f t="shared" si="2"/>
        <v>48.666208892770641</v>
      </c>
      <c r="V7" s="398">
        <f t="shared" si="2"/>
        <v>48.299082206833226</v>
      </c>
      <c r="W7" s="398">
        <f t="shared" si="2"/>
        <v>47.934726129531349</v>
      </c>
      <c r="X7" s="398">
        <f t="shared" si="2"/>
        <v>47.573258725490852</v>
      </c>
      <c r="Y7" s="398">
        <f t="shared" si="2"/>
        <v>47.214425107580389</v>
      </c>
      <c r="Z7" s="398">
        <f t="shared" si="2"/>
        <v>46.858298780508449</v>
      </c>
      <c r="AA7" s="398">
        <f t="shared" si="2"/>
        <v>46.504859313177455</v>
      </c>
      <c r="AB7" s="399">
        <f t="shared" si="2"/>
        <v>46.154131329247683</v>
      </c>
    </row>
    <row r="8" spans="2:28" x14ac:dyDescent="0.3">
      <c r="B8" s="185" t="s">
        <v>7</v>
      </c>
      <c r="C8" s="189">
        <f>+C$3*COBERTURA_BOSQUE!C39</f>
        <v>11.715194518727992</v>
      </c>
      <c r="D8" s="189">
        <f>+D$3*COBERTURA_BOSQUE!D39</f>
        <v>11.375471201747249</v>
      </c>
      <c r="E8" s="189">
        <f>+E$3*COBERTURA_BOSQUE!E39</f>
        <v>11.059816788584723</v>
      </c>
      <c r="F8" s="189">
        <f>+F$3*COBERTURA_BOSQUE!F39</f>
        <v>10.992221015309109</v>
      </c>
      <c r="G8" s="189">
        <f>+G$3*COBERTURA_BOSQUE!G39</f>
        <v>10.927637759085243</v>
      </c>
      <c r="H8" s="189">
        <f>+H$3*COBERTURA_BOSQUE!H39</f>
        <v>9.6886276486575955</v>
      </c>
      <c r="I8" s="189">
        <f>+I$3*COBERTURA_BOSQUE!I39</f>
        <v>8.4733791625412351</v>
      </c>
      <c r="J8" s="189">
        <f>+J$3*COBERTURA_BOSQUE!J39</f>
        <v>11.676845051190645</v>
      </c>
      <c r="K8" s="190">
        <f>+K$3*COBERTURA_BOSQUE!K39</f>
        <v>15.047027931206109</v>
      </c>
      <c r="L8" s="190">
        <f>+L$3*COBERTURA_BOSQUE!L39</f>
        <v>65.135764276266087</v>
      </c>
      <c r="M8" s="190">
        <f>+M$3*COBERTURA_BOSQUE!M39</f>
        <v>65.135764276266087</v>
      </c>
      <c r="N8" s="190">
        <f>+N$3*COBERTURA_BOSQUE!N39</f>
        <v>52.155206161793203</v>
      </c>
      <c r="O8" s="190">
        <f>+O$3*COBERTURA_BOSQUE!P39</f>
        <v>52.155206161793203</v>
      </c>
      <c r="P8" s="398">
        <f t="shared" si="2"/>
        <v>7.119464510746865</v>
      </c>
      <c r="Q8" s="398">
        <f t="shared" si="2"/>
        <v>7.0657633210802944</v>
      </c>
      <c r="R8" s="398">
        <f t="shared" si="2"/>
        <v>7.0124672967250508</v>
      </c>
      <c r="S8" s="398">
        <f t="shared" si="2"/>
        <v>6.9595733799761454</v>
      </c>
      <c r="T8" s="398">
        <f t="shared" si="2"/>
        <v>6.9070785362099807</v>
      </c>
      <c r="U8" s="398">
        <f t="shared" si="2"/>
        <v>6.85498643403412</v>
      </c>
      <c r="V8" s="398">
        <f t="shared" si="2"/>
        <v>6.8032739931242903</v>
      </c>
      <c r="W8" s="398">
        <f t="shared" si="2"/>
        <v>6.7519518124184641</v>
      </c>
      <c r="X8" s="398">
        <f t="shared" si="2"/>
        <v>6.701036522170507</v>
      </c>
      <c r="Y8" s="398">
        <f t="shared" si="2"/>
        <v>6.6504922196900855</v>
      </c>
      <c r="Z8" s="398">
        <f t="shared" si="2"/>
        <v>6.6003292586453997</v>
      </c>
      <c r="AA8" s="398">
        <f t="shared" si="2"/>
        <v>6.5505447611690384</v>
      </c>
      <c r="AB8" s="399">
        <f t="shared" si="2"/>
        <v>6.5011421956811022</v>
      </c>
    </row>
    <row r="9" spans="2:28" x14ac:dyDescent="0.3">
      <c r="B9" s="185" t="s">
        <v>8</v>
      </c>
      <c r="C9" s="189">
        <f>+C$3*COBERTURA_BOSQUE!C40</f>
        <v>85.725902543428461</v>
      </c>
      <c r="D9" s="189">
        <f>+D$3*COBERTURA_BOSQUE!D40</f>
        <v>88.67311615377578</v>
      </c>
      <c r="E9" s="189">
        <f>+E$3*COBERTURA_BOSQUE!E40</f>
        <v>91.411523958417362</v>
      </c>
      <c r="F9" s="189">
        <f>+F$3*COBERTURA_BOSQUE!F40</f>
        <v>91.237212716470211</v>
      </c>
      <c r="G9" s="189">
        <f>+G$3*COBERTURA_BOSQUE!G40</f>
        <v>91.070669942331421</v>
      </c>
      <c r="H9" s="189">
        <f>+H$3*COBERTURA_BOSQUE!H40</f>
        <v>81.413429459328469</v>
      </c>
      <c r="I9" s="189">
        <f>+I$3*COBERTURA_BOSQUE!I40</f>
        <v>71.782877519468173</v>
      </c>
      <c r="J9" s="189">
        <f>+J$3*COBERTURA_BOSQUE!J40</f>
        <v>96.421429782705545</v>
      </c>
      <c r="K9" s="190">
        <f>+K$3*COBERTURA_BOSQUE!K40</f>
        <v>121.31627163919359</v>
      </c>
      <c r="L9" s="190">
        <f>+L$3*COBERTURA_BOSQUE!L40</f>
        <v>525.1554066685768</v>
      </c>
      <c r="M9" s="190">
        <f>+M$3*COBERTURA_BOSQUE!M40</f>
        <v>525.1554066685768</v>
      </c>
      <c r="N9" s="190">
        <f>+N$3*COBERTURA_BOSQUE!N40</f>
        <v>407.23214994458993</v>
      </c>
      <c r="O9" s="190">
        <f>+O$3*COBERTURA_BOSQUE!P40</f>
        <v>407.23214994458993</v>
      </c>
      <c r="P9" s="398">
        <f t="shared" si="2"/>
        <v>644.46900401757011</v>
      </c>
      <c r="Q9" s="398">
        <f t="shared" si="2"/>
        <v>639.60785860884846</v>
      </c>
      <c r="R9" s="398">
        <f t="shared" si="2"/>
        <v>634.78338962210489</v>
      </c>
      <c r="S9" s="398">
        <f t="shared" si="2"/>
        <v>629.9953202674086</v>
      </c>
      <c r="T9" s="398">
        <f t="shared" si="2"/>
        <v>625.24337584420516</v>
      </c>
      <c r="U9" s="398">
        <f t="shared" si="2"/>
        <v>620.52788844262022</v>
      </c>
      <c r="V9" s="398">
        <f t="shared" si="2"/>
        <v>615.84676878282448</v>
      </c>
      <c r="W9" s="398">
        <f t="shared" si="2"/>
        <v>611.20097630312807</v>
      </c>
      <c r="X9" s="398">
        <f t="shared" si="2"/>
        <v>606.59201640932781</v>
      </c>
      <c r="Y9" s="398">
        <f t="shared" si="2"/>
        <v>602.01663911386549</v>
      </c>
      <c r="Z9" s="398">
        <f t="shared" si="2"/>
        <v>597.47578165271239</v>
      </c>
      <c r="AA9" s="398">
        <f t="shared" si="2"/>
        <v>592.96918351521549</v>
      </c>
      <c r="AB9" s="399">
        <f t="shared" si="2"/>
        <v>588.49715867010775</v>
      </c>
    </row>
    <row r="10" spans="2:28" x14ac:dyDescent="0.3">
      <c r="B10" s="185" t="s">
        <v>9</v>
      </c>
      <c r="C10" s="189">
        <f>+C$3*COBERTURA_BOSQUE!C41</f>
        <v>9.4977596142585803</v>
      </c>
      <c r="D10" s="189">
        <f>+D$3*COBERTURA_BOSQUE!D41</f>
        <v>9.2166481744433071</v>
      </c>
      <c r="E10" s="189">
        <f>+E$3*COBERTURA_BOSQUE!E41</f>
        <v>8.9554530720382726</v>
      </c>
      <c r="F10" s="189">
        <f>+F$3*COBERTURA_BOSQUE!F41</f>
        <v>8.8878226897593002</v>
      </c>
      <c r="G10" s="189">
        <f>+G$3*COBERTURA_BOSQUE!G41</f>
        <v>8.8232063669393561</v>
      </c>
      <c r="H10" s="189">
        <f>+H$3*COBERTURA_BOSQUE!H41</f>
        <v>7.6532839452862396</v>
      </c>
      <c r="I10" s="189">
        <f>+I$3*COBERTURA_BOSQUE!I41</f>
        <v>6.5459868312809268</v>
      </c>
      <c r="J10" s="189">
        <f>+J$3*COBERTURA_BOSQUE!J41</f>
        <v>8.5765834257172688</v>
      </c>
      <c r="K10" s="190">
        <f>+K$3*COBERTURA_BOSQUE!K41</f>
        <v>10.530555361582627</v>
      </c>
      <c r="L10" s="190">
        <f>+L$3*COBERTURA_BOSQUE!L41</f>
        <v>45.584800856765327</v>
      </c>
      <c r="M10" s="190">
        <f>+M$3*COBERTURA_BOSQUE!M41</f>
        <v>45.584800856765327</v>
      </c>
      <c r="N10" s="190">
        <f>+N$3*COBERTURA_BOSQUE!N41</f>
        <v>33.437345049655335</v>
      </c>
      <c r="O10" s="190">
        <f>+O$3*COBERTURA_BOSQUE!P41</f>
        <v>33.437345049655335</v>
      </c>
      <c r="P10" s="398">
        <f t="shared" si="2"/>
        <v>82.301426012548418</v>
      </c>
      <c r="Q10" s="398">
        <f t="shared" si="2"/>
        <v>81.680637120145391</v>
      </c>
      <c r="R10" s="398">
        <f t="shared" si="2"/>
        <v>81.064531962430948</v>
      </c>
      <c r="S10" s="398">
        <f t="shared" si="2"/>
        <v>80.453075192156646</v>
      </c>
      <c r="T10" s="398">
        <f t="shared" si="2"/>
        <v>79.846231728896214</v>
      </c>
      <c r="U10" s="398">
        <f t="shared" si="2"/>
        <v>79.244043981967636</v>
      </c>
      <c r="V10" s="398">
        <f t="shared" si="2"/>
        <v>78.646245141472789</v>
      </c>
      <c r="W10" s="398">
        <f t="shared" si="2"/>
        <v>78.052957731754375</v>
      </c>
      <c r="X10" s="398">
        <f t="shared" si="2"/>
        <v>77.464373999519424</v>
      </c>
      <c r="Y10" s="398">
        <f t="shared" si="2"/>
        <v>76.880078907568475</v>
      </c>
      <c r="Z10" s="398">
        <f t="shared" si="2"/>
        <v>76.300192144911321</v>
      </c>
      <c r="AA10" s="398">
        <f t="shared" si="2"/>
        <v>75.724680443232401</v>
      </c>
      <c r="AB10" s="399">
        <f t="shared" si="2"/>
        <v>75.153583897670856</v>
      </c>
    </row>
    <row r="11" spans="2:28" x14ac:dyDescent="0.3">
      <c r="B11" s="185" t="s">
        <v>10</v>
      </c>
      <c r="C11" s="189">
        <f>+C$3*COBERTURA_BOSQUE!C42</f>
        <v>2.3587888185828341</v>
      </c>
      <c r="D11" s="189">
        <f>+D$3*COBERTURA_BOSQUE!D42</f>
        <v>2.2842194500815021</v>
      </c>
      <c r="E11" s="189">
        <f>+E$3*COBERTURA_BOSQUE!E42</f>
        <v>2.2149332130831674</v>
      </c>
      <c r="F11" s="189">
        <f>+F$3*COBERTURA_BOSQUE!F42</f>
        <v>2.1126018478976212</v>
      </c>
      <c r="G11" s="189">
        <f>+G$3*COBERTURA_BOSQUE!G42</f>
        <v>2.0148310486707426</v>
      </c>
      <c r="H11" s="189">
        <f>+H$3*COBERTURA_BOSQUE!H42</f>
        <v>1.8721503653197649</v>
      </c>
      <c r="I11" s="189">
        <f>+I$3*COBERTURA_BOSQUE!I42</f>
        <v>1.7118728191102737</v>
      </c>
      <c r="J11" s="189">
        <f>+J$3*COBERTURA_BOSQUE!J42</f>
        <v>2.238806924740453</v>
      </c>
      <c r="K11" s="190">
        <f>+K$3*COBERTURA_BOSQUE!K42</f>
        <v>2.7438078364897613</v>
      </c>
      <c r="L11" s="190">
        <f>+L$3*COBERTURA_BOSQUE!L42</f>
        <v>11.877429966506567</v>
      </c>
      <c r="M11" s="190">
        <f>+M$3*COBERTURA_BOSQUE!M42</f>
        <v>11.877429966506567</v>
      </c>
      <c r="N11" s="190">
        <f>+N$3*COBERTURA_BOSQUE!N42</f>
        <v>13.638029764126719</v>
      </c>
      <c r="O11" s="190">
        <f>+O$3*COBERTURA_BOSQUE!P42</f>
        <v>13.638029764126719</v>
      </c>
      <c r="P11" s="398">
        <f t="shared" si="2"/>
        <v>6.999146984135451</v>
      </c>
      <c r="Q11" s="398">
        <f t="shared" si="2"/>
        <v>6.9463533338360648</v>
      </c>
      <c r="R11" s="398">
        <f t="shared" si="2"/>
        <v>6.8939580016352604</v>
      </c>
      <c r="S11" s="398">
        <f t="shared" si="2"/>
        <v>6.8419579815026541</v>
      </c>
      <c r="T11" s="398">
        <f t="shared" si="2"/>
        <v>6.7903502900991803</v>
      </c>
      <c r="U11" s="398">
        <f t="shared" si="2"/>
        <v>6.7391385340336676</v>
      </c>
      <c r="V11" s="398">
        <f t="shared" si="2"/>
        <v>6.6883000230347065</v>
      </c>
      <c r="W11" s="398">
        <f t="shared" si="2"/>
        <v>6.6378451769203375</v>
      </c>
      <c r="X11" s="398">
        <f t="shared" si="2"/>
        <v>6.5877903448964625</v>
      </c>
      <c r="Y11" s="398">
        <f t="shared" si="2"/>
        <v>6.5381002310210352</v>
      </c>
      <c r="Z11" s="398">
        <f t="shared" si="2"/>
        <v>6.4887850139873349</v>
      </c>
      <c r="AA11" s="398">
        <f t="shared" si="2"/>
        <v>6.4398418645633315</v>
      </c>
      <c r="AB11" s="399">
        <f t="shared" si="2"/>
        <v>6.3912741925535199</v>
      </c>
    </row>
    <row r="12" spans="2:28" x14ac:dyDescent="0.3">
      <c r="B12" s="185" t="s">
        <v>11</v>
      </c>
      <c r="C12" s="189">
        <f>+C$3*COBERTURA_BOSQUE!C43</f>
        <v>9.8640510777968284</v>
      </c>
      <c r="D12" s="189">
        <f>+D$3*COBERTURA_BOSQUE!D43</f>
        <v>9.5334956277570413</v>
      </c>
      <c r="E12" s="189">
        <f>+E$3*COBERTURA_BOSQUE!E43</f>
        <v>9.2263595514720578</v>
      </c>
      <c r="F12" s="189">
        <f>+F$3*COBERTURA_BOSQUE!F43</f>
        <v>9.1667215234929778</v>
      </c>
      <c r="G12" s="189">
        <f>+G$3*COBERTURA_BOSQUE!G43</f>
        <v>9.1097413625300376</v>
      </c>
      <c r="H12" s="189">
        <f>+H$3*COBERTURA_BOSQUE!H43</f>
        <v>8.2414656984636832</v>
      </c>
      <c r="I12" s="189">
        <f>+I$3*COBERTURA_BOSQUE!I43</f>
        <v>7.3508156666330899</v>
      </c>
      <c r="J12" s="189">
        <f>+J$3*COBERTURA_BOSQUE!J43</f>
        <v>9.7258209272691012</v>
      </c>
      <c r="K12" s="190">
        <f>+K$3*COBERTURA_BOSQUE!K43</f>
        <v>12.058596570832391</v>
      </c>
      <c r="L12" s="190">
        <f>+L$3*COBERTURA_BOSQUE!L43</f>
        <v>52.199404914467451</v>
      </c>
      <c r="M12" s="190">
        <f>+M$3*COBERTURA_BOSQUE!M43</f>
        <v>52.199404914467451</v>
      </c>
      <c r="N12" s="190">
        <f>+N$3*COBERTURA_BOSQUE!N43</f>
        <v>37.936683832237534</v>
      </c>
      <c r="O12" s="190">
        <f>+O$3*COBERTURA_BOSQUE!P43</f>
        <v>37.936683832237534</v>
      </c>
      <c r="P12" s="398">
        <f t="shared" si="2"/>
        <v>49.279121242601917</v>
      </c>
      <c r="Q12" s="398">
        <f t="shared" si="2"/>
        <v>48.907415276169154</v>
      </c>
      <c r="R12" s="398">
        <f t="shared" si="2"/>
        <v>48.538513760895604</v>
      </c>
      <c r="S12" s="398">
        <f t="shared" si="2"/>
        <v>48.172395532125627</v>
      </c>
      <c r="T12" s="398">
        <f t="shared" si="2"/>
        <v>47.809039584967046</v>
      </c>
      <c r="U12" s="398">
        <f t="shared" si="2"/>
        <v>47.448471312587685</v>
      </c>
      <c r="V12" s="398">
        <f t="shared" si="2"/>
        <v>47.090530958857478</v>
      </c>
      <c r="W12" s="398">
        <f t="shared" si="2"/>
        <v>46.735291886927349</v>
      </c>
      <c r="X12" s="398">
        <f t="shared" si="2"/>
        <v>46.38286920718172</v>
      </c>
      <c r="Y12" s="398">
        <f t="shared" si="2"/>
        <v>46.0330144103363</v>
      </c>
      <c r="Z12" s="398">
        <f t="shared" si="2"/>
        <v>45.685799161847122</v>
      </c>
      <c r="AA12" s="398">
        <f t="shared" si="2"/>
        <v>45.341203541848408</v>
      </c>
      <c r="AB12" s="399">
        <f t="shared" si="2"/>
        <v>44.999251557861307</v>
      </c>
    </row>
    <row r="13" spans="2:28" ht="15" thickBot="1" x14ac:dyDescent="0.35">
      <c r="B13" s="186" t="s">
        <v>12</v>
      </c>
      <c r="C13" s="196">
        <f>+C$3*COBERTURA_BOSQUE!C44</f>
        <v>1.389276284596807</v>
      </c>
      <c r="D13" s="196">
        <f>+D$3*COBERTURA_BOSQUE!D44</f>
        <v>1.3382547809158989</v>
      </c>
      <c r="E13" s="196">
        <f>+E$3*COBERTURA_BOSQUE!E44</f>
        <v>1.2908480767008341</v>
      </c>
      <c r="F13" s="196">
        <f>+F$3*COBERTURA_BOSQUE!F44</f>
        <v>1.2614281160837049</v>
      </c>
      <c r="G13" s="196">
        <f>+G$3*COBERTURA_BOSQUE!G44</f>
        <v>1.2333193045033595</v>
      </c>
      <c r="H13" s="196">
        <f>+H$3*COBERTURA_BOSQUE!H44</f>
        <v>2.0668077141977741</v>
      </c>
      <c r="I13" s="196">
        <f>+I$3*COBERTURA_BOSQUE!I44</f>
        <v>2.6535612586060386</v>
      </c>
      <c r="J13" s="196">
        <f>+J$3*COBERTURA_BOSQUE!J44</f>
        <v>3.3255809766850897</v>
      </c>
      <c r="K13" s="197">
        <f>+K$3*COBERTURA_BOSQUE!K44</f>
        <v>3.8966496172190577</v>
      </c>
      <c r="L13" s="197">
        <f>+L$3*COBERTURA_BOSQUE!L44</f>
        <v>16.867866006150127</v>
      </c>
      <c r="M13" s="197">
        <f>+M$3*COBERTURA_BOSQUE!M44</f>
        <v>16.867866006150127</v>
      </c>
      <c r="N13" s="197">
        <f>+N$3*COBERTURA_BOSQUE!N44</f>
        <v>16.010471595004351</v>
      </c>
      <c r="O13" s="197">
        <f>+O$3*COBERTURA_BOSQUE!P44</f>
        <v>16.010471595004351</v>
      </c>
      <c r="P13" s="398">
        <f t="shared" si="2"/>
        <v>2.8753784544428767</v>
      </c>
      <c r="Q13" s="398">
        <f t="shared" si="2"/>
        <v>2.8536898508249893</v>
      </c>
      <c r="R13" s="398">
        <f t="shared" si="2"/>
        <v>2.8321648836161204</v>
      </c>
      <c r="S13" s="398">
        <f t="shared" si="2"/>
        <v>2.8108023178836388</v>
      </c>
      <c r="T13" s="398">
        <f t="shared" si="2"/>
        <v>2.7896009280169252</v>
      </c>
      <c r="U13" s="398">
        <f t="shared" si="2"/>
        <v>2.7685621956772946</v>
      </c>
      <c r="V13" s="398">
        <f t="shared" si="2"/>
        <v>2.7476767992834619</v>
      </c>
      <c r="W13" s="398">
        <f t="shared" si="2"/>
        <v>2.7269490194885346</v>
      </c>
      <c r="X13" s="398">
        <f t="shared" si="2"/>
        <v>2.7063855728473318</v>
      </c>
      <c r="Y13" s="398">
        <f t="shared" si="2"/>
        <v>2.6859719591369653</v>
      </c>
      <c r="Z13" s="398">
        <f t="shared" si="2"/>
        <v>2.6657123599520518</v>
      </c>
      <c r="AA13" s="398">
        <f t="shared" si="2"/>
        <v>2.6456056129919809</v>
      </c>
      <c r="AB13" s="399">
        <f t="shared" si="2"/>
        <v>2.6256531190672208</v>
      </c>
    </row>
    <row r="14" spans="2:28" ht="15" thickBot="1" x14ac:dyDescent="0.35">
      <c r="B14" s="142" t="s">
        <v>34</v>
      </c>
      <c r="C14" s="187"/>
      <c r="D14" s="187"/>
      <c r="E14" s="187"/>
      <c r="F14" s="187"/>
      <c r="G14" s="187"/>
      <c r="H14" s="187"/>
      <c r="I14" s="187"/>
      <c r="J14" s="187"/>
      <c r="K14" s="187"/>
      <c r="L14" s="187"/>
      <c r="M14" s="187"/>
      <c r="N14" s="187"/>
      <c r="O14" s="187"/>
      <c r="P14" s="187"/>
      <c r="Q14" s="187"/>
      <c r="R14" s="187"/>
      <c r="S14" s="187"/>
      <c r="T14" s="187"/>
      <c r="U14" s="187"/>
      <c r="V14" s="187"/>
      <c r="W14" s="187"/>
      <c r="X14" s="187"/>
      <c r="Y14" s="187"/>
      <c r="Z14" s="187"/>
      <c r="AA14" s="187"/>
      <c r="AB14" s="188"/>
    </row>
    <row r="15" spans="2:28" x14ac:dyDescent="0.3">
      <c r="B15" s="191" t="s">
        <v>2</v>
      </c>
      <c r="C15" s="480">
        <v>5.1974999999999999E-3</v>
      </c>
      <c r="D15" s="480">
        <v>5.1974999999999999E-3</v>
      </c>
      <c r="E15" s="480">
        <v>5.1974999999999999E-3</v>
      </c>
      <c r="F15" s="480">
        <v>5.1974999999999999E-3</v>
      </c>
      <c r="G15" s="480">
        <v>5.1974999999999999E-3</v>
      </c>
      <c r="H15" s="480">
        <v>5.1974999999999999E-3</v>
      </c>
      <c r="I15" s="480">
        <v>5.1974999999999999E-3</v>
      </c>
      <c r="J15" s="480">
        <f>+COBERTURA_CAMBIOS_TF!L56/1000</f>
        <v>5.1974999999999999E-3</v>
      </c>
      <c r="K15" s="481">
        <f>+COBERTURA_CAMBIOS_TF!M56/1000</f>
        <v>1.0395E-2</v>
      </c>
      <c r="L15" s="481">
        <f>+COBERTURA_CAMBIOS_TF!N56/1000</f>
        <v>7.5199999999999998E-3</v>
      </c>
      <c r="M15" s="481">
        <f>+COBERTURA_CAMBIOS_TF!O56/1000</f>
        <v>7.5199999999999998E-3</v>
      </c>
      <c r="N15" s="481">
        <v>7.5199999999999998E-3</v>
      </c>
      <c r="O15" s="481">
        <v>7.5199999999999998E-3</v>
      </c>
      <c r="P15" s="480">
        <v>7.5199999999999998E-3</v>
      </c>
      <c r="Q15" s="480">
        <v>7.5199999999999998E-3</v>
      </c>
      <c r="R15" s="480">
        <v>7.5199999999999998E-3</v>
      </c>
      <c r="S15" s="480">
        <v>7.5199999999999998E-3</v>
      </c>
      <c r="T15" s="480">
        <v>7.5199999999999998E-3</v>
      </c>
      <c r="U15" s="480">
        <v>7.5199999999999998E-3</v>
      </c>
      <c r="V15" s="480">
        <v>7.5199999999999998E-3</v>
      </c>
      <c r="W15" s="480">
        <v>7.5199999999999998E-3</v>
      </c>
      <c r="X15" s="480">
        <v>7.5199999999999998E-3</v>
      </c>
      <c r="Y15" s="480">
        <v>7.5199999999999998E-3</v>
      </c>
      <c r="Z15" s="480">
        <v>7.5199999999999998E-3</v>
      </c>
      <c r="AA15" s="480">
        <v>7.5199999999999998E-3</v>
      </c>
      <c r="AB15" s="482">
        <v>7.5199999999999998E-3</v>
      </c>
    </row>
    <row r="16" spans="2:28" x14ac:dyDescent="0.3">
      <c r="B16" s="185" t="s">
        <v>4</v>
      </c>
      <c r="C16" s="483">
        <f>+COBERTURA_CAMBIOS_TF!E57/1000</f>
        <v>0.39</v>
      </c>
      <c r="D16" s="483">
        <f>+COBERTURA_CAMBIOS_TF!F57/1000</f>
        <v>0.39</v>
      </c>
      <c r="E16" s="483">
        <f>+COBERTURA_CAMBIOS_TF!G57/1000</f>
        <v>0.39</v>
      </c>
      <c r="F16" s="483">
        <f>+COBERTURA_CAMBIOS_TF!H57/1000</f>
        <v>0.39</v>
      </c>
      <c r="G16" s="483">
        <f>+COBERTURA_CAMBIOS_TF!I57/1000</f>
        <v>0.39</v>
      </c>
      <c r="H16" s="483">
        <f>+COBERTURA_CAMBIOS_TF!J57/1000</f>
        <v>0.23250750000000001</v>
      </c>
      <c r="I16" s="483">
        <f>+COBERTURA_CAMBIOS_TF!K57/1000</f>
        <v>7.5014999999999998E-2</v>
      </c>
      <c r="J16" s="483">
        <f>+COBERTURA_CAMBIOS_TF!L57/1000</f>
        <v>7.5240000000000015E-2</v>
      </c>
      <c r="K16" s="484">
        <f>+COBERTURA_CAMBIOS_TF!M57/1000</f>
        <v>7.5465000000000004E-2</v>
      </c>
      <c r="L16" s="484">
        <f>+COBERTURA_CAMBIOS_TF!N57/1000</f>
        <v>0.52766999999999997</v>
      </c>
      <c r="M16" s="484">
        <f>+COBERTURA_CAMBIOS_TF!O57/1000</f>
        <v>0.52766999999999997</v>
      </c>
      <c r="N16" s="484">
        <f>+COBERTURA_CAMBIOS_TF!P57/1000</f>
        <v>0.80249000000000004</v>
      </c>
      <c r="O16" s="484">
        <f>+COBERTURA_CAMBIOS_TF!Q57/1000</f>
        <v>0.80249000000000004</v>
      </c>
      <c r="P16" s="483">
        <f>+COBERTURA_CAMBIOS_TF!R57/1000</f>
        <v>0.68345526600993733</v>
      </c>
      <c r="Q16" s="483">
        <f>+COBERTURA_CAMBIOS_TF!S57/1000</f>
        <v>0.67830005232592872</v>
      </c>
      <c r="R16" s="483">
        <f>+COBERTURA_CAMBIOS_TF!T57/1000</f>
        <v>0.67318373375337293</v>
      </c>
      <c r="S16" s="483">
        <f>+COBERTURA_CAMBIOS_TF!U57/1000</f>
        <v>0.66810601675831516</v>
      </c>
      <c r="T16" s="483">
        <f>+COBERTURA_CAMBIOS_TF!V57/1000</f>
        <v>0.66306661002257028</v>
      </c>
      <c r="U16" s="483">
        <f>+COBERTURA_CAMBIOS_TF!W57/1000</f>
        <v>0.65806586572559722</v>
      </c>
      <c r="V16" s="483">
        <f>+COBERTURA_CAMBIOS_TF!X57/1000</f>
        <v>0.65310156819947007</v>
      </c>
      <c r="W16" s="483">
        <f>+COBERTURA_CAMBIOS_TF!Y57/1000</f>
        <v>0.64817473492239386</v>
      </c>
      <c r="X16" s="483">
        <f>+COBERTURA_CAMBIOS_TF!Z57/1000</f>
        <v>0.64328696236760941</v>
      </c>
      <c r="Y16" s="483">
        <f>+COBERTURA_CAMBIOS_TF!AA57/1000</f>
        <v>0.63843480394405128</v>
      </c>
      <c r="Z16" s="483">
        <f>+COBERTURA_CAMBIOS_TF!AB57/1000</f>
        <v>0.63361925358448568</v>
      </c>
      <c r="AA16" s="483">
        <f>+COBERTURA_CAMBIOS_TF!AC57/1000</f>
        <v>0.62884003501902819</v>
      </c>
      <c r="AB16" s="485">
        <f>+COBERTURA_CAMBIOS_TF!AD57/1000</f>
        <v>0.62409748120951569</v>
      </c>
    </row>
    <row r="17" spans="2:30" x14ac:dyDescent="0.3">
      <c r="B17" s="185" t="s">
        <v>5</v>
      </c>
      <c r="C17" s="483">
        <f>+COBERTURA_CAMBIOS_TF!E58/1000</f>
        <v>4.2464999999999996E-2</v>
      </c>
      <c r="D17" s="483">
        <f>+COBERTURA_CAMBIOS_TF!F58/1000</f>
        <v>4.2464999999999996E-2</v>
      </c>
      <c r="E17" s="483">
        <f>+COBERTURA_CAMBIOS_TF!G58/1000</f>
        <v>4.2464999999999996E-2</v>
      </c>
      <c r="F17" s="483">
        <f>+COBERTURA_CAMBIOS_TF!H58/1000</f>
        <v>4.2464999999999996E-2</v>
      </c>
      <c r="G17" s="483">
        <f>+COBERTURA_CAMBIOS_TF!I58/1000</f>
        <v>4.2464999999999996E-2</v>
      </c>
      <c r="H17" s="483">
        <f>+COBERTURA_CAMBIOS_TF!J58/1000</f>
        <v>5.4825000000000006E-2</v>
      </c>
      <c r="I17" s="483">
        <f>+COBERTURA_CAMBIOS_TF!K58/1000</f>
        <v>6.7185000000000009E-2</v>
      </c>
      <c r="J17" s="483">
        <f>+COBERTURA_CAMBIOS_TF!L58/1000</f>
        <v>8.9032500000000001E-2</v>
      </c>
      <c r="K17" s="484">
        <f>+COBERTURA_CAMBIOS_TF!M58/1000</f>
        <v>0.11087999999999999</v>
      </c>
      <c r="L17" s="484">
        <f>+COBERTURA_CAMBIOS_TF!N58/1000</f>
        <v>5.9400000000000001E-2</v>
      </c>
      <c r="M17" s="484">
        <f>+COBERTURA_CAMBIOS_TF!O58/1000</f>
        <v>5.9400000000000001E-2</v>
      </c>
      <c r="N17" s="484">
        <f>+COBERTURA_CAMBIOS_TF!P58/1000</f>
        <v>0.12343999999999999</v>
      </c>
      <c r="O17" s="484">
        <f>+COBERTURA_CAMBIOS_TF!Q58/1000</f>
        <v>0.12343999999999999</v>
      </c>
      <c r="P17" s="483">
        <f>+COBERTURA_CAMBIOS_TF!R58/1000</f>
        <v>0.10512993063622807</v>
      </c>
      <c r="Q17" s="483">
        <f>+COBERTURA_CAMBIOS_TF!S58/1000</f>
        <v>0.10433694931913498</v>
      </c>
      <c r="R17" s="483">
        <f>+COBERTURA_CAMBIOS_TF!T58/1000</f>
        <v>0.10354995089598169</v>
      </c>
      <c r="S17" s="483">
        <f>+COBERTURA_CAMBIOS_TF!U58/1000</f>
        <v>0.1027688902150138</v>
      </c>
      <c r="T17" s="483">
        <f>+COBERTURA_CAMBIOS_TF!V58/1000</f>
        <v>0.10199372246530931</v>
      </c>
      <c r="U17" s="483">
        <f>+COBERTURA_CAMBIOS_TF!W58/1000</f>
        <v>0.1012245018195463</v>
      </c>
      <c r="V17" s="483">
        <f>+COBERTURA_CAMBIOS_TF!X58/1000</f>
        <v>0.10046088746095602</v>
      </c>
      <c r="W17" s="483">
        <f>+COBERTURA_CAMBIOS_TF!Y58/1000</f>
        <v>9.9703035899288833E-2</v>
      </c>
      <c r="X17" s="483">
        <f>+COBERTURA_CAMBIOS_TF!Z58/1000</f>
        <v>9.8951192706024607E-2</v>
      </c>
      <c r="Y17" s="483">
        <f>+COBERTURA_CAMBIOS_TF!AA58/1000</f>
        <v>9.8204827722281493E-2</v>
      </c>
      <c r="Z17" s="483">
        <f>+COBERTURA_CAMBIOS_TF!AB58/1000</f>
        <v>9.7464093836021518E-2</v>
      </c>
      <c r="AA17" s="483">
        <f>+COBERTURA_CAMBIOS_TF!AC58/1000</f>
        <v>9.6728948551070823E-2</v>
      </c>
      <c r="AB17" s="485">
        <f>+COBERTURA_CAMBIOS_TF!AD58/1000</f>
        <v>9.5999443084029218E-2</v>
      </c>
    </row>
    <row r="18" spans="2:30" x14ac:dyDescent="0.3">
      <c r="B18" s="185" t="s">
        <v>6</v>
      </c>
      <c r="C18" s="483">
        <f>+COBERTURA_CAMBIOS_TF!E59/1000</f>
        <v>5.1254999999999995E-2</v>
      </c>
      <c r="D18" s="483">
        <f>+COBERTURA_CAMBIOS_TF!F59/1000</f>
        <v>5.1254999999999995E-2</v>
      </c>
      <c r="E18" s="483">
        <f>+COBERTURA_CAMBIOS_TF!G59/1000</f>
        <v>5.1254999999999995E-2</v>
      </c>
      <c r="F18" s="483">
        <f>+COBERTURA_CAMBIOS_TF!H59/1000</f>
        <v>5.1254999999999995E-2</v>
      </c>
      <c r="G18" s="483">
        <f>+COBERTURA_CAMBIOS_TF!I59/1000</f>
        <v>5.1254999999999995E-2</v>
      </c>
      <c r="H18" s="483">
        <f>+COBERTURA_CAMBIOS_TF!J59/1000</f>
        <v>4.8959999999999997E-2</v>
      </c>
      <c r="I18" s="483">
        <f>+COBERTURA_CAMBIOS_TF!K59/1000</f>
        <v>4.6664999999999991E-2</v>
      </c>
      <c r="J18" s="483">
        <f>+COBERTURA_CAMBIOS_TF!L59/1000</f>
        <v>6.1717499999999995E-2</v>
      </c>
      <c r="K18" s="484">
        <f>+COBERTURA_CAMBIOS_TF!M59/1000</f>
        <v>7.6769999999999991E-2</v>
      </c>
      <c r="L18" s="484">
        <f>+COBERTURA_CAMBIOS_TF!N59/1000</f>
        <v>9.9449999999999997E-2</v>
      </c>
      <c r="M18" s="484">
        <f>+COBERTURA_CAMBIOS_TF!O59/1000</f>
        <v>9.9449999999999997E-2</v>
      </c>
      <c r="N18" s="484">
        <f>+COBERTURA_CAMBIOS_TF!P59/1000</f>
        <v>0.13855999999999999</v>
      </c>
      <c r="O18" s="484">
        <f>+COBERTURA_CAMBIOS_TF!Q59/1000</f>
        <v>0.13855999999999999</v>
      </c>
      <c r="P18" s="483">
        <f>+COBERTURA_CAMBIOS_TF!R59/1000</f>
        <v>0.11800715480359496</v>
      </c>
      <c r="Q18" s="483">
        <f>+COBERTURA_CAMBIOS_TF!S59/1000</f>
        <v>0.11711704226878923</v>
      </c>
      <c r="R18" s="483">
        <f>+COBERTURA_CAMBIOS_TF!T59/1000</f>
        <v>0.11623364546457571</v>
      </c>
      <c r="S18" s="483">
        <f>+COBERTURA_CAMBIOS_TF!U59/1000</f>
        <v>0.1153569137086221</v>
      </c>
      <c r="T18" s="483">
        <f>+COBERTURA_CAMBIOS_TF!V59/1000</f>
        <v>0.11448679670117676</v>
      </c>
      <c r="U18" s="483">
        <f>+COBERTURA_CAMBIOS_TF!W59/1000</f>
        <v>0.1136233552504564</v>
      </c>
      <c r="V18" s="483">
        <f>+COBERTURA_CAMBIOS_TF!X59/1000</f>
        <v>0.11276620679350344</v>
      </c>
      <c r="W18" s="483">
        <f>+COBERTURA_CAMBIOS_TF!Y59/1000</f>
        <v>0.11191552701073769</v>
      </c>
      <c r="X18" s="483">
        <f>+COBERTURA_CAMBIOS_TF!Z59/1000</f>
        <v>0.11107159155336011</v>
      </c>
      <c r="Y18" s="483">
        <f>+COBERTURA_CAMBIOS_TF!AA59/1000</f>
        <v>0.11023380532403861</v>
      </c>
      <c r="Z18" s="483">
        <f>+COBERTURA_CAMBIOS_TF!AB59/1000</f>
        <v>0.10940233993777659</v>
      </c>
      <c r="AA18" s="483">
        <f>+COBERTURA_CAMBIOS_TF!AC59/1000</f>
        <v>0.10857714769310089</v>
      </c>
      <c r="AB18" s="485">
        <f>+COBERTURA_CAMBIOS_TF!AD59/1000</f>
        <v>0.10775828608006391</v>
      </c>
    </row>
    <row r="19" spans="2:30" x14ac:dyDescent="0.3">
      <c r="B19" s="185" t="s">
        <v>7</v>
      </c>
      <c r="C19" s="483">
        <f>+COBERTURA_CAMBIOS_TF!E60/1000</f>
        <v>1.806E-2</v>
      </c>
      <c r="D19" s="483">
        <f>+COBERTURA_CAMBIOS_TF!F60/1000</f>
        <v>1.806E-2</v>
      </c>
      <c r="E19" s="483">
        <f>+COBERTURA_CAMBIOS_TF!G60/1000</f>
        <v>1.806E-2</v>
      </c>
      <c r="F19" s="483">
        <f>+COBERTURA_CAMBIOS_TF!H60/1000</f>
        <v>1.806E-2</v>
      </c>
      <c r="G19" s="483">
        <f>+COBERTURA_CAMBIOS_TF!I60/1000</f>
        <v>1.806E-2</v>
      </c>
      <c r="H19" s="483">
        <f>+COBERTURA_CAMBIOS_TF!J60/1000</f>
        <v>2.1292499999999999E-2</v>
      </c>
      <c r="I19" s="483">
        <f>+COBERTURA_CAMBIOS_TF!K60/1000</f>
        <v>2.4525000000000002E-2</v>
      </c>
      <c r="J19" s="483">
        <f>+COBERTURA_CAMBIOS_TF!L60/1000</f>
        <v>2.8170000000000001E-2</v>
      </c>
      <c r="K19" s="484">
        <f>+COBERTURA_CAMBIOS_TF!M60/1000</f>
        <v>3.1814999999999996E-2</v>
      </c>
      <c r="L19" s="484">
        <f>+COBERTURA_CAMBIOS_TF!N60/1000</f>
        <v>3.9649999999999998E-2</v>
      </c>
      <c r="M19" s="484">
        <f>+COBERTURA_CAMBIOS_TF!O60/1000</f>
        <v>3.9649999999999998E-2</v>
      </c>
      <c r="N19" s="484">
        <f>+COBERTURA_CAMBIOS_TF!P60/1000</f>
        <v>5.4000000000000001E-4</v>
      </c>
      <c r="O19" s="484">
        <f>+COBERTURA_CAMBIOS_TF!Q60/1000</f>
        <v>5.4000000000000001E-4</v>
      </c>
      <c r="P19" s="483">
        <f>+COBERTURA_CAMBIOS_TF!R60/1000</f>
        <v>4.5990086312024597E-4</v>
      </c>
      <c r="Q19" s="483">
        <f>+COBERTURA_CAMBIOS_TF!S60/1000</f>
        <v>4.5643189105908051E-4</v>
      </c>
      <c r="R19" s="483">
        <f>+COBERTURA_CAMBIOS_TF!T60/1000</f>
        <v>4.5298909173550005E-4</v>
      </c>
      <c r="S19" s="483">
        <f>+COBERTURA_CAMBIOS_TF!U60/1000</f>
        <v>4.4957226762886793E-4</v>
      </c>
      <c r="T19" s="483">
        <f>+COBERTURA_CAMBIOS_TF!V60/1000</f>
        <v>4.4618122270955151E-4</v>
      </c>
      <c r="U19" s="483">
        <f>+COBERTURA_CAMBIOS_TF!W60/1000</f>
        <v>4.4281619396107432E-4</v>
      </c>
      <c r="V19" s="483">
        <f>+COBERTURA_CAMBIOS_TF!X60/1000</f>
        <v>4.3947569044812255E-4</v>
      </c>
      <c r="W19" s="483">
        <f>+COBERTURA_CAMBIOS_TF!Y60/1000</f>
        <v>4.3616039683745927E-4</v>
      </c>
      <c r="X19" s="483">
        <f>+COBERTURA_CAMBIOS_TF!Z60/1000</f>
        <v>4.3287138740483882E-4</v>
      </c>
      <c r="Y19" s="483">
        <f>+COBERTURA_CAMBIOS_TF!AA60/1000</f>
        <v>4.2960634291989649E-4</v>
      </c>
      <c r="Z19" s="483">
        <f>+COBERTURA_CAMBIOS_TF!AB60/1000</f>
        <v>4.2636593220553813E-4</v>
      </c>
      <c r="AA19" s="483">
        <f>+COBERTURA_CAMBIOS_TF!AC60/1000</f>
        <v>4.2314996935821658E-4</v>
      </c>
      <c r="AB19" s="485">
        <f>+COBERTURA_CAMBIOS_TF!AD60/1000</f>
        <v>4.1995867842981033E-4</v>
      </c>
    </row>
    <row r="20" spans="2:30" x14ac:dyDescent="0.3">
      <c r="B20" s="185" t="s">
        <v>8</v>
      </c>
      <c r="C20" s="483">
        <f>+COBERTURA_CAMBIOS_TF!E61/1000</f>
        <v>0.10255500000000001</v>
      </c>
      <c r="D20" s="483">
        <f>+COBERTURA_CAMBIOS_TF!F61/1000</f>
        <v>0.10255500000000001</v>
      </c>
      <c r="E20" s="483">
        <f>+COBERTURA_CAMBIOS_TF!G61/1000</f>
        <v>0.10255500000000001</v>
      </c>
      <c r="F20" s="483">
        <f>+COBERTURA_CAMBIOS_TF!H61/1000</f>
        <v>0.10255500000000001</v>
      </c>
      <c r="G20" s="483">
        <f>+COBERTURA_CAMBIOS_TF!I61/1000</f>
        <v>0.10255500000000001</v>
      </c>
      <c r="H20" s="483">
        <f>+COBERTURA_CAMBIOS_TF!J61/1000</f>
        <v>0.10723500000000001</v>
      </c>
      <c r="I20" s="483">
        <f>+COBERTURA_CAMBIOS_TF!K61/1000</f>
        <v>0.111915</v>
      </c>
      <c r="J20" s="483">
        <f>+COBERTURA_CAMBIOS_TF!L61/1000</f>
        <v>0.15797249999999999</v>
      </c>
      <c r="K20" s="484">
        <f>+COBERTURA_CAMBIOS_TF!M61/1000</f>
        <v>0.20402999999999999</v>
      </c>
      <c r="L20" s="484">
        <f>+COBERTURA_CAMBIOS_TF!N61/1000</f>
        <v>0.30074000000000001</v>
      </c>
      <c r="M20" s="484">
        <f>+COBERTURA_CAMBIOS_TF!O61/1000</f>
        <v>0.30074000000000001</v>
      </c>
      <c r="N20" s="484">
        <f>+COBERTURA_CAMBIOS_TF!P61/1000</f>
        <v>0.86197999999999997</v>
      </c>
      <c r="O20" s="484">
        <f>+COBERTURA_CAMBIOS_TF!Q61/1000</f>
        <v>0.86197999999999997</v>
      </c>
      <c r="P20" s="483">
        <f>+COBERTURA_CAMBIOS_TF!R61/1000</f>
        <v>0.73412101109701777</v>
      </c>
      <c r="Q20" s="483">
        <f>+COBERTURA_CAMBIOS_TF!S61/1000</f>
        <v>0.7285836323242707</v>
      </c>
      <c r="R20" s="483">
        <f>+COBERTURA_CAMBIOS_TF!T61/1000</f>
        <v>0.72308803202623395</v>
      </c>
      <c r="S20" s="483">
        <f>+COBERTURA_CAMBIOS_TF!U61/1000</f>
        <v>0.71763389490876217</v>
      </c>
      <c r="T20" s="483">
        <f>+COBERTURA_CAMBIOS_TF!V61/1000</f>
        <v>0.7122209080577393</v>
      </c>
      <c r="U20" s="483">
        <f>+COBERTURA_CAMBIOS_TF!W61/1000</f>
        <v>0.70684944976030895</v>
      </c>
      <c r="V20" s="483">
        <f>+COBERTURA_CAMBIOS_TF!X61/1000</f>
        <v>0.7015171400971717</v>
      </c>
      <c r="W20" s="483">
        <f>+COBERTURA_CAMBIOS_TF!Y61/1000</f>
        <v>0.69622507197398742</v>
      </c>
      <c r="X20" s="483">
        <f>+COBERTURA_CAMBIOS_TF!Z61/1000</f>
        <v>0.6909749602133759</v>
      </c>
      <c r="Y20" s="483">
        <f>+COBERTURA_CAMBIOS_TF!AA61/1000</f>
        <v>0.68576310272239327</v>
      </c>
      <c r="Z20" s="483">
        <f>+COBERTURA_CAMBIOS_TF!AB61/1000</f>
        <v>0.68059056711579591</v>
      </c>
      <c r="AA20" s="483">
        <f>+COBERTURA_CAMBIOS_TF!AC61/1000</f>
        <v>0.675457056643325</v>
      </c>
      <c r="AB20" s="485">
        <f>+COBERTURA_CAMBIOS_TF!AD61/1000</f>
        <v>0.67036292894986649</v>
      </c>
    </row>
    <row r="21" spans="2:30" x14ac:dyDescent="0.3">
      <c r="B21" s="185" t="s">
        <v>9</v>
      </c>
      <c r="C21" s="483">
        <f>+COBERTURA_CAMBIOS_TF!E62/1000</f>
        <v>3.0825000000000002E-2</v>
      </c>
      <c r="D21" s="483">
        <f>+COBERTURA_CAMBIOS_TF!F62/1000</f>
        <v>3.0825000000000002E-2</v>
      </c>
      <c r="E21" s="483">
        <f>+COBERTURA_CAMBIOS_TF!G62/1000</f>
        <v>3.0825000000000002E-2</v>
      </c>
      <c r="F21" s="483">
        <f>+COBERTURA_CAMBIOS_TF!H62/1000</f>
        <v>3.0825000000000002E-2</v>
      </c>
      <c r="G21" s="483">
        <f>+COBERTURA_CAMBIOS_TF!I62/1000</f>
        <v>3.0825000000000002E-2</v>
      </c>
      <c r="H21" s="483">
        <f>+COBERTURA_CAMBIOS_TF!J62/1000</f>
        <v>2.2770000000000002E-2</v>
      </c>
      <c r="I21" s="483">
        <f>+COBERTURA_CAMBIOS_TF!K62/1000</f>
        <v>1.4715000000000001E-2</v>
      </c>
      <c r="J21" s="483">
        <f>+COBERTURA_CAMBIOS_TF!L62/1000</f>
        <v>1.8089999999999998E-2</v>
      </c>
      <c r="K21" s="484">
        <f>+COBERTURA_CAMBIOS_TF!M62/1000</f>
        <v>2.1465000000000001E-2</v>
      </c>
      <c r="L21" s="484">
        <f>+COBERTURA_CAMBIOS_TF!N62/1000</f>
        <v>3.3979999999999996E-2</v>
      </c>
      <c r="M21" s="484">
        <f>+COBERTURA_CAMBIOS_TF!O62/1000</f>
        <v>3.3979999999999996E-2</v>
      </c>
      <c r="N21" s="484">
        <f>+COBERTURA_CAMBIOS_TF!P62/1000</f>
        <v>0.20155999999999999</v>
      </c>
      <c r="O21" s="484">
        <f>+COBERTURA_CAMBIOS_TF!Q62/1000</f>
        <v>0.20155999999999999</v>
      </c>
      <c r="P21" s="483">
        <f>+COBERTURA_CAMBIOS_TF!R62/1000</f>
        <v>0.17166225550095701</v>
      </c>
      <c r="Q21" s="483">
        <f>+COBERTURA_CAMBIOS_TF!S62/1000</f>
        <v>0.17036742955901529</v>
      </c>
      <c r="R21" s="483">
        <f>+COBERTURA_CAMBIOS_TF!T62/1000</f>
        <v>0.16908237283371738</v>
      </c>
      <c r="S21" s="483">
        <f>+COBERTURA_CAMBIOS_TF!U62/1000</f>
        <v>0.16780701159865671</v>
      </c>
      <c r="T21" s="483">
        <f>+COBERTURA_CAMBIOS_TF!V62/1000</f>
        <v>0.16654127268395777</v>
      </c>
      <c r="U21" s="483">
        <f>+COBERTURA_CAMBIOS_TF!W62/1000</f>
        <v>0.16528524454591509</v>
      </c>
      <c r="V21" s="483">
        <f>+COBERTURA_CAMBIOS_TF!X62/1000</f>
        <v>0.16403837067911775</v>
      </c>
      <c r="W21" s="483">
        <f>+COBERTURA_CAMBIOS_TF!Y62/1000</f>
        <v>0.16280090664177463</v>
      </c>
      <c r="X21" s="483">
        <f>+COBERTURA_CAMBIOS_TF!Z62/1000</f>
        <v>0.16157325341725798</v>
      </c>
      <c r="Y21" s="483">
        <f>+COBERTURA_CAMBIOS_TF!AA62/1000</f>
        <v>0.16035454533135987</v>
      </c>
      <c r="Z21" s="483">
        <f>+COBERTURA_CAMBIOS_TF!AB62/1000</f>
        <v>0.15914503202842273</v>
      </c>
      <c r="AA21" s="483">
        <f>+COBERTURA_CAMBIOS_TF!AC62/1000</f>
        <v>0.15794464411822617</v>
      </c>
      <c r="AB21" s="485">
        <f>+COBERTURA_CAMBIOS_TF!AD62/1000</f>
        <v>0.15675346523020847</v>
      </c>
    </row>
    <row r="22" spans="2:30" x14ac:dyDescent="0.3">
      <c r="B22" s="185" t="s">
        <v>10</v>
      </c>
      <c r="C22" s="483">
        <f>+COBERTURA_CAMBIOS_TF!E63/1000</f>
        <v>3.363E-2</v>
      </c>
      <c r="D22" s="483">
        <f>+COBERTURA_CAMBIOS_TF!F63/1000</f>
        <v>3.363E-2</v>
      </c>
      <c r="E22" s="483">
        <f>+COBERTURA_CAMBIOS_TF!G63/1000</f>
        <v>3.363E-2</v>
      </c>
      <c r="F22" s="483">
        <f>+COBERTURA_CAMBIOS_TF!H63/1000</f>
        <v>3.363E-2</v>
      </c>
      <c r="G22" s="483">
        <f>+COBERTURA_CAMBIOS_TF!I63/1000</f>
        <v>3.363E-2</v>
      </c>
      <c r="H22" s="483">
        <f>+COBERTURA_CAMBIOS_TF!J63/1000</f>
        <v>2.08425E-2</v>
      </c>
      <c r="I22" s="483">
        <f>+COBERTURA_CAMBIOS_TF!K63/1000</f>
        <v>8.0549999999999997E-3</v>
      </c>
      <c r="J22" s="483">
        <f>+COBERTURA_CAMBIOS_TF!L63/1000</f>
        <v>1.16775E-2</v>
      </c>
      <c r="K22" s="484">
        <f>+COBERTURA_CAMBIOS_TF!M63/1000</f>
        <v>1.5300000000000001E-2</v>
      </c>
      <c r="L22" s="484">
        <f>+COBERTURA_CAMBIOS_TF!N63/1000</f>
        <v>2.2107199999999998</v>
      </c>
      <c r="M22" s="484">
        <f>+COBERTURA_CAMBIOS_TF!O63/1000</f>
        <v>2.2107199999999998</v>
      </c>
      <c r="N22" s="484">
        <f>+COBERTURA_CAMBIOS_TF!P63/1000</f>
        <v>7.8709999999999988E-2</v>
      </c>
      <c r="O22" s="484">
        <f>+COBERTURA_CAMBIOS_TF!Q63/1000</f>
        <v>7.8709999999999988E-2</v>
      </c>
      <c r="P22" s="483">
        <f>+COBERTURA_CAMBIOS_TF!R63/1000</f>
        <v>6.7034809141101021E-2</v>
      </c>
      <c r="Q22" s="483">
        <f>+COBERTURA_CAMBIOS_TF!S63/1000</f>
        <v>6.6529174343074482E-2</v>
      </c>
      <c r="R22" s="483">
        <f>+COBERTURA_CAMBIOS_TF!T63/1000</f>
        <v>6.6027354463891116E-2</v>
      </c>
      <c r="S22" s="483">
        <f>+COBERTURA_CAMBIOS_TF!U63/1000</f>
        <v>6.5529320713089229E-2</v>
      </c>
      <c r="T22" s="483">
        <f>+COBERTURA_CAMBIOS_TF!V63/1000</f>
        <v>6.5035044517534807E-2</v>
      </c>
      <c r="U22" s="483">
        <f>+COBERTURA_CAMBIOS_TF!W63/1000</f>
        <v>6.4544560419770663E-2</v>
      </c>
      <c r="V22" s="483">
        <f>+COBERTURA_CAMBIOS_TF!X63/1000</f>
        <v>6.4057651102169863E-2</v>
      </c>
      <c r="W22" s="483">
        <f>+COBERTURA_CAMBIOS_TF!Y63/1000</f>
        <v>6.357441636125262E-2</v>
      </c>
      <c r="X22" s="483">
        <f>+COBERTURA_CAMBIOS_TF!Z63/1000</f>
        <v>6.3095012782657139E-2</v>
      </c>
      <c r="Y22" s="483">
        <f>+COBERTURA_CAMBIOS_TF!AA63/1000</f>
        <v>6.2619102317083411E-2</v>
      </c>
      <c r="Z22" s="483">
        <f>+COBERTURA_CAMBIOS_TF!AB63/1000</f>
        <v>6.2146782451662781E-2</v>
      </c>
      <c r="AA22" s="483">
        <f>+COBERTURA_CAMBIOS_TF!AC63/1000</f>
        <v>6.167802608923189E-2</v>
      </c>
      <c r="AB22" s="485">
        <f>+COBERTURA_CAMBIOS_TF!AD63/1000</f>
        <v>6.1212865887426603E-2</v>
      </c>
    </row>
    <row r="23" spans="2:30" x14ac:dyDescent="0.3">
      <c r="B23" s="185" t="s">
        <v>11</v>
      </c>
      <c r="C23" s="483">
        <f>+COBERTURA_CAMBIOS_TF!E64/1000</f>
        <v>1.83E-3</v>
      </c>
      <c r="D23" s="483">
        <f>+COBERTURA_CAMBIOS_TF!F64/1000</f>
        <v>1.83E-3</v>
      </c>
      <c r="E23" s="483">
        <f>+COBERTURA_CAMBIOS_TF!G64/1000</f>
        <v>1.83E-3</v>
      </c>
      <c r="F23" s="483">
        <f>+COBERTURA_CAMBIOS_TF!H64/1000</f>
        <v>1.83E-3</v>
      </c>
      <c r="G23" s="483">
        <f>+COBERTURA_CAMBIOS_TF!I64/1000</f>
        <v>1.83E-3</v>
      </c>
      <c r="H23" s="483">
        <f>+COBERTURA_CAMBIOS_TF!J64/1000</f>
        <v>2.5800000000000003E-3</v>
      </c>
      <c r="I23" s="483">
        <f>+COBERTURA_CAMBIOS_TF!K64/1000</f>
        <v>3.3300000000000001E-3</v>
      </c>
      <c r="J23" s="483">
        <f>+COBERTURA_CAMBIOS_TF!L64/1000</f>
        <v>4.657500000000001E-3</v>
      </c>
      <c r="K23" s="484">
        <f>+COBERTURA_CAMBIOS_TF!M64/1000</f>
        <v>5.9850000000000007E-3</v>
      </c>
      <c r="L23" s="484">
        <f>+COBERTURA_CAMBIOS_TF!N64/1000</f>
        <v>6.5300000000000002E-3</v>
      </c>
      <c r="M23" s="484">
        <f>+COBERTURA_CAMBIOS_TF!O64/1000</f>
        <v>6.5300000000000002E-3</v>
      </c>
      <c r="N23" s="484">
        <f>+COBERTURA_CAMBIOS_TF!P64/1000</f>
        <v>1.323E-2</v>
      </c>
      <c r="O23" s="484">
        <f>+COBERTURA_CAMBIOS_TF!Q64/1000</f>
        <v>1.323E-2</v>
      </c>
      <c r="P23" s="483">
        <f>+COBERTURA_CAMBIOS_TF!R64/1000</f>
        <v>1.1267571146446028E-2</v>
      </c>
      <c r="Q23" s="483">
        <f>+COBERTURA_CAMBIOS_TF!S64/1000</f>
        <v>1.1182581330947473E-2</v>
      </c>
      <c r="R23" s="483">
        <f>+COBERTURA_CAMBIOS_TF!T64/1000</f>
        <v>1.1098232747519751E-2</v>
      </c>
      <c r="S23" s="483">
        <f>+COBERTURA_CAMBIOS_TF!U64/1000</f>
        <v>1.1014520556907265E-2</v>
      </c>
      <c r="T23" s="483">
        <f>+COBERTURA_CAMBIOS_TF!V64/1000</f>
        <v>1.0931439956384011E-2</v>
      </c>
      <c r="U23" s="483">
        <f>+COBERTURA_CAMBIOS_TF!W64/1000</f>
        <v>1.0848996752046322E-2</v>
      </c>
      <c r="V23" s="483">
        <f>+COBERTURA_CAMBIOS_TF!X64/1000</f>
        <v>1.0767154415979004E-2</v>
      </c>
      <c r="W23" s="483">
        <f>+COBERTURA_CAMBIOS_TF!Y64/1000</f>
        <v>1.0685929722517752E-2</v>
      </c>
      <c r="X23" s="483">
        <f>+COBERTURA_CAMBIOS_TF!Z64/1000</f>
        <v>1.060534899141855E-2</v>
      </c>
      <c r="Y23" s="483">
        <f>+COBERTURA_CAMBIOS_TF!AA64/1000</f>
        <v>1.0525355401537461E-2</v>
      </c>
      <c r="Z23" s="483">
        <f>+COBERTURA_CAMBIOS_TF!AB64/1000</f>
        <v>1.0445965339035685E-2</v>
      </c>
      <c r="AA23" s="483">
        <f>+COBERTURA_CAMBIOS_TF!AC64/1000</f>
        <v>1.0367174249276306E-2</v>
      </c>
      <c r="AB23" s="485">
        <f>+COBERTURA_CAMBIOS_TF!AD64/1000</f>
        <v>1.0288987621530353E-2</v>
      </c>
    </row>
    <row r="24" spans="2:30" ht="15" thickBot="1" x14ac:dyDescent="0.35">
      <c r="B24" s="186" t="s">
        <v>12</v>
      </c>
      <c r="C24" s="486">
        <f>+COBERTURA_CAMBIOS_TF!E65/1000</f>
        <v>2.0579999999999998E-2</v>
      </c>
      <c r="D24" s="486">
        <f>+COBERTURA_CAMBIOS_TF!F65/1000</f>
        <v>2.0579999999999998E-2</v>
      </c>
      <c r="E24" s="486">
        <f>+COBERTURA_CAMBIOS_TF!G65/1000</f>
        <v>2.0579999999999998E-2</v>
      </c>
      <c r="F24" s="486">
        <f>+COBERTURA_CAMBIOS_TF!H65/1000</f>
        <v>2.0579999999999998E-2</v>
      </c>
      <c r="G24" s="486">
        <f>+COBERTURA_CAMBIOS_TF!I65/1000</f>
        <v>2.0579999999999998E-2</v>
      </c>
      <c r="H24" s="486">
        <f>+COBERTURA_CAMBIOS_TF!J65/1000</f>
        <v>4.4920000000000002E-2</v>
      </c>
      <c r="I24" s="486">
        <f>+COBERTURA_CAMBIOS_TF!K65/1000</f>
        <v>6.9260000000000002E-2</v>
      </c>
      <c r="J24" s="486">
        <f>+COBERTURA_CAMBIOS_TF!L65/1000</f>
        <v>0.122875</v>
      </c>
      <c r="K24" s="487">
        <f>+COBERTURA_CAMBIOS_TF!M65/1000</f>
        <v>0.17649000000000001</v>
      </c>
      <c r="L24" s="487">
        <f>+COBERTURA_CAMBIOS_TF!N65/1000</f>
        <v>5.3460000000000001E-2</v>
      </c>
      <c r="M24" s="487">
        <f>+COBERTURA_CAMBIOS_TF!O65/1000</f>
        <v>5.3460000000000001E-2</v>
      </c>
      <c r="N24" s="487">
        <f>+COBERTURA_CAMBIOS_TF!P65/1000</f>
        <v>1.098E-2</v>
      </c>
      <c r="O24" s="487">
        <f>+COBERTURA_CAMBIOS_TF!Q65/1000</f>
        <v>1.098E-2</v>
      </c>
      <c r="P24" s="486">
        <f>+COBERTURA_CAMBIOS_TF!R65/1000</f>
        <v>9.3513175501116676E-3</v>
      </c>
      <c r="Q24" s="486">
        <f>+COBERTURA_CAMBIOS_TF!S65/1000</f>
        <v>9.2807817848679711E-3</v>
      </c>
      <c r="R24" s="486">
        <f>+COBERTURA_CAMBIOS_TF!T65/1000</f>
        <v>9.2107781986218353E-3</v>
      </c>
      <c r="S24" s="486">
        <f>+COBERTURA_CAMBIOS_TF!U65/1000</f>
        <v>9.1413027751203139E-3</v>
      </c>
      <c r="T24" s="486">
        <f>+COBERTURA_CAMBIOS_TF!V65/1000</f>
        <v>9.0723515284275458E-3</v>
      </c>
      <c r="U24" s="486">
        <f>+COBERTURA_CAMBIOS_TF!W65/1000</f>
        <v>9.0039292772085121E-3</v>
      </c>
      <c r="V24" s="486">
        <f>+COBERTURA_CAMBIOS_TF!X65/1000</f>
        <v>8.9360057057784933E-3</v>
      </c>
      <c r="W24" s="486">
        <f>+COBERTURA_CAMBIOS_TF!Y65/1000</f>
        <v>8.8685947356950054E-3</v>
      </c>
      <c r="X24" s="486">
        <f>+COBERTURA_CAMBIOS_TF!Z65/1000</f>
        <v>8.8017182105650568E-3</v>
      </c>
      <c r="Y24" s="486">
        <f>+COBERTURA_CAMBIOS_TF!AA65/1000</f>
        <v>8.7353289727045615E-3</v>
      </c>
      <c r="Z24" s="486">
        <f>+COBERTURA_CAMBIOS_TF!AB65/1000</f>
        <v>8.6694406215126075E-3</v>
      </c>
      <c r="AA24" s="486">
        <f>+COBERTURA_CAMBIOS_TF!AC65/1000</f>
        <v>8.6040493769504039E-3</v>
      </c>
      <c r="AB24" s="488">
        <f>+COBERTURA_CAMBIOS_TF!AD65/1000</f>
        <v>8.5391597947394749E-3</v>
      </c>
    </row>
    <row r="25" spans="2:30" ht="15" thickBot="1" x14ac:dyDescent="0.35">
      <c r="B25" s="142" t="s">
        <v>35</v>
      </c>
      <c r="C25" s="187"/>
      <c r="D25" s="187"/>
      <c r="E25" s="187"/>
      <c r="F25" s="187"/>
      <c r="G25" s="187"/>
      <c r="H25" s="187"/>
      <c r="I25" s="187"/>
      <c r="J25" s="187"/>
      <c r="K25" s="187"/>
      <c r="L25" s="187"/>
      <c r="M25" s="187"/>
      <c r="N25" s="187"/>
      <c r="O25" s="187"/>
      <c r="P25" s="187"/>
      <c r="Q25" s="187"/>
      <c r="R25" s="187"/>
      <c r="S25" s="187"/>
      <c r="T25" s="187"/>
      <c r="U25" s="187"/>
      <c r="V25" s="187"/>
      <c r="W25" s="187"/>
      <c r="X25" s="187"/>
      <c r="Y25" s="187"/>
      <c r="Z25" s="187"/>
      <c r="AA25" s="187"/>
      <c r="AB25" s="188"/>
      <c r="AD25" s="417" t="s">
        <v>232</v>
      </c>
    </row>
    <row r="26" spans="2:30" x14ac:dyDescent="0.3">
      <c r="B26" s="191" t="s">
        <v>2</v>
      </c>
      <c r="C26" s="384">
        <f t="shared" ref="C26:O26" si="3">+C4/C15</f>
        <v>86.229108519511968</v>
      </c>
      <c r="D26" s="384">
        <f t="shared" si="3"/>
        <v>90.154221690780261</v>
      </c>
      <c r="E26" s="384">
        <f t="shared" si="3"/>
        <v>93.801246292107308</v>
      </c>
      <c r="F26" s="384">
        <f t="shared" si="3"/>
        <v>92.47200175451735</v>
      </c>
      <c r="G26" s="384">
        <f t="shared" si="3"/>
        <v>91.201997190691884</v>
      </c>
      <c r="H26" s="384">
        <f t="shared" si="3"/>
        <v>80.849798137360196</v>
      </c>
      <c r="I26" s="384">
        <f t="shared" si="3"/>
        <v>70.698841985127629</v>
      </c>
      <c r="J26" s="384">
        <f t="shared" si="3"/>
        <v>92.765250066520778</v>
      </c>
      <c r="K26" s="385">
        <f t="shared" si="3"/>
        <v>57.033325185355608</v>
      </c>
      <c r="L26" s="385">
        <f t="shared" si="3"/>
        <v>341.27473025419425</v>
      </c>
      <c r="M26" s="385">
        <f t="shared" si="3"/>
        <v>341.27473025419425</v>
      </c>
      <c r="N26" s="385">
        <f t="shared" si="3"/>
        <v>252.10269236920891</v>
      </c>
      <c r="O26" s="385">
        <f t="shared" si="3"/>
        <v>252.10269236920891</v>
      </c>
      <c r="P26" s="377">
        <f>IF(AD26="CONSTANTE",O26,AVERAGE(C26:O26))</f>
        <v>149.38158738990609</v>
      </c>
      <c r="Q26" s="192">
        <f t="shared" ref="Q26:AB26" si="4">+P26</f>
        <v>149.38158738990609</v>
      </c>
      <c r="R26" s="192">
        <f t="shared" si="4"/>
        <v>149.38158738990609</v>
      </c>
      <c r="S26" s="192">
        <f t="shared" si="4"/>
        <v>149.38158738990609</v>
      </c>
      <c r="T26" s="192">
        <f t="shared" si="4"/>
        <v>149.38158738990609</v>
      </c>
      <c r="U26" s="192">
        <f t="shared" si="4"/>
        <v>149.38158738990609</v>
      </c>
      <c r="V26" s="192">
        <f t="shared" si="4"/>
        <v>149.38158738990609</v>
      </c>
      <c r="W26" s="192">
        <f>+V26</f>
        <v>149.38158738990609</v>
      </c>
      <c r="X26" s="192">
        <f t="shared" si="4"/>
        <v>149.38158738990609</v>
      </c>
      <c r="Y26" s="192">
        <f t="shared" si="4"/>
        <v>149.38158738990609</v>
      </c>
      <c r="Z26" s="192">
        <f t="shared" si="4"/>
        <v>149.38158738990609</v>
      </c>
      <c r="AA26" s="192">
        <f t="shared" si="4"/>
        <v>149.38158738990609</v>
      </c>
      <c r="AB26" s="194">
        <f t="shared" si="4"/>
        <v>149.38158738990609</v>
      </c>
      <c r="AD26" s="418" t="s">
        <v>234</v>
      </c>
    </row>
    <row r="27" spans="2:30" x14ac:dyDescent="0.3">
      <c r="B27" s="185" t="s">
        <v>4</v>
      </c>
      <c r="C27" s="386">
        <f t="shared" ref="C27:O27" si="5">+C5/C16</f>
        <v>11.221845916336065</v>
      </c>
      <c r="D27" s="386">
        <f t="shared" si="5"/>
        <v>11.314546923805306</v>
      </c>
      <c r="E27" s="386">
        <f t="shared" si="5"/>
        <v>11.400680199473099</v>
      </c>
      <c r="F27" s="386">
        <f t="shared" si="5"/>
        <v>11.492704318211247</v>
      </c>
      <c r="G27" s="386">
        <f t="shared" si="5"/>
        <v>11.580627230417718</v>
      </c>
      <c r="H27" s="386">
        <f t="shared" si="5"/>
        <v>17.148417193771589</v>
      </c>
      <c r="I27" s="386">
        <f t="shared" si="5"/>
        <v>46.284877873386236</v>
      </c>
      <c r="J27" s="386">
        <f t="shared" si="5"/>
        <v>60.636616376674347</v>
      </c>
      <c r="K27" s="387">
        <f t="shared" si="5"/>
        <v>74.445037690053482</v>
      </c>
      <c r="L27" s="387">
        <f t="shared" si="5"/>
        <v>46.087984174525822</v>
      </c>
      <c r="M27" s="387">
        <f t="shared" si="5"/>
        <v>46.087984174525822</v>
      </c>
      <c r="N27" s="387">
        <f t="shared" si="5"/>
        <v>24.150143076345266</v>
      </c>
      <c r="O27" s="387">
        <f t="shared" si="5"/>
        <v>24.150143076345266</v>
      </c>
      <c r="P27" s="374">
        <f t="shared" ref="P27:P35" si="6">IF(AD27="CONSTANTE",O27,AVERAGE(C27:O27))</f>
        <v>30.461662171067022</v>
      </c>
      <c r="Q27" s="189">
        <f t="shared" ref="Q27:AB35" si="7">+P27</f>
        <v>30.461662171067022</v>
      </c>
      <c r="R27" s="189">
        <f t="shared" si="7"/>
        <v>30.461662171067022</v>
      </c>
      <c r="S27" s="189">
        <f t="shared" si="7"/>
        <v>30.461662171067022</v>
      </c>
      <c r="T27" s="189">
        <f t="shared" si="7"/>
        <v>30.461662171067022</v>
      </c>
      <c r="U27" s="189">
        <f t="shared" si="7"/>
        <v>30.461662171067022</v>
      </c>
      <c r="V27" s="189">
        <f t="shared" si="7"/>
        <v>30.461662171067022</v>
      </c>
      <c r="W27" s="189">
        <f t="shared" si="7"/>
        <v>30.461662171067022</v>
      </c>
      <c r="X27" s="189">
        <f t="shared" si="7"/>
        <v>30.461662171067022</v>
      </c>
      <c r="Y27" s="189">
        <f t="shared" si="7"/>
        <v>30.461662171067022</v>
      </c>
      <c r="Z27" s="189">
        <f t="shared" si="7"/>
        <v>30.461662171067022</v>
      </c>
      <c r="AA27" s="189">
        <f t="shared" si="7"/>
        <v>30.461662171067022</v>
      </c>
      <c r="AB27" s="195">
        <f t="shared" si="7"/>
        <v>30.461662171067022</v>
      </c>
      <c r="AD27" s="418" t="s">
        <v>234</v>
      </c>
    </row>
    <row r="28" spans="2:30" x14ac:dyDescent="0.3">
      <c r="B28" s="185" t="s">
        <v>5</v>
      </c>
      <c r="C28" s="386">
        <f t="shared" ref="C28:O28" si="8">+C6/C17</f>
        <v>985.4871405377254</v>
      </c>
      <c r="D28" s="386">
        <f t="shared" si="8"/>
        <v>953.99595258426427</v>
      </c>
      <c r="E28" s="386">
        <f t="shared" si="8"/>
        <v>924.73586958029443</v>
      </c>
      <c r="F28" s="386">
        <f t="shared" si="8"/>
        <v>930.19875379748441</v>
      </c>
      <c r="G28" s="386">
        <f t="shared" si="8"/>
        <v>935.41817557525553</v>
      </c>
      <c r="H28" s="386">
        <f t="shared" si="8"/>
        <v>640.8900415095427</v>
      </c>
      <c r="I28" s="386">
        <f t="shared" si="8"/>
        <v>456.32826232679287</v>
      </c>
      <c r="J28" s="386">
        <f t="shared" si="8"/>
        <v>456.36796246929151</v>
      </c>
      <c r="K28" s="387">
        <f t="shared" si="8"/>
        <v>455.08554933709422</v>
      </c>
      <c r="L28" s="387">
        <f t="shared" si="8"/>
        <v>3677.2961219761646</v>
      </c>
      <c r="M28" s="387">
        <f t="shared" si="8"/>
        <v>3677.2961219761646</v>
      </c>
      <c r="N28" s="387">
        <f t="shared" si="8"/>
        <v>1416.440967500665</v>
      </c>
      <c r="O28" s="387">
        <f t="shared" si="8"/>
        <v>1416.440967500665</v>
      </c>
      <c r="P28" s="374">
        <f t="shared" si="6"/>
        <v>1301.9986066670313</v>
      </c>
      <c r="Q28" s="189">
        <f t="shared" si="7"/>
        <v>1301.9986066670313</v>
      </c>
      <c r="R28" s="189">
        <f t="shared" si="7"/>
        <v>1301.9986066670313</v>
      </c>
      <c r="S28" s="189">
        <f t="shared" si="7"/>
        <v>1301.9986066670313</v>
      </c>
      <c r="T28" s="189">
        <f t="shared" si="7"/>
        <v>1301.9986066670313</v>
      </c>
      <c r="U28" s="189">
        <f t="shared" si="7"/>
        <v>1301.9986066670313</v>
      </c>
      <c r="V28" s="189">
        <f t="shared" si="7"/>
        <v>1301.9986066670313</v>
      </c>
      <c r="W28" s="189">
        <f t="shared" si="7"/>
        <v>1301.9986066670313</v>
      </c>
      <c r="X28" s="189">
        <f t="shared" si="7"/>
        <v>1301.9986066670313</v>
      </c>
      <c r="Y28" s="189">
        <f t="shared" si="7"/>
        <v>1301.9986066670313</v>
      </c>
      <c r="Z28" s="189">
        <f t="shared" si="7"/>
        <v>1301.9986066670313</v>
      </c>
      <c r="AA28" s="189">
        <f t="shared" si="7"/>
        <v>1301.9986066670313</v>
      </c>
      <c r="AB28" s="195">
        <f t="shared" si="7"/>
        <v>1301.9986066670313</v>
      </c>
      <c r="AD28" s="418" t="s">
        <v>234</v>
      </c>
    </row>
    <row r="29" spans="2:30" x14ac:dyDescent="0.3">
      <c r="B29" s="185" t="s">
        <v>6</v>
      </c>
      <c r="C29" s="386">
        <f t="shared" ref="C29:O29" si="9">+C7/C18</f>
        <v>331.89408488484622</v>
      </c>
      <c r="D29" s="386">
        <f t="shared" si="9"/>
        <v>320.39250643384116</v>
      </c>
      <c r="E29" s="386">
        <f t="shared" si="9"/>
        <v>309.70579811879037</v>
      </c>
      <c r="F29" s="386">
        <f t="shared" si="9"/>
        <v>314.38757970452514</v>
      </c>
      <c r="G29" s="386">
        <f t="shared" si="9"/>
        <v>318.86070997707611</v>
      </c>
      <c r="H29" s="386">
        <f t="shared" si="9"/>
        <v>294.72695785306377</v>
      </c>
      <c r="I29" s="386">
        <f t="shared" si="9"/>
        <v>269.31222743051308</v>
      </c>
      <c r="J29" s="386">
        <f t="shared" si="9"/>
        <v>272.02356851367909</v>
      </c>
      <c r="K29" s="387">
        <f t="shared" si="9"/>
        <v>273.69918651032697</v>
      </c>
      <c r="L29" s="387">
        <f t="shared" si="9"/>
        <v>914.59546993463903</v>
      </c>
      <c r="M29" s="387">
        <f t="shared" si="9"/>
        <v>914.59546993463903</v>
      </c>
      <c r="N29" s="387">
        <f t="shared" si="9"/>
        <v>516.92906702529547</v>
      </c>
      <c r="O29" s="387">
        <f t="shared" si="9"/>
        <v>516.92906702529547</v>
      </c>
      <c r="P29" s="374">
        <f t="shared" si="6"/>
        <v>428.31166871896397</v>
      </c>
      <c r="Q29" s="189">
        <f t="shared" si="7"/>
        <v>428.31166871896397</v>
      </c>
      <c r="R29" s="189">
        <f t="shared" si="7"/>
        <v>428.31166871896397</v>
      </c>
      <c r="S29" s="189">
        <f t="shared" si="7"/>
        <v>428.31166871896397</v>
      </c>
      <c r="T29" s="189">
        <f t="shared" si="7"/>
        <v>428.31166871896397</v>
      </c>
      <c r="U29" s="189">
        <f t="shared" si="7"/>
        <v>428.31166871896397</v>
      </c>
      <c r="V29" s="189">
        <f t="shared" si="7"/>
        <v>428.31166871896397</v>
      </c>
      <c r="W29" s="189">
        <f t="shared" si="7"/>
        <v>428.31166871896397</v>
      </c>
      <c r="X29" s="189">
        <f t="shared" si="7"/>
        <v>428.31166871896397</v>
      </c>
      <c r="Y29" s="189">
        <f t="shared" si="7"/>
        <v>428.31166871896397</v>
      </c>
      <c r="Z29" s="189">
        <f t="shared" si="7"/>
        <v>428.31166871896397</v>
      </c>
      <c r="AA29" s="189">
        <f t="shared" si="7"/>
        <v>428.31166871896397</v>
      </c>
      <c r="AB29" s="195">
        <f t="shared" si="7"/>
        <v>428.31166871896397</v>
      </c>
      <c r="AD29" s="418" t="s">
        <v>234</v>
      </c>
    </row>
    <row r="30" spans="2:30" x14ac:dyDescent="0.3">
      <c r="B30" s="185" t="s">
        <v>7</v>
      </c>
      <c r="C30" s="386">
        <f t="shared" ref="C30:O30" si="10">+C8/C19</f>
        <v>648.6818670392023</v>
      </c>
      <c r="D30" s="386">
        <f t="shared" si="10"/>
        <v>629.87105214547341</v>
      </c>
      <c r="E30" s="386">
        <f t="shared" si="10"/>
        <v>612.39295617855612</v>
      </c>
      <c r="F30" s="386">
        <f t="shared" si="10"/>
        <v>608.65011158965171</v>
      </c>
      <c r="G30" s="386">
        <f t="shared" si="10"/>
        <v>605.07407303905006</v>
      </c>
      <c r="H30" s="386">
        <f t="shared" si="10"/>
        <v>455.02536802430882</v>
      </c>
      <c r="I30" s="386">
        <f t="shared" si="10"/>
        <v>345.49966004245607</v>
      </c>
      <c r="J30" s="386">
        <f t="shared" si="10"/>
        <v>414.5134913450708</v>
      </c>
      <c r="K30" s="387">
        <f t="shared" si="10"/>
        <v>472.95388751237186</v>
      </c>
      <c r="L30" s="387">
        <f t="shared" si="10"/>
        <v>1642.7683297923352</v>
      </c>
      <c r="M30" s="387">
        <f t="shared" si="10"/>
        <v>1642.7683297923352</v>
      </c>
      <c r="N30" s="387">
        <f t="shared" si="10"/>
        <v>96583.715114431849</v>
      </c>
      <c r="O30" s="387">
        <f t="shared" si="10"/>
        <v>96583.715114431849</v>
      </c>
      <c r="P30" s="374">
        <f t="shared" si="6"/>
        <v>15480.433027335732</v>
      </c>
      <c r="Q30" s="189">
        <f t="shared" si="7"/>
        <v>15480.433027335732</v>
      </c>
      <c r="R30" s="189">
        <f t="shared" si="7"/>
        <v>15480.433027335732</v>
      </c>
      <c r="S30" s="189">
        <f t="shared" si="7"/>
        <v>15480.433027335732</v>
      </c>
      <c r="T30" s="189">
        <f t="shared" si="7"/>
        <v>15480.433027335732</v>
      </c>
      <c r="U30" s="189">
        <f t="shared" si="7"/>
        <v>15480.433027335732</v>
      </c>
      <c r="V30" s="189">
        <f t="shared" si="7"/>
        <v>15480.433027335732</v>
      </c>
      <c r="W30" s="189">
        <f t="shared" si="7"/>
        <v>15480.433027335732</v>
      </c>
      <c r="X30" s="189">
        <f t="shared" si="7"/>
        <v>15480.433027335732</v>
      </c>
      <c r="Y30" s="189">
        <f t="shared" si="7"/>
        <v>15480.433027335732</v>
      </c>
      <c r="Z30" s="189">
        <f t="shared" si="7"/>
        <v>15480.433027335732</v>
      </c>
      <c r="AA30" s="189">
        <f t="shared" si="7"/>
        <v>15480.433027335732</v>
      </c>
      <c r="AB30" s="195">
        <f t="shared" si="7"/>
        <v>15480.433027335732</v>
      </c>
      <c r="AD30" s="418" t="s">
        <v>234</v>
      </c>
    </row>
    <row r="31" spans="2:30" x14ac:dyDescent="0.3">
      <c r="B31" s="185" t="s">
        <v>8</v>
      </c>
      <c r="C31" s="386">
        <f t="shared" ref="C31:O31" si="11">+C9/C20</f>
        <v>835.90173607750432</v>
      </c>
      <c r="D31" s="386">
        <f t="shared" si="11"/>
        <v>864.63961926552361</v>
      </c>
      <c r="E31" s="386">
        <f t="shared" si="11"/>
        <v>891.34146514960128</v>
      </c>
      <c r="F31" s="386">
        <f t="shared" si="11"/>
        <v>889.64177969353227</v>
      </c>
      <c r="G31" s="386">
        <f t="shared" si="11"/>
        <v>888.01784352134382</v>
      </c>
      <c r="H31" s="386">
        <f t="shared" si="11"/>
        <v>759.20575800185077</v>
      </c>
      <c r="I31" s="386">
        <f t="shared" si="11"/>
        <v>641.40533011185425</v>
      </c>
      <c r="J31" s="386">
        <f t="shared" si="11"/>
        <v>610.36844882942</v>
      </c>
      <c r="K31" s="387">
        <f t="shared" si="11"/>
        <v>594.60016487376163</v>
      </c>
      <c r="L31" s="387">
        <f t="shared" si="11"/>
        <v>1746.2107024957663</v>
      </c>
      <c r="M31" s="387">
        <f t="shared" si="11"/>
        <v>1746.2107024957663</v>
      </c>
      <c r="N31" s="387">
        <f t="shared" si="11"/>
        <v>472.43804954243711</v>
      </c>
      <c r="O31" s="387">
        <f t="shared" si="11"/>
        <v>472.43804954243711</v>
      </c>
      <c r="P31" s="374">
        <f t="shared" si="6"/>
        <v>877.87843458467682</v>
      </c>
      <c r="Q31" s="189">
        <f t="shared" si="7"/>
        <v>877.87843458467682</v>
      </c>
      <c r="R31" s="189">
        <f t="shared" si="7"/>
        <v>877.87843458467682</v>
      </c>
      <c r="S31" s="189">
        <f t="shared" si="7"/>
        <v>877.87843458467682</v>
      </c>
      <c r="T31" s="189">
        <f t="shared" si="7"/>
        <v>877.87843458467682</v>
      </c>
      <c r="U31" s="189">
        <f t="shared" si="7"/>
        <v>877.87843458467682</v>
      </c>
      <c r="V31" s="189">
        <f t="shared" si="7"/>
        <v>877.87843458467682</v>
      </c>
      <c r="W31" s="189">
        <f t="shared" si="7"/>
        <v>877.87843458467682</v>
      </c>
      <c r="X31" s="189">
        <f t="shared" si="7"/>
        <v>877.87843458467682</v>
      </c>
      <c r="Y31" s="189">
        <f t="shared" si="7"/>
        <v>877.87843458467682</v>
      </c>
      <c r="Z31" s="189">
        <f t="shared" si="7"/>
        <v>877.87843458467682</v>
      </c>
      <c r="AA31" s="189">
        <f t="shared" si="7"/>
        <v>877.87843458467682</v>
      </c>
      <c r="AB31" s="195">
        <f t="shared" si="7"/>
        <v>877.87843458467682</v>
      </c>
      <c r="AD31" s="418" t="s">
        <v>234</v>
      </c>
    </row>
    <row r="32" spans="2:30" x14ac:dyDescent="0.3">
      <c r="B32" s="185" t="s">
        <v>9</v>
      </c>
      <c r="C32" s="386">
        <f t="shared" ref="C32:O32" si="12">+C10/C21</f>
        <v>308.11872227927267</v>
      </c>
      <c r="D32" s="386">
        <f t="shared" si="12"/>
        <v>298.99912974674152</v>
      </c>
      <c r="E32" s="386">
        <f t="shared" si="12"/>
        <v>290.52564710586444</v>
      </c>
      <c r="F32" s="386">
        <f t="shared" si="12"/>
        <v>288.33163632633574</v>
      </c>
      <c r="G32" s="386">
        <f t="shared" si="12"/>
        <v>286.23540525350705</v>
      </c>
      <c r="H32" s="386">
        <f t="shared" si="12"/>
        <v>336.11260190102058</v>
      </c>
      <c r="I32" s="386">
        <f t="shared" si="12"/>
        <v>444.85129672313468</v>
      </c>
      <c r="J32" s="386">
        <f t="shared" si="12"/>
        <v>474.10632535750523</v>
      </c>
      <c r="K32" s="387">
        <f t="shared" si="12"/>
        <v>490.59191062579202</v>
      </c>
      <c r="L32" s="387">
        <f t="shared" si="12"/>
        <v>1341.5185655316461</v>
      </c>
      <c r="M32" s="387">
        <f t="shared" si="12"/>
        <v>1341.5185655316461</v>
      </c>
      <c r="N32" s="387">
        <f t="shared" si="12"/>
        <v>165.89276170696238</v>
      </c>
      <c r="O32" s="387">
        <f t="shared" si="12"/>
        <v>165.89276170696238</v>
      </c>
      <c r="P32" s="374">
        <f t="shared" si="6"/>
        <v>479.43810229203001</v>
      </c>
      <c r="Q32" s="189">
        <f t="shared" si="7"/>
        <v>479.43810229203001</v>
      </c>
      <c r="R32" s="189">
        <f t="shared" si="7"/>
        <v>479.43810229203001</v>
      </c>
      <c r="S32" s="189">
        <f t="shared" si="7"/>
        <v>479.43810229203001</v>
      </c>
      <c r="T32" s="189">
        <f t="shared" si="7"/>
        <v>479.43810229203001</v>
      </c>
      <c r="U32" s="189">
        <f t="shared" si="7"/>
        <v>479.43810229203001</v>
      </c>
      <c r="V32" s="189">
        <f t="shared" si="7"/>
        <v>479.43810229203001</v>
      </c>
      <c r="W32" s="189">
        <f t="shared" si="7"/>
        <v>479.43810229203001</v>
      </c>
      <c r="X32" s="189">
        <f t="shared" si="7"/>
        <v>479.43810229203001</v>
      </c>
      <c r="Y32" s="189">
        <f t="shared" si="7"/>
        <v>479.43810229203001</v>
      </c>
      <c r="Z32" s="189">
        <f t="shared" si="7"/>
        <v>479.43810229203001</v>
      </c>
      <c r="AA32" s="189">
        <f t="shared" si="7"/>
        <v>479.43810229203001</v>
      </c>
      <c r="AB32" s="195">
        <f t="shared" si="7"/>
        <v>479.43810229203001</v>
      </c>
      <c r="AD32" s="418" t="s">
        <v>234</v>
      </c>
    </row>
    <row r="33" spans="2:30" x14ac:dyDescent="0.3">
      <c r="B33" s="185" t="s">
        <v>10</v>
      </c>
      <c r="C33" s="386">
        <f t="shared" ref="C33:O33" si="13">+C11/C22</f>
        <v>70.139423686673624</v>
      </c>
      <c r="D33" s="386">
        <f t="shared" si="13"/>
        <v>67.922077016993811</v>
      </c>
      <c r="E33" s="386">
        <f t="shared" si="13"/>
        <v>65.861826139850351</v>
      </c>
      <c r="F33" s="386">
        <f t="shared" si="13"/>
        <v>62.818966633887044</v>
      </c>
      <c r="G33" s="386">
        <f t="shared" si="13"/>
        <v>59.911717177244796</v>
      </c>
      <c r="H33" s="386">
        <f t="shared" si="13"/>
        <v>89.823695109500534</v>
      </c>
      <c r="I33" s="386">
        <f t="shared" si="13"/>
        <v>212.52300671760071</v>
      </c>
      <c r="J33" s="386">
        <f t="shared" si="13"/>
        <v>191.71971096043271</v>
      </c>
      <c r="K33" s="387">
        <f t="shared" si="13"/>
        <v>179.33384552220662</v>
      </c>
      <c r="L33" s="387">
        <f t="shared" si="13"/>
        <v>5.3726523334056635</v>
      </c>
      <c r="M33" s="387">
        <f t="shared" si="13"/>
        <v>5.3726523334056635</v>
      </c>
      <c r="N33" s="387">
        <f t="shared" si="13"/>
        <v>173.26934016169128</v>
      </c>
      <c r="O33" s="387">
        <f t="shared" si="13"/>
        <v>173.26934016169128</v>
      </c>
      <c r="P33" s="374">
        <f t="shared" si="6"/>
        <v>104.4106349195834</v>
      </c>
      <c r="Q33" s="189">
        <f t="shared" si="7"/>
        <v>104.4106349195834</v>
      </c>
      <c r="R33" s="189">
        <f t="shared" si="7"/>
        <v>104.4106349195834</v>
      </c>
      <c r="S33" s="189">
        <f t="shared" si="7"/>
        <v>104.4106349195834</v>
      </c>
      <c r="T33" s="189">
        <f t="shared" si="7"/>
        <v>104.4106349195834</v>
      </c>
      <c r="U33" s="189">
        <f t="shared" si="7"/>
        <v>104.4106349195834</v>
      </c>
      <c r="V33" s="189">
        <f t="shared" si="7"/>
        <v>104.4106349195834</v>
      </c>
      <c r="W33" s="189">
        <f t="shared" si="7"/>
        <v>104.4106349195834</v>
      </c>
      <c r="X33" s="189">
        <f t="shared" si="7"/>
        <v>104.4106349195834</v>
      </c>
      <c r="Y33" s="189">
        <f t="shared" si="7"/>
        <v>104.4106349195834</v>
      </c>
      <c r="Z33" s="189">
        <f t="shared" si="7"/>
        <v>104.4106349195834</v>
      </c>
      <c r="AA33" s="189">
        <f t="shared" si="7"/>
        <v>104.4106349195834</v>
      </c>
      <c r="AB33" s="195">
        <f t="shared" si="7"/>
        <v>104.4106349195834</v>
      </c>
      <c r="AD33" s="418" t="s">
        <v>234</v>
      </c>
    </row>
    <row r="34" spans="2:30" x14ac:dyDescent="0.3">
      <c r="B34" s="185" t="s">
        <v>11</v>
      </c>
      <c r="C34" s="386">
        <f t="shared" ref="C34:O34" si="14">+C12/C23</f>
        <v>5390.1918457906168</v>
      </c>
      <c r="D34" s="386">
        <f t="shared" si="14"/>
        <v>5209.5604523262518</v>
      </c>
      <c r="E34" s="386">
        <f t="shared" si="14"/>
        <v>5041.7265308590477</v>
      </c>
      <c r="F34" s="386">
        <f t="shared" si="14"/>
        <v>5009.1374445316815</v>
      </c>
      <c r="G34" s="386">
        <f t="shared" si="14"/>
        <v>4978.0007445519332</v>
      </c>
      <c r="H34" s="386">
        <f t="shared" si="14"/>
        <v>3194.3665497921247</v>
      </c>
      <c r="I34" s="386">
        <f t="shared" si="14"/>
        <v>2207.4521521420688</v>
      </c>
      <c r="J34" s="386">
        <f t="shared" si="14"/>
        <v>2088.2063182542347</v>
      </c>
      <c r="K34" s="387">
        <f t="shared" si="14"/>
        <v>2014.8031028959715</v>
      </c>
      <c r="L34" s="387">
        <f t="shared" si="14"/>
        <v>7993.7832947117076</v>
      </c>
      <c r="M34" s="387">
        <f t="shared" si="14"/>
        <v>7993.7832947117076</v>
      </c>
      <c r="N34" s="387">
        <f t="shared" si="14"/>
        <v>2867.4742125651951</v>
      </c>
      <c r="O34" s="387">
        <f t="shared" si="14"/>
        <v>2867.4742125651951</v>
      </c>
      <c r="P34" s="374">
        <f t="shared" si="6"/>
        <v>4373.535396592134</v>
      </c>
      <c r="Q34" s="189">
        <f t="shared" si="7"/>
        <v>4373.535396592134</v>
      </c>
      <c r="R34" s="189">
        <f t="shared" si="7"/>
        <v>4373.535396592134</v>
      </c>
      <c r="S34" s="189">
        <f t="shared" si="7"/>
        <v>4373.535396592134</v>
      </c>
      <c r="T34" s="189">
        <f t="shared" si="7"/>
        <v>4373.535396592134</v>
      </c>
      <c r="U34" s="189">
        <f t="shared" si="7"/>
        <v>4373.535396592134</v>
      </c>
      <c r="V34" s="189">
        <f t="shared" si="7"/>
        <v>4373.535396592134</v>
      </c>
      <c r="W34" s="189">
        <f t="shared" si="7"/>
        <v>4373.535396592134</v>
      </c>
      <c r="X34" s="189">
        <f t="shared" si="7"/>
        <v>4373.535396592134</v>
      </c>
      <c r="Y34" s="189">
        <f t="shared" si="7"/>
        <v>4373.535396592134</v>
      </c>
      <c r="Z34" s="189">
        <f t="shared" si="7"/>
        <v>4373.535396592134</v>
      </c>
      <c r="AA34" s="189">
        <f t="shared" si="7"/>
        <v>4373.535396592134</v>
      </c>
      <c r="AB34" s="195">
        <f t="shared" si="7"/>
        <v>4373.535396592134</v>
      </c>
      <c r="AD34" s="418" t="s">
        <v>234</v>
      </c>
    </row>
    <row r="35" spans="2:30" ht="15" thickBot="1" x14ac:dyDescent="0.35">
      <c r="B35" s="186" t="s">
        <v>12</v>
      </c>
      <c r="C35" s="388">
        <f t="shared" ref="C35:O35" si="15">+C13/C24</f>
        <v>67.506136277784606</v>
      </c>
      <c r="D35" s="388">
        <f t="shared" si="15"/>
        <v>65.026957284543201</v>
      </c>
      <c r="E35" s="388">
        <f t="shared" si="15"/>
        <v>62.723424523850063</v>
      </c>
      <c r="F35" s="388">
        <f t="shared" si="15"/>
        <v>61.293883191628041</v>
      </c>
      <c r="G35" s="388">
        <f t="shared" si="15"/>
        <v>59.92805172513895</v>
      </c>
      <c r="H35" s="388">
        <f t="shared" si="15"/>
        <v>46.010857395319995</v>
      </c>
      <c r="I35" s="388">
        <f t="shared" si="15"/>
        <v>38.313041562316471</v>
      </c>
      <c r="J35" s="388">
        <f t="shared" si="15"/>
        <v>27.064748538637556</v>
      </c>
      <c r="K35" s="389">
        <f t="shared" si="15"/>
        <v>22.078585853130814</v>
      </c>
      <c r="L35" s="389">
        <f t="shared" si="15"/>
        <v>315.52312020482839</v>
      </c>
      <c r="M35" s="389">
        <f t="shared" si="15"/>
        <v>315.52312020482839</v>
      </c>
      <c r="N35" s="389">
        <f t="shared" si="15"/>
        <v>1458.1485969949317</v>
      </c>
      <c r="O35" s="389">
        <f t="shared" si="15"/>
        <v>1458.1485969949317</v>
      </c>
      <c r="P35" s="374">
        <f t="shared" si="6"/>
        <v>307.4837785193746</v>
      </c>
      <c r="Q35" s="196">
        <f t="shared" si="7"/>
        <v>307.4837785193746</v>
      </c>
      <c r="R35" s="196">
        <f t="shared" si="7"/>
        <v>307.4837785193746</v>
      </c>
      <c r="S35" s="196">
        <f t="shared" si="7"/>
        <v>307.4837785193746</v>
      </c>
      <c r="T35" s="196">
        <f t="shared" si="7"/>
        <v>307.4837785193746</v>
      </c>
      <c r="U35" s="196">
        <f t="shared" si="7"/>
        <v>307.4837785193746</v>
      </c>
      <c r="V35" s="196">
        <f t="shared" si="7"/>
        <v>307.4837785193746</v>
      </c>
      <c r="W35" s="196">
        <f t="shared" si="7"/>
        <v>307.4837785193746</v>
      </c>
      <c r="X35" s="196">
        <f t="shared" si="7"/>
        <v>307.4837785193746</v>
      </c>
      <c r="Y35" s="196">
        <f t="shared" si="7"/>
        <v>307.4837785193746</v>
      </c>
      <c r="Z35" s="196">
        <f t="shared" si="7"/>
        <v>307.4837785193746</v>
      </c>
      <c r="AA35" s="196">
        <f t="shared" si="7"/>
        <v>307.4837785193746</v>
      </c>
      <c r="AB35" s="198">
        <f t="shared" si="7"/>
        <v>307.4837785193746</v>
      </c>
      <c r="AD35" s="418" t="s">
        <v>234</v>
      </c>
    </row>
    <row r="37" spans="2:30" ht="15" thickBot="1" x14ac:dyDescent="0.35">
      <c r="B37" s="415" t="s">
        <v>189</v>
      </c>
      <c r="C37" s="52"/>
      <c r="D37" s="52"/>
      <c r="E37" s="52"/>
      <c r="F37" s="52"/>
      <c r="G37" s="52"/>
      <c r="H37" s="52"/>
      <c r="I37" s="52"/>
      <c r="J37" s="52"/>
      <c r="K37" s="52"/>
      <c r="L37" s="52"/>
      <c r="M37" s="52"/>
      <c r="N37" s="52"/>
      <c r="O37" s="52"/>
      <c r="P37" s="52"/>
      <c r="Q37" s="52"/>
      <c r="R37" s="52"/>
      <c r="S37" s="52"/>
      <c r="T37" s="52"/>
      <c r="U37" s="52"/>
      <c r="V37" s="52"/>
      <c r="W37" s="52"/>
      <c r="X37" s="52"/>
      <c r="Y37" s="52"/>
      <c r="Z37" s="52"/>
      <c r="AA37" s="52"/>
      <c r="AB37" s="52"/>
    </row>
    <row r="38" spans="2:30" ht="15" thickBot="1" x14ac:dyDescent="0.35">
      <c r="B38" s="142" t="s">
        <v>33</v>
      </c>
      <c r="C38" s="187">
        <f>+SUM(DATOS_INGEI!C33:C36)/1000</f>
        <v>2388.4033412690001</v>
      </c>
      <c r="D38" s="187">
        <f>+SUM(DATOS_INGEI!D33:D36)/1000</f>
        <v>2388.4033412690001</v>
      </c>
      <c r="E38" s="187">
        <f>+SUM(DATOS_INGEI!E33:E36)/1000</f>
        <v>2388.4033412690001</v>
      </c>
      <c r="F38" s="187">
        <f>+SUM(DATOS_INGEI!F33:F36)/1000</f>
        <v>2388.4033412690001</v>
      </c>
      <c r="G38" s="187">
        <f>+SUM(DATOS_INGEI!G33:G36)/1000</f>
        <v>2388.4033412690001</v>
      </c>
      <c r="H38" s="187">
        <f>+SUM(DATOS_INGEI!H33:H36)/1000</f>
        <v>1490.2744900999999</v>
      </c>
      <c r="I38" s="187">
        <f>+SUM(DATOS_INGEI!I33:I36)/1000</f>
        <v>592.14563893099989</v>
      </c>
      <c r="J38" s="187">
        <f>+SUM(DATOS_INGEI!J33:J36)/1000</f>
        <v>2007.8652695144999</v>
      </c>
      <c r="K38" s="187">
        <f>+SUM(DATOS_INGEI!K33:K36)/1000</f>
        <v>3423.5849000979997</v>
      </c>
      <c r="L38" s="187">
        <f>+SUM(DATOS_INGEI!L33:L36)/1000</f>
        <v>787.82602972699988</v>
      </c>
      <c r="M38" s="187">
        <f>+SUM(DATOS_INGEI!M33:M36)/1000</f>
        <v>787.82602972699988</v>
      </c>
      <c r="N38" s="187">
        <f>+SUM(DATOS_INGEI!N33:N36)/1000</f>
        <v>3126.2878386666657</v>
      </c>
      <c r="O38" s="187">
        <f>+SUM(DATOS_INGEI!O33:O36)/1000</f>
        <v>3126.2878386666657</v>
      </c>
      <c r="P38" s="392">
        <f>+P39+P40</f>
        <v>3106.6149603451745</v>
      </c>
      <c r="Q38" s="392">
        <f t="shared" ref="Q38:AB38" si="16">+Q39+Q40</f>
        <v>3106.6149603451745</v>
      </c>
      <c r="R38" s="392">
        <f t="shared" si="16"/>
        <v>3106.6149603451745</v>
      </c>
      <c r="S38" s="392">
        <f t="shared" si="16"/>
        <v>3106.6149603451745</v>
      </c>
      <c r="T38" s="392">
        <f t="shared" si="16"/>
        <v>3106.6149603451745</v>
      </c>
      <c r="U38" s="392">
        <f t="shared" si="16"/>
        <v>3106.6149603451745</v>
      </c>
      <c r="V38" s="392">
        <f t="shared" si="16"/>
        <v>3106.6149603451745</v>
      </c>
      <c r="W38" s="392">
        <f t="shared" si="16"/>
        <v>3106.6149603451745</v>
      </c>
      <c r="X38" s="392">
        <f t="shared" si="16"/>
        <v>3106.6149603451745</v>
      </c>
      <c r="Y38" s="392">
        <f t="shared" si="16"/>
        <v>3106.6149603451745</v>
      </c>
      <c r="Z38" s="392">
        <f t="shared" si="16"/>
        <v>3106.6149603451745</v>
      </c>
      <c r="AA38" s="392">
        <f t="shared" si="16"/>
        <v>3106.6149603451745</v>
      </c>
      <c r="AB38" s="393">
        <f t="shared" si="16"/>
        <v>3106.6149603451745</v>
      </c>
    </row>
    <row r="39" spans="2:30" x14ac:dyDescent="0.3">
      <c r="B39" s="191" t="s">
        <v>187</v>
      </c>
      <c r="C39" s="192">
        <f>+DATOS_INGEI!C33/1000</f>
        <v>2310.0267666666664</v>
      </c>
      <c r="D39" s="192">
        <f>+DATOS_INGEI!D33/1000</f>
        <v>2310.0267666666664</v>
      </c>
      <c r="E39" s="192">
        <f>+DATOS_INGEI!E33/1000</f>
        <v>2310.0267666666664</v>
      </c>
      <c r="F39" s="192">
        <f>+DATOS_INGEI!F33/1000</f>
        <v>2310.0267666666664</v>
      </c>
      <c r="G39" s="192">
        <f>+DATOS_INGEI!G33/1000</f>
        <v>2310.0267666666664</v>
      </c>
      <c r="H39" s="192">
        <f>+DATOS_INGEI!H33/1000</f>
        <v>1431.4931583333332</v>
      </c>
      <c r="I39" s="192">
        <f>+DATOS_INGEI!I33/1000</f>
        <v>552.95954999999992</v>
      </c>
      <c r="J39" s="192">
        <f>+DATOS_INGEI!J33/1000</f>
        <v>1970.9106083333331</v>
      </c>
      <c r="K39" s="193">
        <f>+DATOS_INGEI!K33/1000</f>
        <v>3388.8616666666667</v>
      </c>
      <c r="L39" s="193">
        <f>+DATOS_INGEI!L33/1000</f>
        <v>756.47714999999994</v>
      </c>
      <c r="M39" s="193">
        <f>+DATOS_INGEI!M33/1000</f>
        <v>756.47714999999994</v>
      </c>
      <c r="N39" s="193">
        <f>+DATOS_INGEI!N33/1000</f>
        <v>2859.4041666666662</v>
      </c>
      <c r="O39" s="193">
        <f>+DATOS_INGEI!O33/1000</f>
        <v>2859.4041666666662</v>
      </c>
      <c r="P39" s="395">
        <f>+P42*P45</f>
        <v>2859.4041666666667</v>
      </c>
      <c r="Q39" s="395">
        <f t="shared" ref="Q39:AB39" si="17">+Q42*Q45</f>
        <v>2859.4041666666667</v>
      </c>
      <c r="R39" s="395">
        <f t="shared" si="17"/>
        <v>2859.4041666666667</v>
      </c>
      <c r="S39" s="395">
        <f t="shared" si="17"/>
        <v>2859.4041666666667</v>
      </c>
      <c r="T39" s="395">
        <f t="shared" si="17"/>
        <v>2859.4041666666667</v>
      </c>
      <c r="U39" s="395">
        <f t="shared" si="17"/>
        <v>2859.4041666666667</v>
      </c>
      <c r="V39" s="395">
        <f t="shared" si="17"/>
        <v>2859.4041666666667</v>
      </c>
      <c r="W39" s="395">
        <f t="shared" si="17"/>
        <v>2859.4041666666667</v>
      </c>
      <c r="X39" s="395">
        <f t="shared" si="17"/>
        <v>2859.4041666666667</v>
      </c>
      <c r="Y39" s="395">
        <f t="shared" si="17"/>
        <v>2859.4041666666667</v>
      </c>
      <c r="Z39" s="395">
        <f t="shared" si="17"/>
        <v>2859.4041666666667</v>
      </c>
      <c r="AA39" s="395">
        <f t="shared" si="17"/>
        <v>2859.4041666666667</v>
      </c>
      <c r="AB39" s="396">
        <f t="shared" si="17"/>
        <v>2859.4041666666667</v>
      </c>
    </row>
    <row r="40" spans="2:30" ht="15" thickBot="1" x14ac:dyDescent="0.35">
      <c r="B40" s="186" t="s">
        <v>188</v>
      </c>
      <c r="C40" s="196">
        <f>+DATOS_INGEI!C34/1000</f>
        <v>78.376574602333335</v>
      </c>
      <c r="D40" s="196">
        <f>+DATOS_INGEI!D34/1000</f>
        <v>78.376574602333335</v>
      </c>
      <c r="E40" s="196">
        <f>+DATOS_INGEI!E34/1000</f>
        <v>78.376574602333335</v>
      </c>
      <c r="F40" s="196">
        <f>+DATOS_INGEI!F34/1000</f>
        <v>78.376574602333335</v>
      </c>
      <c r="G40" s="196">
        <f>+DATOS_INGEI!G34/1000</f>
        <v>78.376574602333335</v>
      </c>
      <c r="H40" s="196">
        <f>+DATOS_INGEI!H34/1000</f>
        <v>58.781331766666668</v>
      </c>
      <c r="I40" s="196">
        <f>+DATOS_INGEI!I34/1000</f>
        <v>39.186088931</v>
      </c>
      <c r="J40" s="196">
        <f>+DATOS_INGEI!J34/1000</f>
        <v>36.954661181166664</v>
      </c>
      <c r="K40" s="197">
        <f>+DATOS_INGEI!K34/1000</f>
        <v>34.723233431333334</v>
      </c>
      <c r="L40" s="197">
        <f>+DATOS_INGEI!L34/1000</f>
        <v>31.348879726999996</v>
      </c>
      <c r="M40" s="197">
        <f>+DATOS_INGEI!M34/1000</f>
        <v>31.348879726999996</v>
      </c>
      <c r="N40" s="197">
        <f>+DATOS_INGEI!N34/1000</f>
        <v>266.88367199999999</v>
      </c>
      <c r="O40" s="197">
        <f>+DATOS_INGEI!O34/1000</f>
        <v>266.88367199999999</v>
      </c>
      <c r="P40" s="398">
        <f>+P43*P46</f>
        <v>247.2107936785078</v>
      </c>
      <c r="Q40" s="398">
        <f t="shared" ref="Q40:AB40" si="18">+Q43*Q46</f>
        <v>247.2107936785078</v>
      </c>
      <c r="R40" s="398">
        <f t="shared" si="18"/>
        <v>247.2107936785078</v>
      </c>
      <c r="S40" s="398">
        <f t="shared" si="18"/>
        <v>247.2107936785078</v>
      </c>
      <c r="T40" s="398">
        <f t="shared" si="18"/>
        <v>247.2107936785078</v>
      </c>
      <c r="U40" s="398">
        <f t="shared" si="18"/>
        <v>247.2107936785078</v>
      </c>
      <c r="V40" s="398">
        <f t="shared" si="18"/>
        <v>247.2107936785078</v>
      </c>
      <c r="W40" s="398">
        <f t="shared" si="18"/>
        <v>247.2107936785078</v>
      </c>
      <c r="X40" s="398">
        <f t="shared" si="18"/>
        <v>247.2107936785078</v>
      </c>
      <c r="Y40" s="398">
        <f t="shared" si="18"/>
        <v>247.2107936785078</v>
      </c>
      <c r="Z40" s="398">
        <f t="shared" si="18"/>
        <v>247.2107936785078</v>
      </c>
      <c r="AA40" s="398">
        <f t="shared" si="18"/>
        <v>247.2107936785078</v>
      </c>
      <c r="AB40" s="399">
        <f t="shared" si="18"/>
        <v>247.2107936785078</v>
      </c>
    </row>
    <row r="41" spans="2:30" ht="15" thickBot="1" x14ac:dyDescent="0.35">
      <c r="B41" s="142" t="s">
        <v>34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8"/>
    </row>
    <row r="42" spans="2:30" x14ac:dyDescent="0.3">
      <c r="B42" s="191" t="s">
        <v>187</v>
      </c>
      <c r="C42" s="480">
        <f>+COBERTURA_CAMBIOS_TF!E66/1000</f>
        <v>9.6924200000000003</v>
      </c>
      <c r="D42" s="480">
        <f>+COBERTURA_CAMBIOS_TF!F66/1000</f>
        <v>9.6924200000000003</v>
      </c>
      <c r="E42" s="480">
        <f>+COBERTURA_CAMBIOS_TF!G66/1000</f>
        <v>9.6924200000000003</v>
      </c>
      <c r="F42" s="480">
        <f>+COBERTURA_CAMBIOS_TF!H66/1000</f>
        <v>9.6924200000000003</v>
      </c>
      <c r="G42" s="480">
        <f>+COBERTURA_CAMBIOS_TF!I66/1000</f>
        <v>9.6924200000000003</v>
      </c>
      <c r="H42" s="480">
        <f>+COBERTURA_CAMBIOS_TF!J66/1000</f>
        <v>6.006265</v>
      </c>
      <c r="I42" s="480">
        <f>+COBERTURA_CAMBIOS_TF!K66/1000</f>
        <v>2.3201100000000001</v>
      </c>
      <c r="J42" s="480">
        <f>+COBERTURA_CAMBIOS_TF!L66/1000</f>
        <v>8.2695550000000004</v>
      </c>
      <c r="K42" s="481">
        <f>+COBERTURA_CAMBIOS_TF!M66/1000</f>
        <v>14.218999999999999</v>
      </c>
      <c r="L42" s="481">
        <f>+COBERTURA_CAMBIOS_TF!N66/1000</f>
        <v>3.1740300000000001</v>
      </c>
      <c r="M42" s="481">
        <f>+COBERTURA_CAMBIOS_TF!O66/1000</f>
        <v>3.1740300000000001</v>
      </c>
      <c r="N42" s="481">
        <f>+COBERTURA_CAMBIOS_TF!P66/1000</f>
        <v>11.9975</v>
      </c>
      <c r="O42" s="481">
        <f>+COBERTURA_CAMBIOS_TF!Q66/1000</f>
        <v>11.9975</v>
      </c>
      <c r="P42" s="480">
        <f>+COBERTURA_CAMBIOS_TF!R66/1000</f>
        <v>11.9975</v>
      </c>
      <c r="Q42" s="480">
        <f>+COBERTURA_CAMBIOS_TF!S66/1000</f>
        <v>11.9975</v>
      </c>
      <c r="R42" s="480">
        <f>+COBERTURA_CAMBIOS_TF!T66/1000</f>
        <v>11.9975</v>
      </c>
      <c r="S42" s="480">
        <f>+COBERTURA_CAMBIOS_TF!U66/1000</f>
        <v>11.9975</v>
      </c>
      <c r="T42" s="480">
        <f>+COBERTURA_CAMBIOS_TF!V66/1000</f>
        <v>11.9975</v>
      </c>
      <c r="U42" s="480">
        <f>+COBERTURA_CAMBIOS_TF!W66/1000</f>
        <v>11.9975</v>
      </c>
      <c r="V42" s="480">
        <f>+COBERTURA_CAMBIOS_TF!X66/1000</f>
        <v>11.9975</v>
      </c>
      <c r="W42" s="480">
        <f>+COBERTURA_CAMBIOS_TF!Y66/1000</f>
        <v>11.9975</v>
      </c>
      <c r="X42" s="480">
        <f>+COBERTURA_CAMBIOS_TF!Z66/1000</f>
        <v>11.9975</v>
      </c>
      <c r="Y42" s="480">
        <f>+COBERTURA_CAMBIOS_TF!AA66/1000</f>
        <v>11.9975</v>
      </c>
      <c r="Z42" s="480">
        <f>+COBERTURA_CAMBIOS_TF!AB66/1000</f>
        <v>11.9975</v>
      </c>
      <c r="AA42" s="480">
        <f>+COBERTURA_CAMBIOS_TF!AC66/1000</f>
        <v>11.9975</v>
      </c>
      <c r="AB42" s="482">
        <f>+COBERTURA_CAMBIOS_TF!AD66/1000</f>
        <v>11.9975</v>
      </c>
    </row>
    <row r="43" spans="2:30" ht="15" thickBot="1" x14ac:dyDescent="0.35">
      <c r="B43" s="186" t="s">
        <v>188</v>
      </c>
      <c r="C43" s="486">
        <f>+COBERTURA_CAMBIOS_TF!E67/1000</f>
        <v>0.61462000000000006</v>
      </c>
      <c r="D43" s="486">
        <f>+COBERTURA_CAMBIOS_TF!F67/1000</f>
        <v>0.61462000000000006</v>
      </c>
      <c r="E43" s="486">
        <f>+COBERTURA_CAMBIOS_TF!G67/1000</f>
        <v>0.61462000000000006</v>
      </c>
      <c r="F43" s="486">
        <f>+COBERTURA_CAMBIOS_TF!H67/1000</f>
        <v>0.61462000000000006</v>
      </c>
      <c r="G43" s="486">
        <f>+COBERTURA_CAMBIOS_TF!I67/1000</f>
        <v>0.61462000000000006</v>
      </c>
      <c r="H43" s="486">
        <f>+COBERTURA_CAMBIOS_TF!J67/1000</f>
        <v>0.48188999999999999</v>
      </c>
      <c r="I43" s="486">
        <f>+COBERTURA_CAMBIOS_TF!K67/1000</f>
        <v>0.34916000000000003</v>
      </c>
      <c r="J43" s="486">
        <f>+COBERTURA_CAMBIOS_TF!L67/1000</f>
        <v>0.31482499999999997</v>
      </c>
      <c r="K43" s="487">
        <f>+COBERTURA_CAMBIOS_TF!M67/1000</f>
        <v>0.28049000000000002</v>
      </c>
      <c r="L43" s="487">
        <f>+COBERTURA_CAMBIOS_TF!N67/1000</f>
        <v>0.23099</v>
      </c>
      <c r="M43" s="487">
        <f>+COBERTURA_CAMBIOS_TF!O67/1000</f>
        <v>0.23099</v>
      </c>
      <c r="N43" s="487">
        <f>+COBERTURA_CAMBIOS_TF!P67/1000</f>
        <v>1.93581</v>
      </c>
      <c r="O43" s="487">
        <f>+COBERTURA_CAMBIOS_TF!Q67/1000</f>
        <v>1.93581</v>
      </c>
      <c r="P43" s="486">
        <f>+COBERTURA_CAMBIOS_TF!R67/1000</f>
        <v>1.93581</v>
      </c>
      <c r="Q43" s="486">
        <f>+COBERTURA_CAMBIOS_TF!S67/1000</f>
        <v>1.93581</v>
      </c>
      <c r="R43" s="486">
        <f>+COBERTURA_CAMBIOS_TF!T67/1000</f>
        <v>1.93581</v>
      </c>
      <c r="S43" s="486">
        <f>+COBERTURA_CAMBIOS_TF!U67/1000</f>
        <v>1.93581</v>
      </c>
      <c r="T43" s="486">
        <f>+COBERTURA_CAMBIOS_TF!V67/1000</f>
        <v>1.93581</v>
      </c>
      <c r="U43" s="486">
        <f>+COBERTURA_CAMBIOS_TF!W67/1000</f>
        <v>1.93581</v>
      </c>
      <c r="V43" s="486">
        <f>+COBERTURA_CAMBIOS_TF!X67/1000</f>
        <v>1.93581</v>
      </c>
      <c r="W43" s="486">
        <f>+COBERTURA_CAMBIOS_TF!Y67/1000</f>
        <v>1.93581</v>
      </c>
      <c r="X43" s="486">
        <f>+COBERTURA_CAMBIOS_TF!Z67/1000</f>
        <v>1.93581</v>
      </c>
      <c r="Y43" s="486">
        <f>+COBERTURA_CAMBIOS_TF!AA67/1000</f>
        <v>1.93581</v>
      </c>
      <c r="Z43" s="486">
        <f>+COBERTURA_CAMBIOS_TF!AB67/1000</f>
        <v>1.93581</v>
      </c>
      <c r="AA43" s="486">
        <f>+COBERTURA_CAMBIOS_TF!AC67/1000</f>
        <v>1.93581</v>
      </c>
      <c r="AB43" s="488">
        <f>+COBERTURA_CAMBIOS_TF!AD67/1000</f>
        <v>1.93581</v>
      </c>
    </row>
    <row r="44" spans="2:30" ht="15" thickBot="1" x14ac:dyDescent="0.35">
      <c r="B44" s="142" t="s">
        <v>35</v>
      </c>
      <c r="C44" s="187"/>
      <c r="D44" s="187"/>
      <c r="E44" s="187"/>
      <c r="F44" s="187"/>
      <c r="G44" s="187"/>
      <c r="H44" s="187"/>
      <c r="I44" s="187"/>
      <c r="J44" s="187"/>
      <c r="K44" s="187"/>
      <c r="L44" s="187"/>
      <c r="M44" s="187"/>
      <c r="N44" s="187"/>
      <c r="O44" s="187"/>
      <c r="P44" s="187"/>
      <c r="Q44" s="187"/>
      <c r="R44" s="187"/>
      <c r="S44" s="187"/>
      <c r="T44" s="187"/>
      <c r="U44" s="187"/>
      <c r="V44" s="187"/>
      <c r="W44" s="187"/>
      <c r="X44" s="187"/>
      <c r="Y44" s="187"/>
      <c r="Z44" s="187"/>
      <c r="AA44" s="187"/>
      <c r="AB44" s="188"/>
      <c r="AD44" s="417" t="s">
        <v>232</v>
      </c>
    </row>
    <row r="45" spans="2:30" x14ac:dyDescent="0.3">
      <c r="B45" s="191" t="s">
        <v>187</v>
      </c>
      <c r="C45" s="384">
        <f t="shared" ref="C45:O45" si="19">+C39/C42</f>
        <v>238.33333333333329</v>
      </c>
      <c r="D45" s="384">
        <f t="shared" si="19"/>
        <v>238.33333333333329</v>
      </c>
      <c r="E45" s="384">
        <f t="shared" si="19"/>
        <v>238.33333333333329</v>
      </c>
      <c r="F45" s="384">
        <f t="shared" si="19"/>
        <v>238.33333333333329</v>
      </c>
      <c r="G45" s="384">
        <f t="shared" si="19"/>
        <v>238.33333333333329</v>
      </c>
      <c r="H45" s="384">
        <f t="shared" si="19"/>
        <v>238.33333333333331</v>
      </c>
      <c r="I45" s="384">
        <f t="shared" si="19"/>
        <v>238.33333333333329</v>
      </c>
      <c r="J45" s="384">
        <f t="shared" si="19"/>
        <v>238.33333333333329</v>
      </c>
      <c r="K45" s="385">
        <f t="shared" si="19"/>
        <v>238.33333333333334</v>
      </c>
      <c r="L45" s="385">
        <f t="shared" si="19"/>
        <v>238.33333333333331</v>
      </c>
      <c r="M45" s="385">
        <f t="shared" si="19"/>
        <v>238.33333333333331</v>
      </c>
      <c r="N45" s="385">
        <f t="shared" si="19"/>
        <v>238.33333333333329</v>
      </c>
      <c r="O45" s="385">
        <f t="shared" si="19"/>
        <v>238.33333333333329</v>
      </c>
      <c r="P45" s="340">
        <f>IF(AD45="CONSTANTE",O45,AVERAGE(C45:O45))</f>
        <v>238.33333333333334</v>
      </c>
      <c r="Q45" s="192">
        <f t="shared" ref="Q45:AB45" si="20">+P45</f>
        <v>238.33333333333334</v>
      </c>
      <c r="R45" s="192">
        <f t="shared" si="20"/>
        <v>238.33333333333334</v>
      </c>
      <c r="S45" s="192">
        <f t="shared" si="20"/>
        <v>238.33333333333334</v>
      </c>
      <c r="T45" s="192">
        <f t="shared" si="20"/>
        <v>238.33333333333334</v>
      </c>
      <c r="U45" s="192">
        <f t="shared" si="20"/>
        <v>238.33333333333334</v>
      </c>
      <c r="V45" s="192">
        <f t="shared" si="20"/>
        <v>238.33333333333334</v>
      </c>
      <c r="W45" s="192">
        <f t="shared" si="20"/>
        <v>238.33333333333334</v>
      </c>
      <c r="X45" s="192">
        <f t="shared" si="20"/>
        <v>238.33333333333334</v>
      </c>
      <c r="Y45" s="192">
        <f t="shared" si="20"/>
        <v>238.33333333333334</v>
      </c>
      <c r="Z45" s="192">
        <f t="shared" si="20"/>
        <v>238.33333333333334</v>
      </c>
      <c r="AA45" s="192">
        <f t="shared" si="20"/>
        <v>238.33333333333334</v>
      </c>
      <c r="AB45" s="194">
        <f t="shared" si="20"/>
        <v>238.33333333333334</v>
      </c>
      <c r="AD45" s="418" t="s">
        <v>234</v>
      </c>
    </row>
    <row r="46" spans="2:30" ht="15" thickBot="1" x14ac:dyDescent="0.35">
      <c r="B46" s="186" t="s">
        <v>188</v>
      </c>
      <c r="C46" s="388">
        <f t="shared" ref="C46:O46" si="21">+C40/C43</f>
        <v>127.52037779820593</v>
      </c>
      <c r="D46" s="388">
        <f t="shared" si="21"/>
        <v>127.52037779820593</v>
      </c>
      <c r="E46" s="388">
        <f t="shared" si="21"/>
        <v>127.52037779820593</v>
      </c>
      <c r="F46" s="388">
        <f t="shared" si="21"/>
        <v>127.52037779820593</v>
      </c>
      <c r="G46" s="388">
        <f t="shared" si="21"/>
        <v>127.52037779820593</v>
      </c>
      <c r="H46" s="388">
        <f t="shared" si="21"/>
        <v>121.98080841409174</v>
      </c>
      <c r="I46" s="388">
        <f t="shared" si="21"/>
        <v>112.2296051409096</v>
      </c>
      <c r="J46" s="388">
        <f t="shared" si="21"/>
        <v>117.38159670028323</v>
      </c>
      <c r="K46" s="389">
        <f t="shared" si="21"/>
        <v>123.79490688200411</v>
      </c>
      <c r="L46" s="389">
        <f t="shared" si="21"/>
        <v>135.71531116931467</v>
      </c>
      <c r="M46" s="389">
        <f t="shared" si="21"/>
        <v>135.71531116931467</v>
      </c>
      <c r="N46" s="389">
        <f t="shared" si="21"/>
        <v>137.86666666666665</v>
      </c>
      <c r="O46" s="389">
        <f t="shared" si="21"/>
        <v>137.86666666666665</v>
      </c>
      <c r="P46" s="375">
        <f t="shared" ref="P46" si="22">IF(AD46="CONSTANTE",O46,AVERAGE(C46:O46))</f>
        <v>127.7040586000216</v>
      </c>
      <c r="Q46" s="196">
        <f t="shared" ref="Q46:AB46" si="23">+P46</f>
        <v>127.7040586000216</v>
      </c>
      <c r="R46" s="196">
        <f t="shared" si="23"/>
        <v>127.7040586000216</v>
      </c>
      <c r="S46" s="196">
        <f t="shared" si="23"/>
        <v>127.7040586000216</v>
      </c>
      <c r="T46" s="196">
        <f t="shared" si="23"/>
        <v>127.7040586000216</v>
      </c>
      <c r="U46" s="196">
        <f t="shared" si="23"/>
        <v>127.7040586000216</v>
      </c>
      <c r="V46" s="196">
        <f t="shared" si="23"/>
        <v>127.7040586000216</v>
      </c>
      <c r="W46" s="196">
        <f t="shared" si="23"/>
        <v>127.7040586000216</v>
      </c>
      <c r="X46" s="196">
        <f t="shared" si="23"/>
        <v>127.7040586000216</v>
      </c>
      <c r="Y46" s="196">
        <f t="shared" si="23"/>
        <v>127.7040586000216</v>
      </c>
      <c r="Z46" s="196">
        <f t="shared" si="23"/>
        <v>127.7040586000216</v>
      </c>
      <c r="AA46" s="196">
        <f t="shared" si="23"/>
        <v>127.7040586000216</v>
      </c>
      <c r="AB46" s="198">
        <f t="shared" si="23"/>
        <v>127.7040586000216</v>
      </c>
      <c r="AD46" s="418" t="s">
        <v>234</v>
      </c>
    </row>
    <row r="47" spans="2:30" ht="15" thickBot="1" x14ac:dyDescent="0.35"/>
    <row r="48" spans="2:30" x14ac:dyDescent="0.3">
      <c r="B48" s="191" t="s">
        <v>231</v>
      </c>
      <c r="C48" s="367">
        <v>2010</v>
      </c>
      <c r="D48" s="367">
        <v>2011</v>
      </c>
      <c r="E48" s="367">
        <v>2012</v>
      </c>
      <c r="F48" s="367">
        <v>2013</v>
      </c>
      <c r="G48" s="367">
        <v>2014</v>
      </c>
      <c r="H48" s="367">
        <v>2015</v>
      </c>
      <c r="I48" s="367">
        <v>2016</v>
      </c>
      <c r="J48" s="367">
        <v>2017</v>
      </c>
      <c r="K48" s="367">
        <v>2018</v>
      </c>
      <c r="L48" s="367">
        <v>2019</v>
      </c>
      <c r="M48" s="367">
        <v>2020</v>
      </c>
      <c r="N48" s="367">
        <v>2021</v>
      </c>
      <c r="O48" s="367">
        <v>2022</v>
      </c>
      <c r="P48" s="367">
        <v>2023</v>
      </c>
      <c r="Q48" s="367">
        <v>2024</v>
      </c>
      <c r="R48" s="367">
        <v>2025</v>
      </c>
      <c r="S48" s="367">
        <v>2026</v>
      </c>
      <c r="T48" s="367">
        <v>2027</v>
      </c>
      <c r="U48" s="367">
        <v>2028</v>
      </c>
      <c r="V48" s="367">
        <v>2029</v>
      </c>
      <c r="W48" s="367">
        <v>2030</v>
      </c>
      <c r="X48" s="367">
        <v>2031</v>
      </c>
      <c r="Y48" s="367">
        <v>2032</v>
      </c>
      <c r="Z48" s="367">
        <v>2033</v>
      </c>
      <c r="AA48" s="367">
        <v>2034</v>
      </c>
      <c r="AB48" s="368">
        <v>2035</v>
      </c>
    </row>
    <row r="49" spans="2:28" x14ac:dyDescent="0.3">
      <c r="B49" s="390" t="s">
        <v>177</v>
      </c>
      <c r="C49" s="363">
        <f>+C3</f>
        <v>184.23561129999999</v>
      </c>
      <c r="D49" s="363">
        <f t="shared" ref="D49:AB49" si="24">+D3</f>
        <v>184.23561129999999</v>
      </c>
      <c r="E49" s="363">
        <f t="shared" si="24"/>
        <v>184.23561129999999</v>
      </c>
      <c r="F49" s="363">
        <f t="shared" si="24"/>
        <v>184.23561129999999</v>
      </c>
      <c r="G49" s="363">
        <f t="shared" si="24"/>
        <v>184.23561129999999</v>
      </c>
      <c r="H49" s="363">
        <f t="shared" si="24"/>
        <v>164.90974564999999</v>
      </c>
      <c r="I49" s="363">
        <f t="shared" si="24"/>
        <v>145.58387999999999</v>
      </c>
      <c r="J49" s="363">
        <f t="shared" si="24"/>
        <v>194.42970869999999</v>
      </c>
      <c r="K49" s="364">
        <f t="shared" si="24"/>
        <v>243.27553739999996</v>
      </c>
      <c r="L49" s="364">
        <f t="shared" si="24"/>
        <v>1053.0942143999998</v>
      </c>
      <c r="M49" s="364">
        <f t="shared" si="24"/>
        <v>1053.0942143999998</v>
      </c>
      <c r="N49" s="364">
        <f t="shared" si="24"/>
        <v>828.15711146666683</v>
      </c>
      <c r="O49" s="364">
        <f t="shared" si="24"/>
        <v>828.15711146666683</v>
      </c>
      <c r="P49" s="346">
        <f t="shared" si="24"/>
        <v>1002.4089387835246</v>
      </c>
      <c r="Q49" s="346">
        <f t="shared" si="24"/>
        <v>994.85637253962284</v>
      </c>
      <c r="R49" s="346">
        <f t="shared" si="24"/>
        <v>987.36078897846119</v>
      </c>
      <c r="S49" s="346">
        <f t="shared" si="24"/>
        <v>979.92175806264902</v>
      </c>
      <c r="T49" s="346">
        <f t="shared" si="24"/>
        <v>972.53885300097522</v>
      </c>
      <c r="U49" s="346">
        <f t="shared" si="24"/>
        <v>965.21258974852094</v>
      </c>
      <c r="V49" s="346">
        <f t="shared" si="24"/>
        <v>957.93972227518702</v>
      </c>
      <c r="W49" s="346">
        <f t="shared" si="24"/>
        <v>950.72174122171452</v>
      </c>
      <c r="X49" s="346">
        <f t="shared" si="24"/>
        <v>943.56098547658519</v>
      </c>
      <c r="Y49" s="346">
        <f t="shared" si="24"/>
        <v>936.45240566475229</v>
      </c>
      <c r="Z49" s="346">
        <f t="shared" si="24"/>
        <v>929.39745793207521</v>
      </c>
      <c r="AA49" s="346">
        <f t="shared" si="24"/>
        <v>922.39573753362288</v>
      </c>
      <c r="AB49" s="347">
        <f t="shared" si="24"/>
        <v>915.44773226999655</v>
      </c>
    </row>
    <row r="50" spans="2:28" ht="15" thickBot="1" x14ac:dyDescent="0.35">
      <c r="B50" s="416" t="s">
        <v>178</v>
      </c>
      <c r="C50" s="365">
        <f>+C38</f>
        <v>2388.4033412690001</v>
      </c>
      <c r="D50" s="365">
        <f t="shared" ref="D50:AB50" si="25">+D38</f>
        <v>2388.4033412690001</v>
      </c>
      <c r="E50" s="365">
        <f t="shared" si="25"/>
        <v>2388.4033412690001</v>
      </c>
      <c r="F50" s="365">
        <f t="shared" si="25"/>
        <v>2388.4033412690001</v>
      </c>
      <c r="G50" s="365">
        <f t="shared" si="25"/>
        <v>2388.4033412690001</v>
      </c>
      <c r="H50" s="365">
        <f t="shared" si="25"/>
        <v>1490.2744900999999</v>
      </c>
      <c r="I50" s="365">
        <f t="shared" si="25"/>
        <v>592.14563893099989</v>
      </c>
      <c r="J50" s="365">
        <f t="shared" si="25"/>
        <v>2007.8652695144999</v>
      </c>
      <c r="K50" s="366">
        <f t="shared" si="25"/>
        <v>3423.5849000979997</v>
      </c>
      <c r="L50" s="366">
        <f t="shared" si="25"/>
        <v>787.82602972699988</v>
      </c>
      <c r="M50" s="366">
        <f t="shared" si="25"/>
        <v>787.82602972699988</v>
      </c>
      <c r="N50" s="366">
        <f t="shared" si="25"/>
        <v>3126.2878386666657</v>
      </c>
      <c r="O50" s="366">
        <f t="shared" si="25"/>
        <v>3126.2878386666657</v>
      </c>
      <c r="P50" s="350">
        <f t="shared" si="25"/>
        <v>3106.6149603451745</v>
      </c>
      <c r="Q50" s="350">
        <f t="shared" si="25"/>
        <v>3106.6149603451745</v>
      </c>
      <c r="R50" s="350">
        <f t="shared" si="25"/>
        <v>3106.6149603451745</v>
      </c>
      <c r="S50" s="350">
        <f t="shared" si="25"/>
        <v>3106.6149603451745</v>
      </c>
      <c r="T50" s="350">
        <f t="shared" si="25"/>
        <v>3106.6149603451745</v>
      </c>
      <c r="U50" s="350">
        <f t="shared" si="25"/>
        <v>3106.6149603451745</v>
      </c>
      <c r="V50" s="350">
        <f t="shared" si="25"/>
        <v>3106.6149603451745</v>
      </c>
      <c r="W50" s="350">
        <f t="shared" si="25"/>
        <v>3106.6149603451745</v>
      </c>
      <c r="X50" s="350">
        <f t="shared" si="25"/>
        <v>3106.6149603451745</v>
      </c>
      <c r="Y50" s="350">
        <f t="shared" si="25"/>
        <v>3106.6149603451745</v>
      </c>
      <c r="Z50" s="350">
        <f t="shared" si="25"/>
        <v>3106.6149603451745</v>
      </c>
      <c r="AA50" s="350">
        <f t="shared" si="25"/>
        <v>3106.6149603451745</v>
      </c>
      <c r="AB50" s="351">
        <f t="shared" si="25"/>
        <v>3106.6149603451745</v>
      </c>
    </row>
  </sheetData>
  <dataValidations count="1">
    <dataValidation type="list" allowBlank="1" showInputMessage="1" showErrorMessage="1" sqref="AD26:AD35 AD45:AD46" xr:uid="{11F7F4BA-D433-444C-A5E9-570B38A57665}">
      <formula1>"CONSTANTE, PROMEDIO"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2C018-C09F-48BE-A48F-61C1A7F83C90}">
  <sheetPr>
    <tabColor theme="4"/>
  </sheetPr>
  <dimension ref="B1:AD50"/>
  <sheetViews>
    <sheetView topLeftCell="L1" zoomScaleNormal="100" workbookViewId="0">
      <pane ySplit="1" topLeftCell="A30" activePane="bottomLeft" state="frozen"/>
      <selection pane="bottomLeft" activeCell="S44" sqref="S44"/>
    </sheetView>
  </sheetViews>
  <sheetFormatPr baseColWidth="10" defaultColWidth="11.44140625" defaultRowHeight="14.4" x14ac:dyDescent="0.3"/>
  <cols>
    <col min="2" max="2" width="55" customWidth="1"/>
    <col min="3" max="3" width="12" bestFit="1" customWidth="1"/>
  </cols>
  <sheetData>
    <row r="1" spans="2:28" ht="15" thickBot="1" x14ac:dyDescent="0.35">
      <c r="B1" s="182" t="s">
        <v>130</v>
      </c>
      <c r="C1" s="183">
        <v>2010</v>
      </c>
      <c r="D1" s="183">
        <v>2011</v>
      </c>
      <c r="E1" s="183">
        <v>2012</v>
      </c>
      <c r="F1" s="183">
        <v>2013</v>
      </c>
      <c r="G1" s="183">
        <v>2014</v>
      </c>
      <c r="H1" s="183">
        <v>2015</v>
      </c>
      <c r="I1" s="183">
        <v>2016</v>
      </c>
      <c r="J1" s="183">
        <v>2017</v>
      </c>
      <c r="K1" s="183">
        <v>2018</v>
      </c>
      <c r="L1" s="183">
        <v>2019</v>
      </c>
      <c r="M1" s="183">
        <v>2020</v>
      </c>
      <c r="N1" s="183">
        <v>2021</v>
      </c>
      <c r="O1" s="183">
        <v>2022</v>
      </c>
      <c r="P1" s="183">
        <v>2023</v>
      </c>
      <c r="Q1" s="183">
        <v>2024</v>
      </c>
      <c r="R1" s="183">
        <v>2025</v>
      </c>
      <c r="S1" s="183">
        <v>2026</v>
      </c>
      <c r="T1" s="183">
        <v>2027</v>
      </c>
      <c r="U1" s="183">
        <v>2028</v>
      </c>
      <c r="V1" s="183">
        <v>2029</v>
      </c>
      <c r="W1" s="183">
        <v>2030</v>
      </c>
      <c r="X1" s="183">
        <v>2031</v>
      </c>
      <c r="Y1" s="183">
        <v>2032</v>
      </c>
      <c r="Z1" s="183">
        <v>2033</v>
      </c>
      <c r="AA1" s="183">
        <v>2034</v>
      </c>
      <c r="AB1" s="184">
        <v>2035</v>
      </c>
    </row>
    <row r="2" spans="2:28" ht="15" thickBot="1" x14ac:dyDescent="0.35">
      <c r="B2" s="131" t="s">
        <v>33</v>
      </c>
      <c r="C2" s="52"/>
      <c r="D2" s="52"/>
      <c r="E2" s="52"/>
      <c r="F2" s="52"/>
      <c r="G2" s="52"/>
      <c r="H2" s="52"/>
      <c r="I2" s="52"/>
      <c r="J2" s="52"/>
      <c r="K2" s="52"/>
      <c r="L2" s="52"/>
      <c r="M2" s="52"/>
      <c r="N2" s="52"/>
      <c r="O2" s="52"/>
      <c r="P2" s="52"/>
      <c r="Q2" s="52"/>
      <c r="R2" s="52"/>
      <c r="S2" s="52"/>
      <c r="T2" s="52"/>
      <c r="U2" s="52"/>
      <c r="V2" s="52"/>
      <c r="W2" s="52"/>
      <c r="X2" s="52"/>
      <c r="Y2" s="52"/>
      <c r="Z2" s="52"/>
      <c r="AA2" s="52"/>
      <c r="AB2" s="52"/>
    </row>
    <row r="3" spans="2:28" ht="15" thickBot="1" x14ac:dyDescent="0.35">
      <c r="B3" s="142" t="s">
        <v>36</v>
      </c>
      <c r="C3" s="187">
        <f>+DATOS_INGEI!C39/1000</f>
        <v>198.57633565</v>
      </c>
      <c r="D3" s="187">
        <f>+DATOS_INGEI!D39/1000</f>
        <v>198.57633565</v>
      </c>
      <c r="E3" s="187">
        <f>+DATOS_INGEI!E39/1000</f>
        <v>198.57633565</v>
      </c>
      <c r="F3" s="187">
        <f>+DATOS_INGEI!F39/1000</f>
        <v>198.57633565</v>
      </c>
      <c r="G3" s="187">
        <f>+DATOS_INGEI!G39/1000</f>
        <v>198.57633565</v>
      </c>
      <c r="H3" s="187">
        <f>+DATOS_INGEI!H39/1000</f>
        <v>491.09154624199988</v>
      </c>
      <c r="I3" s="187">
        <f>+DATOS_INGEI!I39/1000</f>
        <v>783.60675683399973</v>
      </c>
      <c r="J3" s="187">
        <f>+DATOS_INGEI!J39/1000</f>
        <v>755.00244012599978</v>
      </c>
      <c r="K3" s="187">
        <f>+DATOS_INGEI!K39/1000</f>
        <v>726.39812341799984</v>
      </c>
      <c r="L3" s="187">
        <f>+DATOS_INGEI!L39/1000</f>
        <v>606.98376378933312</v>
      </c>
      <c r="M3" s="187">
        <f>+DATOS_INGEI!M39/1000</f>
        <v>606.98376378933312</v>
      </c>
      <c r="N3" s="187">
        <f>+DATOS_INGEI!N39/1000</f>
        <v>161.21568214399997</v>
      </c>
      <c r="O3" s="187">
        <f>+DATOS_INGEI!O39/1000</f>
        <v>161.21568214399997</v>
      </c>
      <c r="P3" s="392">
        <f>+SUM(P4:P13)</f>
        <v>240.421635330436</v>
      </c>
      <c r="Q3" s="392">
        <f t="shared" ref="Q3:AB3" si="0">+SUM(Q4:Q13)</f>
        <v>238.60816637931794</v>
      </c>
      <c r="R3" s="392">
        <f t="shared" si="0"/>
        <v>236.80837970817763</v>
      </c>
      <c r="S3" s="392">
        <f t="shared" si="0"/>
        <v>235.02217205946931</v>
      </c>
      <c r="T3" s="392">
        <f t="shared" si="0"/>
        <v>233.24944095509676</v>
      </c>
      <c r="U3" s="392">
        <f t="shared" si="0"/>
        <v>231.49031028255598</v>
      </c>
      <c r="V3" s="392">
        <f t="shared" si="0"/>
        <v>229.74400062798821</v>
      </c>
      <c r="W3" s="392">
        <f t="shared" si="0"/>
        <v>228.01086991353733</v>
      </c>
      <c r="X3" s="392">
        <f t="shared" si="0"/>
        <v>226.29147973661318</v>
      </c>
      <c r="Y3" s="392">
        <f t="shared" si="0"/>
        <v>224.58461767688442</v>
      </c>
      <c r="Z3" s="392">
        <f t="shared" si="0"/>
        <v>222.89063337382694</v>
      </c>
      <c r="AA3" s="392">
        <f t="shared" si="0"/>
        <v>221.20942964294196</v>
      </c>
      <c r="AB3" s="393">
        <f t="shared" si="0"/>
        <v>219.54112361147006</v>
      </c>
    </row>
    <row r="4" spans="2:28" x14ac:dyDescent="0.3">
      <c r="B4" s="191" t="s">
        <v>2</v>
      </c>
      <c r="C4" s="192">
        <f>+C$3*COBERTURA_BOSQUE!C35</f>
        <v>0.48306136789255016</v>
      </c>
      <c r="D4" s="192">
        <f>+D$3*COBERTURA_BOSQUE!D35</f>
        <v>0.50505012053304488</v>
      </c>
      <c r="E4" s="192">
        <f>+E$3*COBERTURA_BOSQUE!E35</f>
        <v>0.52548100197090852</v>
      </c>
      <c r="F4" s="192">
        <f>+F$3*COBERTURA_BOSQUE!F35</f>
        <v>0.51803448309095734</v>
      </c>
      <c r="G4" s="192">
        <f>+G$3*COBERTURA_BOSQUE!G35</f>
        <v>0.51091983059872503</v>
      </c>
      <c r="H4" s="192">
        <f>+H$3*COBERTURA_BOSQUE!H35</f>
        <v>1.2513810504947758</v>
      </c>
      <c r="I4" s="192">
        <f>+I$3*COBERTURA_BOSQUE!I35</f>
        <v>1.9778423904466877</v>
      </c>
      <c r="J4" s="192">
        <f>+J$3*COBERTURA_BOSQUE!J35</f>
        <v>1.8722573637844233</v>
      </c>
      <c r="K4" s="193">
        <f>+K$3*COBERTURA_BOSQUE!K35</f>
        <v>1.7702290338138469</v>
      </c>
      <c r="L4" s="193">
        <f>+L$3*COBERTURA_BOSQUE!L35</f>
        <v>1.4792167642965828</v>
      </c>
      <c r="M4" s="193">
        <f>+M$3*COBERTURA_BOSQUE!M35</f>
        <v>1.4792167642965828</v>
      </c>
      <c r="N4" s="193">
        <f>+N$3*COBERTURA_BOSQUE!N35</f>
        <v>0.36905396370254073</v>
      </c>
      <c r="O4" s="193">
        <f>+O$3*COBERTURA_BOSQUE!P35</f>
        <v>0.36905396370254073</v>
      </c>
      <c r="P4" s="395">
        <f>+P15*P26</f>
        <v>0.36360183548965586</v>
      </c>
      <c r="Q4" s="395">
        <f t="shared" ref="Q4:AB4" si="1">+Q15*Q26</f>
        <v>0.36085923439918505</v>
      </c>
      <c r="R4" s="395">
        <f t="shared" si="1"/>
        <v>0.35813732571481466</v>
      </c>
      <c r="S4" s="395">
        <f t="shared" si="1"/>
        <v>0.35543595327492017</v>
      </c>
      <c r="T4" s="395">
        <f t="shared" si="1"/>
        <v>0.352754962096678</v>
      </c>
      <c r="U4" s="395">
        <f t="shared" si="1"/>
        <v>0.35009453954143299</v>
      </c>
      <c r="V4" s="395">
        <f t="shared" si="1"/>
        <v>0.34745350686206766</v>
      </c>
      <c r="W4" s="395">
        <f t="shared" si="1"/>
        <v>0.34483240536239707</v>
      </c>
      <c r="X4" s="395">
        <f t="shared" si="1"/>
        <v>0.34223208437467384</v>
      </c>
      <c r="Y4" s="395">
        <f t="shared" si="1"/>
        <v>0.33965071029412541</v>
      </c>
      <c r="Z4" s="395">
        <f t="shared" si="1"/>
        <v>0.33708881189826834</v>
      </c>
      <c r="AA4" s="395">
        <f t="shared" si="1"/>
        <v>0.33454624221005508</v>
      </c>
      <c r="AB4" s="396">
        <f t="shared" si="1"/>
        <v>0.33202317836695322</v>
      </c>
    </row>
    <row r="5" spans="2:28" x14ac:dyDescent="0.3">
      <c r="B5" s="185" t="s">
        <v>4</v>
      </c>
      <c r="C5" s="189">
        <f>+C$3*COBERTURA_BOSQUE!C36</f>
        <v>4.7171840447820292</v>
      </c>
      <c r="D5" s="189">
        <f>+D$3*COBERTURA_BOSQUE!D36</f>
        <v>4.7561515833340016</v>
      </c>
      <c r="E5" s="189">
        <f>+E$3*COBERTURA_BOSQUE!E36</f>
        <v>4.7923583283502955</v>
      </c>
      <c r="F5" s="189">
        <f>+F$3*COBERTURA_BOSQUE!F36</f>
        <v>4.8310413318314609</v>
      </c>
      <c r="G5" s="189">
        <f>+G$3*COBERTURA_BOSQUE!G36</f>
        <v>4.8680003635026559</v>
      </c>
      <c r="H5" s="189">
        <f>+H$3*COBERTURA_BOSQUE!H36</f>
        <v>11.873455898000762</v>
      </c>
      <c r="I5" s="189">
        <f>+I$3*COBERTURA_BOSQUE!I36</f>
        <v>18.688399877838524</v>
      </c>
      <c r="J5" s="189">
        <f>+J$3*COBERTURA_BOSQUE!J36</f>
        <v>17.71615517418654</v>
      </c>
      <c r="K5" s="190">
        <f>+K$3*COBERTURA_BOSQUE!K36</f>
        <v>16.774809754369691</v>
      </c>
      <c r="L5" s="190">
        <f>+L$3*COBERTURA_BOSQUE!L36</f>
        <v>14.017157855043308</v>
      </c>
      <c r="M5" s="190">
        <f>+M$3*COBERTURA_BOSQUE!M36</f>
        <v>14.017157855043308</v>
      </c>
      <c r="N5" s="190">
        <f>+N$3*COBERTURA_BOSQUE!N36</f>
        <v>3.7727140289433327</v>
      </c>
      <c r="O5" s="190">
        <f>+O$3*COBERTURA_BOSQUE!P36</f>
        <v>3.7727140289433327</v>
      </c>
      <c r="P5" s="398">
        <f t="shared" ref="P5:AB13" si="2">+P16*P27</f>
        <v>1.0425304213537798</v>
      </c>
      <c r="Q5" s="398">
        <f t="shared" si="2"/>
        <v>1.0346667507356067</v>
      </c>
      <c r="R5" s="398">
        <f t="shared" si="2"/>
        <v>1.02686241002379</v>
      </c>
      <c r="S5" s="398">
        <f t="shared" si="2"/>
        <v>1.0191169514668932</v>
      </c>
      <c r="T5" s="398">
        <f t="shared" si="2"/>
        <v>1.0114299306933745</v>
      </c>
      <c r="U5" s="398">
        <f t="shared" si="2"/>
        <v>1.0038018849114725</v>
      </c>
      <c r="V5" s="398">
        <f t="shared" si="2"/>
        <v>0.99622943438101796</v>
      </c>
      <c r="W5" s="398">
        <f t="shared" si="2"/>
        <v>0.98871413114504092</v>
      </c>
      <c r="X5" s="398">
        <f t="shared" si="2"/>
        <v>0.9812584104352281</v>
      </c>
      <c r="Y5" s="398">
        <f t="shared" si="2"/>
        <v>0.97385701488330056</v>
      </c>
      <c r="Z5" s="398">
        <f t="shared" si="2"/>
        <v>0.96651146061649762</v>
      </c>
      <c r="AA5" s="398">
        <f t="shared" si="2"/>
        <v>0.95922132621768563</v>
      </c>
      <c r="AB5" s="399">
        <f t="shared" si="2"/>
        <v>0.95198711958088689</v>
      </c>
    </row>
    <row r="6" spans="2:28" x14ac:dyDescent="0.3">
      <c r="B6" s="185" t="s">
        <v>5</v>
      </c>
      <c r="C6" s="189">
        <f>+C$3*COBERTURA_BOSQUE!C37</f>
        <v>45.106175225313962</v>
      </c>
      <c r="D6" s="189">
        <f>+D$3*COBERTURA_BOSQUE!D37</f>
        <v>43.66480985031064</v>
      </c>
      <c r="E6" s="189">
        <f>+E$3*COBERTURA_BOSQUE!E37</f>
        <v>42.325563119638787</v>
      </c>
      <c r="F6" s="189">
        <f>+F$3*COBERTURA_BOSQUE!F37</f>
        <v>42.575601707257213</v>
      </c>
      <c r="G6" s="189">
        <f>+G$3*COBERTURA_BOSQUE!G37</f>
        <v>42.814496913088618</v>
      </c>
      <c r="H6" s="189">
        <f>+H$3*COBERTURA_BOSQUE!H37</f>
        <v>104.63531835437249</v>
      </c>
      <c r="I6" s="189">
        <f>+I$3*COBERTURA_BOSQUE!I37</f>
        <v>165.01923566513022</v>
      </c>
      <c r="J6" s="189">
        <f>+J$3*COBERTURA_BOSQUE!J37</f>
        <v>157.77909002843359</v>
      </c>
      <c r="K6" s="190">
        <f>+K$3*COBERTURA_BOSQUE!K37</f>
        <v>150.66852458627753</v>
      </c>
      <c r="L6" s="190">
        <f>+L$3*COBERTURA_BOSQUE!L37</f>
        <v>125.89975825878933</v>
      </c>
      <c r="M6" s="190">
        <f>+M$3*COBERTURA_BOSQUE!M37</f>
        <v>125.89975825878933</v>
      </c>
      <c r="N6" s="190">
        <f>+N$3*COBERTURA_BOSQUE!N37</f>
        <v>34.036817185719954</v>
      </c>
      <c r="O6" s="190">
        <f>+O$3*COBERTURA_BOSQUE!P37</f>
        <v>34.036817185719954</v>
      </c>
      <c r="P6" s="398">
        <f t="shared" si="2"/>
        <v>22.642570882806478</v>
      </c>
      <c r="Q6" s="398">
        <f t="shared" si="2"/>
        <v>22.471780932005984</v>
      </c>
      <c r="R6" s="398">
        <f t="shared" si="2"/>
        <v>22.302279559056689</v>
      </c>
      <c r="S6" s="398">
        <f t="shared" si="2"/>
        <v>22.134057039308399</v>
      </c>
      <c r="T6" s="398">
        <f t="shared" si="2"/>
        <v>21.967103721518413</v>
      </c>
      <c r="U6" s="398">
        <f t="shared" si="2"/>
        <v>21.801431273236545</v>
      </c>
      <c r="V6" s="398">
        <f t="shared" si="2"/>
        <v>21.636966290363706</v>
      </c>
      <c r="W6" s="398">
        <f t="shared" si="2"/>
        <v>21.47374248150312</v>
      </c>
      <c r="X6" s="398">
        <f t="shared" si="2"/>
        <v>21.311812737107626</v>
      </c>
      <c r="Y6" s="398">
        <f t="shared" si="2"/>
        <v>21.151062873138585</v>
      </c>
      <c r="Z6" s="398">
        <f t="shared" si="2"/>
        <v>20.991525818149235</v>
      </c>
      <c r="AA6" s="398">
        <f t="shared" si="2"/>
        <v>20.833192419440412</v>
      </c>
      <c r="AB6" s="399">
        <f t="shared" si="2"/>
        <v>20.676073707890602</v>
      </c>
    </row>
    <row r="7" spans="2:28" x14ac:dyDescent="0.3">
      <c r="B7" s="185" t="s">
        <v>6</v>
      </c>
      <c r="C7" s="189">
        <f>+C$3*COBERTURA_BOSQUE!C38</f>
        <v>18.335369349810229</v>
      </c>
      <c r="D7" s="189">
        <f>+D$3*COBERTURA_BOSQUE!D38</f>
        <v>17.699968784963872</v>
      </c>
      <c r="E7" s="189">
        <f>+E$3*COBERTURA_BOSQUE!E38</f>
        <v>17.109585427700576</v>
      </c>
      <c r="F7" s="189">
        <f>+F$3*COBERTURA_BOSQUE!F38</f>
        <v>17.368228767546089</v>
      </c>
      <c r="G7" s="189">
        <f>+G$3*COBERTURA_BOSQUE!G38</f>
        <v>17.615345240638693</v>
      </c>
      <c r="H7" s="189">
        <f>+H$3*COBERTURA_BOSQUE!H38</f>
        <v>42.971192578598085</v>
      </c>
      <c r="I7" s="189">
        <f>+I$3*COBERTURA_BOSQUE!I38</f>
        <v>67.644458487559461</v>
      </c>
      <c r="J7" s="189">
        <f>+J$3*COBERTURA_BOSQUE!J38</f>
        <v>65.192943333309202</v>
      </c>
      <c r="K7" s="190">
        <f>+K$3*COBERTURA_BOSQUE!K38</f>
        <v>62.739538555133315</v>
      </c>
      <c r="L7" s="190">
        <f>+L$3*COBERTURA_BOSQUE!L38</f>
        <v>52.425632752752712</v>
      </c>
      <c r="M7" s="190">
        <f>+M$3*COBERTURA_BOSQUE!M38</f>
        <v>52.425632752752712</v>
      </c>
      <c r="N7" s="190">
        <f>+N$3*COBERTURA_BOSQUE!N38</f>
        <v>13.94322956197885</v>
      </c>
      <c r="O7" s="190">
        <f>+O$3*COBERTURA_BOSQUE!P38</f>
        <v>13.94322956197885</v>
      </c>
      <c r="P7" s="398">
        <f t="shared" si="2"/>
        <v>35.747382745724892</v>
      </c>
      <c r="Q7" s="398">
        <f t="shared" si="2"/>
        <v>35.477744912989877</v>
      </c>
      <c r="R7" s="398">
        <f t="shared" si="2"/>
        <v>35.210141446665062</v>
      </c>
      <c r="S7" s="398">
        <f t="shared" si="2"/>
        <v>34.944556993776871</v>
      </c>
      <c r="T7" s="398">
        <f t="shared" si="2"/>
        <v>34.680976317245154</v>
      </c>
      <c r="U7" s="398">
        <f t="shared" si="2"/>
        <v>34.419417837432675</v>
      </c>
      <c r="V7" s="398">
        <f t="shared" si="2"/>
        <v>34.159765666243551</v>
      </c>
      <c r="W7" s="398">
        <f t="shared" si="2"/>
        <v>33.902073021766284</v>
      </c>
      <c r="X7" s="398">
        <f t="shared" si="2"/>
        <v>33.646423405793627</v>
      </c>
      <c r="Y7" s="398">
        <f t="shared" si="2"/>
        <v>33.392636548136572</v>
      </c>
      <c r="Z7" s="398">
        <f t="shared" si="2"/>
        <v>33.140764435365107</v>
      </c>
      <c r="AA7" s="398">
        <f t="shared" si="2"/>
        <v>32.890792617484053</v>
      </c>
      <c r="AB7" s="399">
        <f t="shared" si="2"/>
        <v>32.642738509699363</v>
      </c>
    </row>
    <row r="8" spans="2:28" x14ac:dyDescent="0.3">
      <c r="B8" s="185" t="s">
        <v>7</v>
      </c>
      <c r="C8" s="189">
        <f>+C$3*COBERTURA_BOSQUE!C39</f>
        <v>12.627094091857421</v>
      </c>
      <c r="D8" s="189">
        <f>+D$3*COBERTURA_BOSQUE!D39</f>
        <v>12.260927035744423</v>
      </c>
      <c r="E8" s="189">
        <f>+E$3*COBERTURA_BOSQUE!E39</f>
        <v>11.920702383977734</v>
      </c>
      <c r="F8" s="189">
        <f>+F$3*COBERTURA_BOSQUE!F39</f>
        <v>11.847845020150054</v>
      </c>
      <c r="G8" s="189">
        <f>+G$3*COBERTURA_BOSQUE!G39</f>
        <v>11.778234664829565</v>
      </c>
      <c r="H8" s="189">
        <f>+H$3*COBERTURA_BOSQUE!H39</f>
        <v>28.852164644292813</v>
      </c>
      <c r="I8" s="189">
        <f>+I$3*COBERTURA_BOSQUE!I39</f>
        <v>45.608051969653033</v>
      </c>
      <c r="J8" s="189">
        <f>+J$3*COBERTURA_BOSQUE!J39</f>
        <v>45.343104022364578</v>
      </c>
      <c r="K8" s="190">
        <f>+K$3*COBERTURA_BOSQUE!K39</f>
        <v>44.929025618694808</v>
      </c>
      <c r="L8" s="190">
        <f>+L$3*COBERTURA_BOSQUE!L39</f>
        <v>37.543033488441111</v>
      </c>
      <c r="M8" s="190">
        <f>+M$3*COBERTURA_BOSQUE!M39</f>
        <v>37.543033488441111</v>
      </c>
      <c r="N8" s="190">
        <f>+N$3*COBERTURA_BOSQUE!N39</f>
        <v>10.152949268096542</v>
      </c>
      <c r="O8" s="190">
        <f>+O$3*COBERTURA_BOSQUE!P39</f>
        <v>10.152949268096542</v>
      </c>
      <c r="P8" s="398">
        <f t="shared" si="2"/>
        <v>2.5405714520565925</v>
      </c>
      <c r="Q8" s="398">
        <f t="shared" si="2"/>
        <v>2.5214082538690858</v>
      </c>
      <c r="R8" s="398">
        <f t="shared" si="2"/>
        <v>2.5023896383846407</v>
      </c>
      <c r="S8" s="398">
        <f t="shared" si="2"/>
        <v>2.4835145144652957</v>
      </c>
      <c r="T8" s="398">
        <f t="shared" si="2"/>
        <v>2.4647817992096508</v>
      </c>
      <c r="U8" s="398">
        <f t="shared" si="2"/>
        <v>2.446192801755442</v>
      </c>
      <c r="V8" s="398">
        <f t="shared" si="2"/>
        <v>2.427739285919615</v>
      </c>
      <c r="W8" s="398">
        <f t="shared" si="2"/>
        <v>2.4094250339191041</v>
      </c>
      <c r="X8" s="398">
        <f t="shared" si="2"/>
        <v>2.391255980237907</v>
      </c>
      <c r="Y8" s="398">
        <f t="shared" si="2"/>
        <v>2.3732193130486774</v>
      </c>
      <c r="Z8" s="398">
        <f t="shared" si="2"/>
        <v>2.3553187270441569</v>
      </c>
      <c r="AA8" s="398">
        <f t="shared" si="2"/>
        <v>2.3375531952611834</v>
      </c>
      <c r="AB8" s="399">
        <f t="shared" si="2"/>
        <v>2.3199239554008599</v>
      </c>
    </row>
    <row r="9" spans="2:28" x14ac:dyDescent="0.3">
      <c r="B9" s="185" t="s">
        <v>8</v>
      </c>
      <c r="C9" s="189">
        <f>+C$3*COBERTURA_BOSQUE!C40</f>
        <v>92.398725074076054</v>
      </c>
      <c r="D9" s="189">
        <f>+D$3*COBERTURA_BOSQUE!D40</f>
        <v>95.575346982245549</v>
      </c>
      <c r="E9" s="189">
        <f>+E$3*COBERTURA_BOSQUE!E40</f>
        <v>98.52690983984975</v>
      </c>
      <c r="F9" s="189">
        <f>+F$3*COBERTURA_BOSQUE!F40</f>
        <v>98.339030377002018</v>
      </c>
      <c r="G9" s="189">
        <f>+G$3*COBERTURA_BOSQUE!G40</f>
        <v>98.159524072091116</v>
      </c>
      <c r="H9" s="189">
        <f>+H$3*COBERTURA_BOSQUE!H40</f>
        <v>242.4444158861366</v>
      </c>
      <c r="I9" s="189">
        <f>+I$3*COBERTURA_BOSQUE!I40</f>
        <v>386.37208906125238</v>
      </c>
      <c r="J9" s="189">
        <f>+J$3*COBERTURA_BOSQUE!J40</f>
        <v>374.42022236790211</v>
      </c>
      <c r="K9" s="190">
        <f>+K$3*COBERTURA_BOSQUE!K40</f>
        <v>362.23910139342502</v>
      </c>
      <c r="L9" s="190">
        <f>+L$3*COBERTURA_BOSQUE!L40</f>
        <v>302.68973179728704</v>
      </c>
      <c r="M9" s="190">
        <f>+M$3*COBERTURA_BOSQUE!M40</f>
        <v>302.68973179728704</v>
      </c>
      <c r="N9" s="190">
        <f>+N$3*COBERTURA_BOSQUE!N40</f>
        <v>79.275065003082133</v>
      </c>
      <c r="O9" s="190">
        <f>+O$3*COBERTURA_BOSQUE!P40</f>
        <v>79.275065003082133</v>
      </c>
      <c r="P9" s="398">
        <f t="shared" si="2"/>
        <v>136.92424787078437</v>
      </c>
      <c r="Q9" s="398">
        <f t="shared" si="2"/>
        <v>135.89144617709491</v>
      </c>
      <c r="R9" s="398">
        <f t="shared" si="2"/>
        <v>134.86643677669278</v>
      </c>
      <c r="S9" s="398">
        <f t="shared" si="2"/>
        <v>133.84916086263337</v>
      </c>
      <c r="T9" s="398">
        <f t="shared" si="2"/>
        <v>132.83956007188195</v>
      </c>
      <c r="U9" s="398">
        <f t="shared" si="2"/>
        <v>131.83770496049388</v>
      </c>
      <c r="V9" s="398">
        <f t="shared" si="2"/>
        <v>130.84315163889892</v>
      </c>
      <c r="W9" s="398">
        <f t="shared" si="2"/>
        <v>129.85610394990127</v>
      </c>
      <c r="X9" s="398">
        <f t="shared" si="2"/>
        <v>128.876881732865</v>
      </c>
      <c r="Y9" s="398">
        <f t="shared" si="2"/>
        <v>127.90479449360168</v>
      </c>
      <c r="Z9" s="398">
        <f t="shared" si="2"/>
        <v>126.94004135779392</v>
      </c>
      <c r="AA9" s="398">
        <f t="shared" si="2"/>
        <v>125.9825669772017</v>
      </c>
      <c r="AB9" s="399">
        <f t="shared" si="2"/>
        <v>125.03243805779881</v>
      </c>
    </row>
    <row r="10" spans="2:28" x14ac:dyDescent="0.3">
      <c r="B10" s="185" t="s">
        <v>9</v>
      </c>
      <c r="C10" s="189">
        <f>+C$3*COBERTURA_BOSQUE!C41</f>
        <v>10.237056168326273</v>
      </c>
      <c r="D10" s="189">
        <f>+D$3*COBERTURA_BOSQUE!D41</f>
        <v>9.934063282022036</v>
      </c>
      <c r="E10" s="189">
        <f>+E$3*COBERTURA_BOSQUE!E41</f>
        <v>9.652537001845614</v>
      </c>
      <c r="F10" s="189">
        <f>+F$3*COBERTURA_BOSQUE!F41</f>
        <v>9.5796423350827453</v>
      </c>
      <c r="G10" s="189">
        <f>+G$3*COBERTURA_BOSQUE!G41</f>
        <v>9.5099963392938616</v>
      </c>
      <c r="H10" s="189">
        <f>+H$3*COBERTURA_BOSQUE!H41</f>
        <v>22.791030522213973</v>
      </c>
      <c r="I10" s="189">
        <f>+I$3*COBERTURA_BOSQUE!I41</f>
        <v>35.233842587092184</v>
      </c>
      <c r="J10" s="189">
        <f>+J$3*COBERTURA_BOSQUE!J41</f>
        <v>33.304279771112697</v>
      </c>
      <c r="K10" s="190">
        <f>+K$3*COBERTURA_BOSQUE!K41</f>
        <v>31.443258680899245</v>
      </c>
      <c r="L10" s="190">
        <f>+L$3*COBERTURA_BOSQUE!L41</f>
        <v>26.274224677410437</v>
      </c>
      <c r="M10" s="190">
        <f>+M$3*COBERTURA_BOSQUE!M41</f>
        <v>26.274224677410437</v>
      </c>
      <c r="N10" s="190">
        <f>+N$3*COBERTURA_BOSQUE!N41</f>
        <v>6.5091808264710611</v>
      </c>
      <c r="O10" s="190">
        <f>+O$3*COBERTURA_BOSQUE!P41</f>
        <v>6.5091808264710611</v>
      </c>
      <c r="P10" s="398">
        <f t="shared" si="2"/>
        <v>2.1538177649086077</v>
      </c>
      <c r="Q10" s="398">
        <f t="shared" si="2"/>
        <v>2.1375717992006549</v>
      </c>
      <c r="R10" s="398">
        <f t="shared" si="2"/>
        <v>2.1214484062288865</v>
      </c>
      <c r="S10" s="398">
        <f t="shared" si="2"/>
        <v>2.1054466609603462</v>
      </c>
      <c r="T10" s="398">
        <f t="shared" si="2"/>
        <v>2.0895656453447757</v>
      </c>
      <c r="U10" s="398">
        <f t="shared" si="2"/>
        <v>2.0738064692285891</v>
      </c>
      <c r="V10" s="398">
        <f t="shared" si="2"/>
        <v>2.0581621502309662</v>
      </c>
      <c r="W10" s="398">
        <f t="shared" si="2"/>
        <v>2.0426358947982437</v>
      </c>
      <c r="X10" s="398">
        <f t="shared" si="2"/>
        <v>2.0272327340020921</v>
      </c>
      <c r="Y10" s="398">
        <f t="shared" si="2"/>
        <v>2.0119418063722239</v>
      </c>
      <c r="Z10" s="398">
        <f t="shared" si="2"/>
        <v>1.9967662441546759</v>
      </c>
      <c r="AA10" s="398">
        <f t="shared" si="2"/>
        <v>1.9817051767218972</v>
      </c>
      <c r="AB10" s="399">
        <f t="shared" si="2"/>
        <v>1.9667596533585365</v>
      </c>
    </row>
    <row r="11" spans="2:28" x14ac:dyDescent="0.3">
      <c r="B11" s="185" t="s">
        <v>10</v>
      </c>
      <c r="C11" s="189">
        <f>+C$3*COBERTURA_BOSQUE!C42</f>
        <v>2.5423946915651037</v>
      </c>
      <c r="D11" s="189">
        <f>+D$3*COBERTURA_BOSQUE!D42</f>
        <v>2.4620209145073289</v>
      </c>
      <c r="E11" s="189">
        <f>+E$3*COBERTURA_BOSQUE!E42</f>
        <v>2.3873415028722844</v>
      </c>
      <c r="F11" s="189">
        <f>+F$3*COBERTURA_BOSQUE!F42</f>
        <v>2.2770447617741763</v>
      </c>
      <c r="G11" s="189">
        <f>+G$3*COBERTURA_BOSQUE!G42</f>
        <v>2.1716635767413277</v>
      </c>
      <c r="H11" s="189">
        <f>+H$3*COBERTURA_BOSQUE!H42</f>
        <v>5.5751539369523506</v>
      </c>
      <c r="I11" s="189">
        <f>+I$3*COBERTURA_BOSQUE!I42</f>
        <v>9.2141733541878263</v>
      </c>
      <c r="J11" s="189">
        <f>+J$3*COBERTURA_BOSQUE!J42</f>
        <v>8.6936543929000276</v>
      </c>
      <c r="K11" s="190">
        <f>+K$3*COBERTURA_BOSQUE!K42</f>
        <v>8.1927549508139119</v>
      </c>
      <c r="L11" s="190">
        <f>+L$3*COBERTURA_BOSQUE!L42</f>
        <v>6.8459279774145632</v>
      </c>
      <c r="M11" s="190">
        <f>+M$3*COBERTURA_BOSQUE!M42</f>
        <v>6.8459279774145632</v>
      </c>
      <c r="N11" s="190">
        <f>+N$3*COBERTURA_BOSQUE!N42</f>
        <v>2.6548878722179032</v>
      </c>
      <c r="O11" s="190">
        <f>+O$3*COBERTURA_BOSQUE!P42</f>
        <v>2.6548878722179032</v>
      </c>
      <c r="P11" s="398">
        <f t="shared" si="2"/>
        <v>0.89087464422612039</v>
      </c>
      <c r="Q11" s="398">
        <f t="shared" si="2"/>
        <v>0.88415489330011909</v>
      </c>
      <c r="R11" s="398">
        <f t="shared" si="2"/>
        <v>0.87748584162292165</v>
      </c>
      <c r="S11" s="398">
        <f t="shared" si="2"/>
        <v>0.8708671065770095</v>
      </c>
      <c r="T11" s="398">
        <f t="shared" si="2"/>
        <v>0.86429830843309086</v>
      </c>
      <c r="U11" s="398">
        <f t="shared" si="2"/>
        <v>0.85777990625230094</v>
      </c>
      <c r="V11" s="398">
        <f t="shared" si="2"/>
        <v>0.85130901194163089</v>
      </c>
      <c r="W11" s="398">
        <f t="shared" si="2"/>
        <v>0.84488695177008366</v>
      </c>
      <c r="X11" s="398">
        <f t="shared" si="2"/>
        <v>0.83851580671881631</v>
      </c>
      <c r="Y11" s="398">
        <f t="shared" si="2"/>
        <v>0.83219108420324894</v>
      </c>
      <c r="Z11" s="398">
        <f t="shared" si="2"/>
        <v>0.82591407980122467</v>
      </c>
      <c r="AA11" s="398">
        <f t="shared" si="2"/>
        <v>0.81968443339870667</v>
      </c>
      <c r="AB11" s="399">
        <f t="shared" si="2"/>
        <v>0.81350257900692069</v>
      </c>
    </row>
    <row r="12" spans="2:28" x14ac:dyDescent="0.3">
      <c r="B12" s="185" t="s">
        <v>11</v>
      </c>
      <c r="C12" s="189">
        <f>+C$3*COBERTURA_BOSQUE!C43</f>
        <v>10.631859410197139</v>
      </c>
      <c r="D12" s="189">
        <f>+D$3*COBERTURA_BOSQUE!D43</f>
        <v>10.275573839047965</v>
      </c>
      <c r="E12" s="189">
        <f>+E$3*COBERTURA_BOSQUE!E43</f>
        <v>9.9445305833807556</v>
      </c>
      <c r="F12" s="189">
        <f>+F$3*COBERTURA_BOSQUE!F43</f>
        <v>9.8802503881572932</v>
      </c>
      <c r="G12" s="189">
        <f>+G$3*COBERTURA_BOSQUE!G43</f>
        <v>9.8188349457847366</v>
      </c>
      <c r="H12" s="189">
        <f>+H$3*COBERTURA_BOSQUE!H43</f>
        <v>24.542601270811758</v>
      </c>
      <c r="I12" s="189">
        <f>+I$3*COBERTURA_BOSQUE!I43</f>
        <v>39.565842211479122</v>
      </c>
      <c r="J12" s="189">
        <f>+J$3*COBERTURA_BOSQUE!J43</f>
        <v>37.766957433685057</v>
      </c>
      <c r="K12" s="190">
        <f>+K$3*COBERTURA_BOSQUE!K43</f>
        <v>36.0058475822213</v>
      </c>
      <c r="L12" s="190">
        <f>+L$3*COBERTURA_BOSQUE!L43</f>
        <v>30.086758458357806</v>
      </c>
      <c r="M12" s="190">
        <f>+M$3*COBERTURA_BOSQUE!M43</f>
        <v>30.086758458357806</v>
      </c>
      <c r="N12" s="190">
        <f>+N$3*COBERTURA_BOSQUE!N43</f>
        <v>7.3850580736594882</v>
      </c>
      <c r="O12" s="190">
        <f>+O$3*COBERTURA_BOSQUE!P43</f>
        <v>7.3850580736594882</v>
      </c>
      <c r="P12" s="398">
        <f t="shared" si="2"/>
        <v>35.598987109904051</v>
      </c>
      <c r="Q12" s="398">
        <f t="shared" si="2"/>
        <v>35.33046860604172</v>
      </c>
      <c r="R12" s="398">
        <f t="shared" si="2"/>
        <v>35.063976023465109</v>
      </c>
      <c r="S12" s="398">
        <f t="shared" si="2"/>
        <v>34.799494072934387</v>
      </c>
      <c r="T12" s="398">
        <f t="shared" si="2"/>
        <v>34.537007580622038</v>
      </c>
      <c r="U12" s="398">
        <f t="shared" si="2"/>
        <v>34.276534890423648</v>
      </c>
      <c r="V12" s="398">
        <f t="shared" si="2"/>
        <v>34.017960595321561</v>
      </c>
      <c r="W12" s="398">
        <f t="shared" si="2"/>
        <v>33.761337692483714</v>
      </c>
      <c r="X12" s="398">
        <f t="shared" si="2"/>
        <v>33.506749337067653</v>
      </c>
      <c r="Y12" s="398">
        <f t="shared" si="2"/>
        <v>33.254016007227527</v>
      </c>
      <c r="Z12" s="398">
        <f t="shared" si="2"/>
        <v>33.003189473725072</v>
      </c>
      <c r="AA12" s="398">
        <f t="shared" si="2"/>
        <v>32.754255346550373</v>
      </c>
      <c r="AB12" s="399">
        <f t="shared" si="2"/>
        <v>32.507230968614849</v>
      </c>
    </row>
    <row r="13" spans="2:28" ht="15" thickBot="1" x14ac:dyDescent="0.35">
      <c r="B13" s="186" t="s">
        <v>12</v>
      </c>
      <c r="C13" s="196">
        <f>+C$3*COBERTURA_BOSQUE!C44</f>
        <v>1.4974162261792896</v>
      </c>
      <c r="D13" s="196">
        <f>+D$3*COBERTURA_BOSQUE!D44</f>
        <v>1.4424232572911531</v>
      </c>
      <c r="E13" s="196">
        <f>+E$3*COBERTURA_BOSQUE!E44</f>
        <v>1.3913264604132578</v>
      </c>
      <c r="F13" s="196">
        <f>+F$3*COBERTURA_BOSQUE!F44</f>
        <v>1.3596164781080244</v>
      </c>
      <c r="G13" s="196">
        <f>+G$3*COBERTURA_BOSQUE!G44</f>
        <v>1.3293197034306672</v>
      </c>
      <c r="H13" s="196">
        <f>+H$3*COBERTURA_BOSQUE!H44</f>
        <v>6.1548321001262689</v>
      </c>
      <c r="I13" s="196">
        <f>+I$3*COBERTURA_BOSQUE!I44</f>
        <v>14.282821229360177</v>
      </c>
      <c r="J13" s="196">
        <f>+J$3*COBERTURA_BOSQUE!J44</f>
        <v>12.91377623832159</v>
      </c>
      <c r="K13" s="197">
        <f>+K$3*COBERTURA_BOSQUE!K44</f>
        <v>11.635033262351316</v>
      </c>
      <c r="L13" s="197">
        <f>+L$3*COBERTURA_BOSQUE!L44</f>
        <v>9.7223217595403337</v>
      </c>
      <c r="M13" s="197">
        <f>+M$3*COBERTURA_BOSQUE!M44</f>
        <v>9.7223217595403337</v>
      </c>
      <c r="N13" s="197">
        <f>+N$3*COBERTURA_BOSQUE!N44</f>
        <v>3.1167263601281672</v>
      </c>
      <c r="O13" s="197">
        <f>+O$3*COBERTURA_BOSQUE!P44</f>
        <v>3.1167263601281672</v>
      </c>
      <c r="P13" s="398">
        <f t="shared" si="2"/>
        <v>2.5170506031814583</v>
      </c>
      <c r="Q13" s="398">
        <f t="shared" si="2"/>
        <v>2.4980648196807804</v>
      </c>
      <c r="R13" s="398">
        <f t="shared" si="2"/>
        <v>2.4792222803229342</v>
      </c>
      <c r="S13" s="398">
        <f t="shared" si="2"/>
        <v>2.4605219040718138</v>
      </c>
      <c r="T13" s="398">
        <f t="shared" si="2"/>
        <v>2.4419626180516238</v>
      </c>
      <c r="U13" s="398">
        <f t="shared" si="2"/>
        <v>2.4235457192799794</v>
      </c>
      <c r="V13" s="398">
        <f t="shared" si="2"/>
        <v>2.4052630478251826</v>
      </c>
      <c r="W13" s="398">
        <f t="shared" si="2"/>
        <v>2.3871183508880485</v>
      </c>
      <c r="X13" s="398">
        <f t="shared" si="2"/>
        <v>2.3691175080105631</v>
      </c>
      <c r="Y13" s="398">
        <f t="shared" si="2"/>
        <v>2.3512478259784828</v>
      </c>
      <c r="Z13" s="398">
        <f t="shared" si="2"/>
        <v>2.3335129652787345</v>
      </c>
      <c r="AA13" s="398">
        <f t="shared" si="2"/>
        <v>2.3159119084558788</v>
      </c>
      <c r="AB13" s="399">
        <f t="shared" si="2"/>
        <v>2.2984458817522664</v>
      </c>
    </row>
    <row r="14" spans="2:28" ht="15" thickBot="1" x14ac:dyDescent="0.35">
      <c r="B14" s="142" t="s">
        <v>34</v>
      </c>
      <c r="C14" s="187"/>
      <c r="D14" s="187"/>
      <c r="E14" s="187"/>
      <c r="F14" s="187"/>
      <c r="G14" s="187"/>
      <c r="H14" s="187"/>
      <c r="I14" s="187"/>
      <c r="J14" s="187"/>
      <c r="K14" s="187"/>
      <c r="L14" s="187"/>
      <c r="M14" s="187"/>
      <c r="N14" s="187"/>
      <c r="O14" s="187"/>
      <c r="P14" s="187"/>
      <c r="Q14" s="187"/>
      <c r="R14" s="187"/>
      <c r="S14" s="187"/>
      <c r="T14" s="187"/>
      <c r="U14" s="187"/>
      <c r="V14" s="187"/>
      <c r="W14" s="187"/>
      <c r="X14" s="187"/>
      <c r="Y14" s="187"/>
      <c r="Z14" s="187"/>
      <c r="AA14" s="187"/>
      <c r="AB14" s="188"/>
    </row>
    <row r="15" spans="2:28" x14ac:dyDescent="0.3">
      <c r="B15" s="191" t="s">
        <v>2</v>
      </c>
      <c r="C15" s="489">
        <f>+COBERTURA_CAMBIOS_TF!E74/1000</f>
        <v>4.1999999999999996E-4</v>
      </c>
      <c r="D15" s="489">
        <f>+COBERTURA_CAMBIOS_TF!F74/1000</f>
        <v>4.1999999999999996E-4</v>
      </c>
      <c r="E15" s="489">
        <f>+COBERTURA_CAMBIOS_TF!G74/1000</f>
        <v>4.1999999999999996E-4</v>
      </c>
      <c r="F15" s="489">
        <f>+COBERTURA_CAMBIOS_TF!H74/1000</f>
        <v>4.1999999999999996E-4</v>
      </c>
      <c r="G15" s="489">
        <f>+COBERTURA_CAMBIOS_TF!I74/1000</f>
        <v>4.1999999999999996E-4</v>
      </c>
      <c r="H15" s="489">
        <f>+COBERTURA_CAMBIOS_TF!J74/1000</f>
        <v>1.8772500000000001E-2</v>
      </c>
      <c r="I15" s="489">
        <f>+COBERTURA_CAMBIOS_TF!K74/1000</f>
        <v>3.7124999999999998E-2</v>
      </c>
      <c r="J15" s="489">
        <f>+COBERTURA_CAMBIOS_TF!L74/1000</f>
        <v>2.8372500000000002E-2</v>
      </c>
      <c r="K15" s="490">
        <f>+COBERTURA_CAMBIOS_TF!M74/1000</f>
        <v>1.9620000000000002E-2</v>
      </c>
      <c r="L15" s="490">
        <f>+COBERTURA_CAMBIOS_TF!N74/1000</f>
        <v>8.369999999999999E-3</v>
      </c>
      <c r="M15" s="490">
        <f>+COBERTURA_CAMBIOS_TF!O74/1000</f>
        <v>8.369999999999999E-3</v>
      </c>
      <c r="N15" s="490">
        <f>+COBERTURA_CAMBIOS_TF!P74/1000</f>
        <v>7.1999999999999994E-4</v>
      </c>
      <c r="O15" s="490">
        <f>+COBERTURA_CAMBIOS_TF!Q74/1000</f>
        <v>7.1999999999999994E-4</v>
      </c>
      <c r="P15" s="489">
        <f>+COBERTURA_CAMBIOS_TF!R74/1000</f>
        <v>6.1320115082699441E-4</v>
      </c>
      <c r="Q15" s="489">
        <f>+COBERTURA_CAMBIOS_TF!S74/1000</f>
        <v>6.0857585474544064E-4</v>
      </c>
      <c r="R15" s="489">
        <f>+COBERTURA_CAMBIOS_TF!T74/1000</f>
        <v>6.0398545564733326E-4</v>
      </c>
      <c r="S15" s="489">
        <f>+COBERTURA_CAMBIOS_TF!U74/1000</f>
        <v>5.9942969017182384E-4</v>
      </c>
      <c r="T15" s="489">
        <f>+COBERTURA_CAMBIOS_TF!V74/1000</f>
        <v>5.9490829694606854E-4</v>
      </c>
      <c r="U15" s="489">
        <f>+COBERTURA_CAMBIOS_TF!W74/1000</f>
        <v>5.9042159194809898E-4</v>
      </c>
      <c r="V15" s="489">
        <f>+COBERTURA_CAMBIOS_TF!X74/1000</f>
        <v>5.8596758726416336E-4</v>
      </c>
      <c r="W15" s="489">
        <f>+COBERTURA_CAMBIOS_TF!Y74/1000</f>
        <v>5.815471957832791E-4</v>
      </c>
      <c r="X15" s="489">
        <f>+COBERTURA_CAMBIOS_TF!Z74/1000</f>
        <v>5.7716184987311836E-4</v>
      </c>
      <c r="Y15" s="489">
        <f>+COBERTURA_CAMBIOS_TF!AA74/1000</f>
        <v>5.7280845722652851E-4</v>
      </c>
      <c r="Z15" s="489">
        <f>+COBERTURA_CAMBIOS_TF!AB74/1000</f>
        <v>5.68487909607384E-4</v>
      </c>
      <c r="AA15" s="489">
        <f>+COBERTURA_CAMBIOS_TF!AC74/1000</f>
        <v>5.6419995914428866E-4</v>
      </c>
      <c r="AB15" s="491">
        <f>+COBERTURA_CAMBIOS_TF!AD74/1000</f>
        <v>5.5994490457308022E-4</v>
      </c>
    </row>
    <row r="16" spans="2:28" x14ac:dyDescent="0.3">
      <c r="B16" s="185" t="s">
        <v>4</v>
      </c>
      <c r="C16" s="492">
        <f>+COBERTURA_CAMBIOS_TF!E75/1000</f>
        <v>0.49768499999999993</v>
      </c>
      <c r="D16" s="492">
        <f>+COBERTURA_CAMBIOS_TF!F75/1000</f>
        <v>0.49768499999999993</v>
      </c>
      <c r="E16" s="492">
        <f>+COBERTURA_CAMBIOS_TF!G75/1000</f>
        <v>0.49768499999999993</v>
      </c>
      <c r="F16" s="492">
        <f>+COBERTURA_CAMBIOS_TF!H75/1000</f>
        <v>0.49768499999999993</v>
      </c>
      <c r="G16" s="492">
        <f>+COBERTURA_CAMBIOS_TF!I75/1000</f>
        <v>0.49768499999999993</v>
      </c>
      <c r="H16" s="492">
        <f>+COBERTURA_CAMBIOS_TF!J75/1000</f>
        <v>0.48675749999999995</v>
      </c>
      <c r="I16" s="492">
        <f>+COBERTURA_CAMBIOS_TF!K75/1000</f>
        <v>0.47582999999999998</v>
      </c>
      <c r="J16" s="492">
        <f>+COBERTURA_CAMBIOS_TF!L75/1000</f>
        <v>0.29945250000000001</v>
      </c>
      <c r="K16" s="493">
        <f>+COBERTURA_CAMBIOS_TF!M75/1000</f>
        <v>0.123075</v>
      </c>
      <c r="L16" s="493">
        <f>+COBERTURA_CAMBIOS_TF!N75/1000</f>
        <v>8.7349999999999997E-2</v>
      </c>
      <c r="M16" s="493">
        <f>+COBERTURA_CAMBIOS_TF!O75/1000</f>
        <v>8.7349999999999997E-2</v>
      </c>
      <c r="N16" s="493">
        <f>+COBERTURA_CAMBIOS_TF!P75/1000</f>
        <v>1.332E-2</v>
      </c>
      <c r="O16" s="493">
        <f>+COBERTURA_CAMBIOS_TF!Q75/1000</f>
        <v>1.332E-2</v>
      </c>
      <c r="P16" s="492">
        <f>+COBERTURA_CAMBIOS_TF!R75/1000</f>
        <v>1.1344221290299397E-2</v>
      </c>
      <c r="Q16" s="492">
        <f>+COBERTURA_CAMBIOS_TF!S75/1000</f>
        <v>1.1258653312790653E-2</v>
      </c>
      <c r="R16" s="492">
        <f>+COBERTURA_CAMBIOS_TF!T75/1000</f>
        <v>1.1173730929475666E-2</v>
      </c>
      <c r="S16" s="492">
        <f>+COBERTURA_CAMBIOS_TF!U75/1000</f>
        <v>1.1089449268178741E-2</v>
      </c>
      <c r="T16" s="492">
        <f>+COBERTURA_CAMBIOS_TF!V75/1000</f>
        <v>1.1005803493502268E-2</v>
      </c>
      <c r="U16" s="492">
        <f>+COBERTURA_CAMBIOS_TF!W75/1000</f>
        <v>1.0922799451039833E-2</v>
      </c>
      <c r="V16" s="492">
        <f>+COBERTURA_CAMBIOS_TF!X75/1000</f>
        <v>1.0840400364387022E-2</v>
      </c>
      <c r="W16" s="492">
        <f>+COBERTURA_CAMBIOS_TF!Y75/1000</f>
        <v>1.0758623121990663E-2</v>
      </c>
      <c r="X16" s="492">
        <f>+COBERTURA_CAMBIOS_TF!Z75/1000</f>
        <v>1.0677494222652691E-2</v>
      </c>
      <c r="Y16" s="492">
        <f>+COBERTURA_CAMBIOS_TF!AA75/1000</f>
        <v>1.0596956458690777E-2</v>
      </c>
      <c r="Z16" s="492">
        <f>+COBERTURA_CAMBIOS_TF!AB75/1000</f>
        <v>1.0517026327736606E-2</v>
      </c>
      <c r="AA16" s="492">
        <f>+COBERTURA_CAMBIOS_TF!AC75/1000</f>
        <v>1.0437699244169341E-2</v>
      </c>
      <c r="AB16" s="494">
        <f>+COBERTURA_CAMBIOS_TF!AD75/1000</f>
        <v>1.0358980734601985E-2</v>
      </c>
    </row>
    <row r="17" spans="2:30" x14ac:dyDescent="0.3">
      <c r="B17" s="185" t="s">
        <v>5</v>
      </c>
      <c r="C17" s="492">
        <f>+COBERTURA_CAMBIOS_TF!E76/1000</f>
        <v>5.2049999999999992E-2</v>
      </c>
      <c r="D17" s="492">
        <f>+COBERTURA_CAMBIOS_TF!F76/1000</f>
        <v>5.2049999999999992E-2</v>
      </c>
      <c r="E17" s="492">
        <f>+COBERTURA_CAMBIOS_TF!G76/1000</f>
        <v>5.2049999999999992E-2</v>
      </c>
      <c r="F17" s="492">
        <f>+COBERTURA_CAMBIOS_TF!H76/1000</f>
        <v>5.2049999999999992E-2</v>
      </c>
      <c r="G17" s="492">
        <f>+COBERTURA_CAMBIOS_TF!I76/1000</f>
        <v>5.2049999999999992E-2</v>
      </c>
      <c r="H17" s="492">
        <f>+COBERTURA_CAMBIOS_TF!J76/1000</f>
        <v>0.24483750000000001</v>
      </c>
      <c r="I17" s="492">
        <f>+COBERTURA_CAMBIOS_TF!K76/1000</f>
        <v>0.43762499999999999</v>
      </c>
      <c r="J17" s="492">
        <f>+COBERTURA_CAMBIOS_TF!L76/1000</f>
        <v>0.33203250000000001</v>
      </c>
      <c r="K17" s="493">
        <f>+COBERTURA_CAMBIOS_TF!M76/1000</f>
        <v>0.22644</v>
      </c>
      <c r="L17" s="493">
        <f>+COBERTURA_CAMBIOS_TF!N76/1000</f>
        <v>0.22040999999999999</v>
      </c>
      <c r="M17" s="493">
        <f>+COBERTURA_CAMBIOS_TF!O76/1000</f>
        <v>0.22040999999999999</v>
      </c>
      <c r="N17" s="493">
        <f>+COBERTURA_CAMBIOS_TF!P76/1000</f>
        <v>3.8299999999999994E-2</v>
      </c>
      <c r="O17" s="493">
        <f>+COBERTURA_CAMBIOS_TF!Q76/1000</f>
        <v>3.8299999999999994E-2</v>
      </c>
      <c r="P17" s="492">
        <f>+COBERTURA_CAMBIOS_TF!R76/1000</f>
        <v>3.2618894550935945E-2</v>
      </c>
      <c r="Q17" s="492">
        <f>+COBERTURA_CAMBIOS_TF!S76/1000</f>
        <v>3.237285449548663E-2</v>
      </c>
      <c r="R17" s="492">
        <f>+COBERTURA_CAMBIOS_TF!T76/1000</f>
        <v>3.2128670765684535E-2</v>
      </c>
      <c r="S17" s="492">
        <f>+COBERTURA_CAMBIOS_TF!U76/1000</f>
        <v>3.1886329352195625E-2</v>
      </c>
      <c r="T17" s="492">
        <f>+COBERTURA_CAMBIOS_TF!V76/1000</f>
        <v>3.1645816351436699E-2</v>
      </c>
      <c r="U17" s="492">
        <f>+COBERTURA_CAMBIOS_TF!W76/1000</f>
        <v>3.1407148571683599E-2</v>
      </c>
      <c r="V17" s="492">
        <f>+COBERTURA_CAMBIOS_TF!X76/1000</f>
        <v>3.1170220266968685E-2</v>
      </c>
      <c r="W17" s="492">
        <f>+COBERTURA_CAMBIOS_TF!Y76/1000</f>
        <v>3.0935079997916087E-2</v>
      </c>
      <c r="X17" s="492">
        <f>+COBERTURA_CAMBIOS_TF!Z76/1000</f>
        <v>3.0701803958528374E-2</v>
      </c>
      <c r="Y17" s="492">
        <f>+COBERTURA_CAMBIOS_TF!AA76/1000</f>
        <v>3.04702276552445E-2</v>
      </c>
      <c r="Z17" s="492">
        <f>+COBERTURA_CAMBIOS_TF!AB76/1000</f>
        <v>3.0240398524948343E-2</v>
      </c>
      <c r="AA17" s="492">
        <f>+COBERTURA_CAMBIOS_TF!AC76/1000</f>
        <v>3.0012303382258687E-2</v>
      </c>
      <c r="AB17" s="494">
        <f>+COBERTURA_CAMBIOS_TF!AD76/1000</f>
        <v>2.9785958118262457E-2</v>
      </c>
    </row>
    <row r="18" spans="2:30" x14ac:dyDescent="0.3">
      <c r="B18" s="185" t="s">
        <v>6</v>
      </c>
      <c r="C18" s="492">
        <f>+COBERTURA_CAMBIOS_TF!E77/1000</f>
        <v>2.2185000000000003E-2</v>
      </c>
      <c r="D18" s="492">
        <f>+COBERTURA_CAMBIOS_TF!F77/1000</f>
        <v>2.2185000000000003E-2</v>
      </c>
      <c r="E18" s="492">
        <f>+COBERTURA_CAMBIOS_TF!G77/1000</f>
        <v>2.2185000000000003E-2</v>
      </c>
      <c r="F18" s="492">
        <f>+COBERTURA_CAMBIOS_TF!H77/1000</f>
        <v>2.2185000000000003E-2</v>
      </c>
      <c r="G18" s="492">
        <f>+COBERTURA_CAMBIOS_TF!I77/1000</f>
        <v>2.2185000000000003E-2</v>
      </c>
      <c r="H18" s="492">
        <f>+COBERTURA_CAMBIOS_TF!J77/1000</f>
        <v>6.3247499999999998E-2</v>
      </c>
      <c r="I18" s="492">
        <f>+COBERTURA_CAMBIOS_TF!K77/1000</f>
        <v>0.10431</v>
      </c>
      <c r="J18" s="492">
        <f>+COBERTURA_CAMBIOS_TF!L77/1000</f>
        <v>0.125865</v>
      </c>
      <c r="K18" s="493">
        <f>+COBERTURA_CAMBIOS_TF!M77/1000</f>
        <v>0.14742</v>
      </c>
      <c r="L18" s="493">
        <f>+COBERTURA_CAMBIOS_TF!N77/1000</f>
        <v>4.9950000000000001E-2</v>
      </c>
      <c r="M18" s="493">
        <f>+COBERTURA_CAMBIOS_TF!O77/1000</f>
        <v>4.9950000000000001E-2</v>
      </c>
      <c r="N18" s="493">
        <f>+COBERTURA_CAMBIOS_TF!P77/1000</f>
        <v>6.2060000000000004E-2</v>
      </c>
      <c r="O18" s="493">
        <f>+COBERTURA_CAMBIOS_TF!Q77/1000</f>
        <v>6.2060000000000004E-2</v>
      </c>
      <c r="P18" s="492">
        <f>+COBERTURA_CAMBIOS_TF!R77/1000</f>
        <v>5.2854532528226771E-2</v>
      </c>
      <c r="Q18" s="492">
        <f>+COBERTURA_CAMBIOS_TF!S77/1000</f>
        <v>5.2455857702086169E-2</v>
      </c>
      <c r="R18" s="492">
        <f>+COBERTURA_CAMBIOS_TF!T77/1000</f>
        <v>5.2060190802046533E-2</v>
      </c>
      <c r="S18" s="492">
        <f>+COBERTURA_CAMBIOS_TF!U77/1000</f>
        <v>5.1667509127865816E-2</v>
      </c>
      <c r="T18" s="492">
        <f>+COBERTURA_CAMBIOS_TF!V77/1000</f>
        <v>5.1277790150656956E-2</v>
      </c>
      <c r="U18" s="492">
        <f>+COBERTURA_CAMBIOS_TF!W77/1000</f>
        <v>5.0891061105970865E-2</v>
      </c>
      <c r="V18" s="492">
        <f>+COBERTURA_CAMBIOS_TF!X77/1000</f>
        <v>5.050715064668608E-2</v>
      </c>
      <c r="W18" s="492">
        <f>+COBERTURA_CAMBIOS_TF!Y77/1000</f>
        <v>5.0126137458764299E-2</v>
      </c>
      <c r="X18" s="492">
        <f>+COBERTURA_CAMBIOS_TF!Z77/1000</f>
        <v>4.9748145004341285E-2</v>
      </c>
      <c r="Y18" s="492">
        <f>+COBERTURA_CAMBIOS_TF!AA77/1000</f>
        <v>4.9372906743719941E-2</v>
      </c>
      <c r="Z18" s="492">
        <f>+COBERTURA_CAMBIOS_TF!AB77/1000</f>
        <v>4.9000499541992017E-2</v>
      </c>
      <c r="AA18" s="492">
        <f>+COBERTURA_CAMBIOS_TF!AC77/1000</f>
        <v>4.8630902034020207E-2</v>
      </c>
      <c r="AB18" s="494">
        <f>+COBERTURA_CAMBIOS_TF!AD77/1000</f>
        <v>4.8264139969174107E-2</v>
      </c>
    </row>
    <row r="19" spans="2:30" x14ac:dyDescent="0.3">
      <c r="B19" s="185" t="s">
        <v>7</v>
      </c>
      <c r="C19" s="492">
        <f>+COBERTURA_CAMBIOS_TF!E78/1000</f>
        <v>7.6410000000000006E-2</v>
      </c>
      <c r="D19" s="492">
        <f>+COBERTURA_CAMBIOS_TF!F78/1000</f>
        <v>7.6410000000000006E-2</v>
      </c>
      <c r="E19" s="492">
        <f>+COBERTURA_CAMBIOS_TF!G78/1000</f>
        <v>7.6410000000000006E-2</v>
      </c>
      <c r="F19" s="492">
        <f>+COBERTURA_CAMBIOS_TF!H78/1000</f>
        <v>7.6410000000000006E-2</v>
      </c>
      <c r="G19" s="492">
        <f>+COBERTURA_CAMBIOS_TF!I78/1000</f>
        <v>7.6410000000000006E-2</v>
      </c>
      <c r="H19" s="492">
        <f>+COBERTURA_CAMBIOS_TF!J78/1000</f>
        <v>0.14791500000000002</v>
      </c>
      <c r="I19" s="492">
        <f>+COBERTURA_CAMBIOS_TF!K78/1000</f>
        <v>0.21942</v>
      </c>
      <c r="J19" s="492">
        <f>+COBERTURA_CAMBIOS_TF!L78/1000</f>
        <v>0.17732249999999999</v>
      </c>
      <c r="K19" s="493">
        <f>+COBERTURA_CAMBIOS_TF!M78/1000</f>
        <v>0.13522499999999998</v>
      </c>
      <c r="L19" s="493">
        <f>+COBERTURA_CAMBIOS_TF!N78/1000</f>
        <v>0.10215</v>
      </c>
      <c r="M19" s="493">
        <f>+COBERTURA_CAMBIOS_TF!O78/1000</f>
        <v>0.10215</v>
      </c>
      <c r="N19" s="493">
        <f>+COBERTURA_CAMBIOS_TF!P78/1000</f>
        <v>7.3400000000000002E-3</v>
      </c>
      <c r="O19" s="493">
        <f>+COBERTURA_CAMBIOS_TF!Q78/1000</f>
        <v>7.3400000000000002E-3</v>
      </c>
      <c r="P19" s="492">
        <f>+COBERTURA_CAMBIOS_TF!R78/1000</f>
        <v>6.251245065375193E-3</v>
      </c>
      <c r="Q19" s="492">
        <f>+COBERTURA_CAMBIOS_TF!S78/1000</f>
        <v>6.2040927414326857E-3</v>
      </c>
      <c r="R19" s="492">
        <f>+COBERTURA_CAMBIOS_TF!T78/1000</f>
        <v>6.1572961728492033E-3</v>
      </c>
      <c r="S19" s="492">
        <f>+COBERTURA_CAMBIOS_TF!U78/1000</f>
        <v>6.1108526748072031E-3</v>
      </c>
      <c r="T19" s="492">
        <f>+COBERTURA_CAMBIOS_TF!V78/1000</f>
        <v>6.0647595827557537E-3</v>
      </c>
      <c r="U19" s="492">
        <f>+COBERTURA_CAMBIOS_TF!W78/1000</f>
        <v>6.0190201179153423E-3</v>
      </c>
      <c r="V19" s="492">
        <f>+COBERTURA_CAMBIOS_TF!X78/1000</f>
        <v>5.9736140146096654E-3</v>
      </c>
      <c r="W19" s="492">
        <f>+COBERTURA_CAMBIOS_TF!Y78/1000</f>
        <v>5.9285505792350942E-3</v>
      </c>
      <c r="X19" s="492">
        <f>+COBERTURA_CAMBIOS_TF!Z78/1000</f>
        <v>5.8838444139842896E-3</v>
      </c>
      <c r="Y19" s="492">
        <f>+COBERTURA_CAMBIOS_TF!AA78/1000</f>
        <v>5.8394639945037767E-3</v>
      </c>
      <c r="Z19" s="492">
        <f>+COBERTURA_CAMBIOS_TF!AB78/1000</f>
        <v>5.7954184118308317E-3</v>
      </c>
      <c r="AA19" s="492">
        <f>+COBERTURA_CAMBIOS_TF!AC78/1000</f>
        <v>5.7517051390542761E-3</v>
      </c>
      <c r="AB19" s="494">
        <f>+COBERTURA_CAMBIOS_TF!AD78/1000</f>
        <v>5.7083272216200114E-3</v>
      </c>
    </row>
    <row r="20" spans="2:30" x14ac:dyDescent="0.3">
      <c r="B20" s="185" t="s">
        <v>8</v>
      </c>
      <c r="C20" s="492">
        <f>+COBERTURA_CAMBIOS_TF!E79/1000</f>
        <v>6.4304999999999987E-2</v>
      </c>
      <c r="D20" s="492">
        <f>+COBERTURA_CAMBIOS_TF!F79/1000</f>
        <v>6.4304999999999987E-2</v>
      </c>
      <c r="E20" s="492">
        <f>+COBERTURA_CAMBIOS_TF!G79/1000</f>
        <v>6.4304999999999987E-2</v>
      </c>
      <c r="F20" s="492">
        <f>+COBERTURA_CAMBIOS_TF!H79/1000</f>
        <v>6.4304999999999987E-2</v>
      </c>
      <c r="G20" s="492">
        <f>+COBERTURA_CAMBIOS_TF!I79/1000</f>
        <v>6.4304999999999987E-2</v>
      </c>
      <c r="H20" s="492">
        <f>+COBERTURA_CAMBIOS_TF!J79/1000</f>
        <v>0.28527749999999996</v>
      </c>
      <c r="I20" s="492">
        <f>+COBERTURA_CAMBIOS_TF!K79/1000</f>
        <v>0.50624999999999998</v>
      </c>
      <c r="J20" s="492">
        <f>+COBERTURA_CAMBIOS_TF!L79/1000</f>
        <v>0.58918499999999996</v>
      </c>
      <c r="K20" s="493">
        <f>+COBERTURA_CAMBIOS_TF!M79/1000</f>
        <v>0.67211999999999994</v>
      </c>
      <c r="L20" s="493">
        <f>+COBERTURA_CAMBIOS_TF!N79/1000</f>
        <v>0.58298000000000005</v>
      </c>
      <c r="M20" s="493">
        <f>+COBERTURA_CAMBIOS_TF!O79/1000</f>
        <v>0.58298000000000005</v>
      </c>
      <c r="N20" s="493">
        <f>+COBERTURA_CAMBIOS_TF!P79/1000</f>
        <v>0.17036999999999999</v>
      </c>
      <c r="O20" s="493">
        <f>+COBERTURA_CAMBIOS_TF!Q79/1000</f>
        <v>0.17036999999999999</v>
      </c>
      <c r="P20" s="492">
        <f>+COBERTURA_CAMBIOS_TF!R79/1000</f>
        <v>0.14509872231443757</v>
      </c>
      <c r="Q20" s="492">
        <f>+COBERTURA_CAMBIOS_TF!S79/1000</f>
        <v>0.1440042616291399</v>
      </c>
      <c r="R20" s="492">
        <f>+COBERTURA_CAMBIOS_TF!T79/1000</f>
        <v>0.14291805844255026</v>
      </c>
      <c r="S20" s="492">
        <f>+COBERTURA_CAMBIOS_TF!U79/1000</f>
        <v>0.14184005043690784</v>
      </c>
      <c r="T20" s="492">
        <f>+COBERTURA_CAMBIOS_TF!V79/1000</f>
        <v>0.14077017576486348</v>
      </c>
      <c r="U20" s="492">
        <f>+COBERTURA_CAMBIOS_TF!W79/1000</f>
        <v>0.13970850919471894</v>
      </c>
      <c r="V20" s="492">
        <f>+COBERTURA_CAMBIOS_TF!X79/1000</f>
        <v>0.13865458033638264</v>
      </c>
      <c r="W20" s="492">
        <f>+COBERTURA_CAMBIOS_TF!Y79/1000</f>
        <v>0.13760860520221843</v>
      </c>
      <c r="X20" s="492">
        <f>+COBERTURA_CAMBIOS_TF!Z79/1000</f>
        <v>0.13657092272622662</v>
      </c>
      <c r="Y20" s="492">
        <f>+COBERTURA_CAMBIOS_TF!AA79/1000</f>
        <v>0.13554080119122733</v>
      </c>
      <c r="Z20" s="492">
        <f>+COBERTURA_CAMBIOS_TF!AB79/1000</f>
        <v>0.13451845161084725</v>
      </c>
      <c r="AA20" s="492">
        <f>+COBERTURA_CAMBIOS_TF!AC79/1000</f>
        <v>0.13350381533251732</v>
      </c>
      <c r="AB20" s="494">
        <f>+COBERTURA_CAMBIOS_TF!AD79/1000</f>
        <v>0.13249696304460512</v>
      </c>
    </row>
    <row r="21" spans="2:30" x14ac:dyDescent="0.3">
      <c r="B21" s="185" t="s">
        <v>9</v>
      </c>
      <c r="C21" s="492">
        <f>+COBERTURA_CAMBIOS_TF!E80/1000</f>
        <v>1.7655000000000001E-2</v>
      </c>
      <c r="D21" s="492">
        <f>+COBERTURA_CAMBIOS_TF!F80/1000</f>
        <v>1.7655000000000001E-2</v>
      </c>
      <c r="E21" s="492">
        <f>+COBERTURA_CAMBIOS_TF!G80/1000</f>
        <v>1.7655000000000001E-2</v>
      </c>
      <c r="F21" s="492">
        <f>+COBERTURA_CAMBIOS_TF!H80/1000</f>
        <v>1.7655000000000001E-2</v>
      </c>
      <c r="G21" s="492">
        <f>+COBERTURA_CAMBIOS_TF!I80/1000</f>
        <v>1.7655000000000001E-2</v>
      </c>
      <c r="H21" s="492">
        <f>+COBERTURA_CAMBIOS_TF!J80/1000</f>
        <v>3.2362499999999995E-2</v>
      </c>
      <c r="I21" s="492">
        <f>+COBERTURA_CAMBIOS_TF!K80/1000</f>
        <v>4.7070000000000001E-2</v>
      </c>
      <c r="J21" s="492">
        <f>+COBERTURA_CAMBIOS_TF!L80/1000</f>
        <v>6.2617499999999993E-2</v>
      </c>
      <c r="K21" s="493">
        <f>+COBERTURA_CAMBIOS_TF!M80/1000</f>
        <v>7.8164999999999984E-2</v>
      </c>
      <c r="L21" s="493">
        <f>+COBERTURA_CAMBIOS_TF!N80/1000</f>
        <v>7.3219999999999993E-2</v>
      </c>
      <c r="M21" s="493">
        <f>+COBERTURA_CAMBIOS_TF!O80/1000</f>
        <v>7.3219999999999993E-2</v>
      </c>
      <c r="N21" s="493">
        <f>+COBERTURA_CAMBIOS_TF!P80/1000</f>
        <v>3.3799999999999998E-3</v>
      </c>
      <c r="O21" s="493">
        <f>+COBERTURA_CAMBIOS_TF!Q80/1000</f>
        <v>3.3799999999999998E-3</v>
      </c>
      <c r="P21" s="492">
        <f>+COBERTURA_CAMBIOS_TF!R80/1000</f>
        <v>2.8786387358267235E-3</v>
      </c>
      <c r="Q21" s="492">
        <f>+COBERTURA_CAMBIOS_TF!S80/1000</f>
        <v>2.8569255403327627E-3</v>
      </c>
      <c r="R21" s="492">
        <f>+COBERTURA_CAMBIOS_TF!T80/1000</f>
        <v>2.8353761667888697E-3</v>
      </c>
      <c r="S21" s="492">
        <f>+COBERTURA_CAMBIOS_TF!U80/1000</f>
        <v>2.8139893788621728E-3</v>
      </c>
      <c r="T21" s="492">
        <f>+COBERTURA_CAMBIOS_TF!V80/1000</f>
        <v>2.792763949552377E-3</v>
      </c>
      <c r="U21" s="492">
        <f>+COBERTURA_CAMBIOS_TF!W80/1000</f>
        <v>2.7717013622007981E-3</v>
      </c>
      <c r="V21" s="492">
        <f>+COBERTURA_CAMBIOS_TF!X80/1000</f>
        <v>2.7507922846567662E-3</v>
      </c>
      <c r="W21" s="492">
        <f>+COBERTURA_CAMBIOS_TF!Y80/1000</f>
        <v>2.7300410024270593E-3</v>
      </c>
      <c r="X21" s="492">
        <f>+COBERTURA_CAMBIOS_TF!Z80/1000</f>
        <v>2.7094542396821387E-3</v>
      </c>
      <c r="Y21" s="492">
        <f>+COBERTURA_CAMBIOS_TF!AA80/1000</f>
        <v>2.6890174797578699E-3</v>
      </c>
      <c r="Z21" s="492">
        <f>+COBERTURA_CAMBIOS_TF!AB80/1000</f>
        <v>2.6687349089902193E-3</v>
      </c>
      <c r="AA21" s="492">
        <f>+COBERTURA_CAMBIOS_TF!AC80/1000</f>
        <v>2.6486053637606883E-3</v>
      </c>
      <c r="AB21" s="494">
        <f>+COBERTURA_CAMBIOS_TF!AD80/1000</f>
        <v>2.6286302464680706E-3</v>
      </c>
    </row>
    <row r="22" spans="2:30" x14ac:dyDescent="0.3">
      <c r="B22" s="185" t="s">
        <v>10</v>
      </c>
      <c r="C22" s="492">
        <f>+COBERTURA_CAMBIOS_TF!E81/1000</f>
        <v>7.1250000000000008E-2</v>
      </c>
      <c r="D22" s="492">
        <f>+COBERTURA_CAMBIOS_TF!F81/1000</f>
        <v>7.1250000000000008E-2</v>
      </c>
      <c r="E22" s="492">
        <f>+COBERTURA_CAMBIOS_TF!G81/1000</f>
        <v>7.1250000000000008E-2</v>
      </c>
      <c r="F22" s="492">
        <f>+COBERTURA_CAMBIOS_TF!H81/1000</f>
        <v>7.1250000000000008E-2</v>
      </c>
      <c r="G22" s="492">
        <f>+COBERTURA_CAMBIOS_TF!I81/1000</f>
        <v>7.1250000000000008E-2</v>
      </c>
      <c r="H22" s="492">
        <f>+COBERTURA_CAMBIOS_TF!J81/1000</f>
        <v>0.13334249999999997</v>
      </c>
      <c r="I22" s="492">
        <f>+COBERTURA_CAMBIOS_TF!K81/1000</f>
        <v>0.19543499999999994</v>
      </c>
      <c r="J22" s="492">
        <f>+COBERTURA_CAMBIOS_TF!L81/1000</f>
        <v>0.19165499999999996</v>
      </c>
      <c r="K22" s="493">
        <f>+COBERTURA_CAMBIOS_TF!M81/1000</f>
        <v>0.18787500000000004</v>
      </c>
      <c r="L22" s="493">
        <f>+COBERTURA_CAMBIOS_TF!N81/1000</f>
        <v>0.1913</v>
      </c>
      <c r="M22" s="493">
        <f>+COBERTURA_CAMBIOS_TF!O81/1000</f>
        <v>0.1913</v>
      </c>
      <c r="N22" s="493">
        <f>+COBERTURA_CAMBIOS_TF!P81/1000</f>
        <v>1.9940000000000003E-2</v>
      </c>
      <c r="O22" s="493">
        <f>+COBERTURA_CAMBIOS_TF!Q81/1000</f>
        <v>1.9940000000000003E-2</v>
      </c>
      <c r="P22" s="492">
        <f>+COBERTURA_CAMBIOS_TF!R81/1000</f>
        <v>1.6982265204847597E-2</v>
      </c>
      <c r="Q22" s="492">
        <f>+COBERTURA_CAMBIOS_TF!S81/1000</f>
        <v>1.6854170199477898E-2</v>
      </c>
      <c r="R22" s="492">
        <f>+COBERTURA_CAMBIOS_TF!T81/1000</f>
        <v>1.6727041646677539E-2</v>
      </c>
      <c r="S22" s="492">
        <f>+COBERTURA_CAMBIOS_TF!U81/1000</f>
        <v>1.6600872252814119E-2</v>
      </c>
      <c r="T22" s="492">
        <f>+COBERTURA_CAMBIOS_TF!V81/1000</f>
        <v>1.6475654779311951E-2</v>
      </c>
      <c r="U22" s="492">
        <f>+COBERTURA_CAMBIOS_TF!W81/1000</f>
        <v>1.6351397977007076E-2</v>
      </c>
      <c r="V22" s="492">
        <f>+COBERTURA_CAMBIOS_TF!X81/1000</f>
        <v>1.6228046791732523E-2</v>
      </c>
      <c r="W22" s="492">
        <f>+COBERTURA_CAMBIOS_TF!Y81/1000</f>
        <v>1.6105626505442477E-2</v>
      </c>
      <c r="X22" s="492">
        <f>+COBERTURA_CAMBIOS_TF!Z81/1000</f>
        <v>1.5984176786763862E-2</v>
      </c>
      <c r="Y22" s="492">
        <f>+COBERTURA_CAMBIOS_TF!AA81/1000</f>
        <v>1.5863611995968026E-2</v>
      </c>
      <c r="Z22" s="492">
        <f>+COBERTURA_CAMBIOS_TF!AB81/1000</f>
        <v>1.5743956829960052E-2</v>
      </c>
      <c r="AA22" s="492">
        <f>+COBERTURA_CAMBIOS_TF!AC81/1000</f>
        <v>1.5625204424079327E-2</v>
      </c>
      <c r="AB22" s="494">
        <f>+COBERTURA_CAMBIOS_TF!AD81/1000</f>
        <v>1.5507363051648916E-2</v>
      </c>
    </row>
    <row r="23" spans="2:30" x14ac:dyDescent="0.3">
      <c r="B23" s="185" t="s">
        <v>11</v>
      </c>
      <c r="C23" s="492">
        <f>+COBERTURA_CAMBIOS_TF!E82/1000</f>
        <v>1.6050000000000003E-3</v>
      </c>
      <c r="D23" s="492">
        <f>+COBERTURA_CAMBIOS_TF!F82/1000</f>
        <v>1.6050000000000003E-3</v>
      </c>
      <c r="E23" s="492">
        <f>+COBERTURA_CAMBIOS_TF!G82/1000</f>
        <v>1.6050000000000003E-3</v>
      </c>
      <c r="F23" s="492">
        <f>+COBERTURA_CAMBIOS_TF!H82/1000</f>
        <v>1.6050000000000003E-3</v>
      </c>
      <c r="G23" s="492">
        <f>+COBERTURA_CAMBIOS_TF!I82/1000</f>
        <v>1.6050000000000003E-3</v>
      </c>
      <c r="H23" s="492">
        <f>+COBERTURA_CAMBIOS_TF!J82/1000</f>
        <v>6.7424999999999994E-3</v>
      </c>
      <c r="I23" s="492">
        <f>+COBERTURA_CAMBIOS_TF!K82/1000</f>
        <v>1.1879999999999998E-2</v>
      </c>
      <c r="J23" s="492">
        <f>+COBERTURA_CAMBIOS_TF!L82/1000</f>
        <v>9.3150000000000004E-3</v>
      </c>
      <c r="K23" s="493">
        <f>+COBERTURA_CAMBIOS_TF!M82/1000</f>
        <v>6.7499999999999999E-3</v>
      </c>
      <c r="L23" s="493">
        <f>+COBERTURA_CAMBIOS_TF!N82/1000</f>
        <v>8.5500000000000003E-3</v>
      </c>
      <c r="M23" s="493">
        <f>+COBERTURA_CAMBIOS_TF!O82/1000</f>
        <v>8.5500000000000003E-3</v>
      </c>
      <c r="N23" s="493">
        <f>+COBERTURA_CAMBIOS_TF!P82/1000</f>
        <v>9.6300000000000014E-3</v>
      </c>
      <c r="O23" s="493">
        <f>+COBERTURA_CAMBIOS_TF!Q82/1000</f>
        <v>9.6300000000000014E-3</v>
      </c>
      <c r="P23" s="492">
        <f>+COBERTURA_CAMBIOS_TF!R82/1000</f>
        <v>8.2015653923110509E-3</v>
      </c>
      <c r="Q23" s="492">
        <f>+COBERTURA_CAMBIOS_TF!S82/1000</f>
        <v>8.1397020572202688E-3</v>
      </c>
      <c r="R23" s="492">
        <f>+COBERTURA_CAMBIOS_TF!T82/1000</f>
        <v>8.0783054692830838E-3</v>
      </c>
      <c r="S23" s="492">
        <f>+COBERTURA_CAMBIOS_TF!U82/1000</f>
        <v>8.0173721060481443E-3</v>
      </c>
      <c r="T23" s="492">
        <f>+COBERTURA_CAMBIOS_TF!V82/1000</f>
        <v>7.9568984716536662E-3</v>
      </c>
      <c r="U23" s="492">
        <f>+COBERTURA_CAMBIOS_TF!W82/1000</f>
        <v>7.8968887923058246E-3</v>
      </c>
      <c r="V23" s="492">
        <f>+COBERTURA_CAMBIOS_TF!X82/1000</f>
        <v>7.8373164796581851E-3</v>
      </c>
      <c r="W23" s="492">
        <f>+COBERTURA_CAMBIOS_TF!Y82/1000</f>
        <v>7.7781937436013577E-3</v>
      </c>
      <c r="X23" s="492">
        <f>+COBERTURA_CAMBIOS_TF!Z82/1000</f>
        <v>7.7195397420529582E-3</v>
      </c>
      <c r="Y23" s="492">
        <f>+COBERTURA_CAMBIOS_TF!AA82/1000</f>
        <v>7.6613131154048188E-3</v>
      </c>
      <c r="Z23" s="492">
        <f>+COBERTURA_CAMBIOS_TF!AB82/1000</f>
        <v>7.603525790998762E-3</v>
      </c>
      <c r="AA23" s="492">
        <f>+COBERTURA_CAMBIOS_TF!AC82/1000</f>
        <v>7.5461744535548613E-3</v>
      </c>
      <c r="AB23" s="494">
        <f>+COBERTURA_CAMBIOS_TF!AD82/1000</f>
        <v>7.4892630986649481E-3</v>
      </c>
    </row>
    <row r="24" spans="2:30" ht="15" thickBot="1" x14ac:dyDescent="0.35">
      <c r="B24" s="186" t="s">
        <v>12</v>
      </c>
      <c r="C24" s="495">
        <f>+COBERTURA_CAMBIOS_TF!E83/1000</f>
        <v>3.4950000000000002E-2</v>
      </c>
      <c r="D24" s="495">
        <f>+COBERTURA_CAMBIOS_TF!F83/1000</f>
        <v>3.4950000000000002E-2</v>
      </c>
      <c r="E24" s="495">
        <f>+COBERTURA_CAMBIOS_TF!G83/1000</f>
        <v>3.4950000000000002E-2</v>
      </c>
      <c r="F24" s="495">
        <f>+COBERTURA_CAMBIOS_TF!H83/1000</f>
        <v>3.4950000000000002E-2</v>
      </c>
      <c r="G24" s="495">
        <f>+COBERTURA_CAMBIOS_TF!I83/1000</f>
        <v>3.4950000000000002E-2</v>
      </c>
      <c r="H24" s="495">
        <f>+COBERTURA_CAMBIOS_TF!J83/1000</f>
        <v>0.1054725</v>
      </c>
      <c r="I24" s="495">
        <f>+COBERTURA_CAMBIOS_TF!K83/1000</f>
        <v>0.17599500000000001</v>
      </c>
      <c r="J24" s="495">
        <f>+COBERTURA_CAMBIOS_TF!L83/1000</f>
        <v>0.18022750000000001</v>
      </c>
      <c r="K24" s="496">
        <f>+COBERTURA_CAMBIOS_TF!M83/1000</f>
        <v>0.18446000000000001</v>
      </c>
      <c r="L24" s="496">
        <f>+COBERTURA_CAMBIOS_TF!N83/1000</f>
        <v>7.3800000000000003E-3</v>
      </c>
      <c r="M24" s="496">
        <f>+COBERTURA_CAMBIOS_TF!O83/1000</f>
        <v>7.3800000000000003E-3</v>
      </c>
      <c r="N24" s="496">
        <f>+COBERTURA_CAMBIOS_TF!P83/1000</f>
        <v>1.035E-2</v>
      </c>
      <c r="O24" s="496">
        <f>+COBERTURA_CAMBIOS_TF!Q83/1000</f>
        <v>1.035E-2</v>
      </c>
      <c r="P24" s="495">
        <f>+COBERTURA_CAMBIOS_TF!R83/1000</f>
        <v>8.8147665431380449E-3</v>
      </c>
      <c r="Q24" s="495">
        <f>+COBERTURA_CAMBIOS_TF!S83/1000</f>
        <v>8.7482779119657083E-3</v>
      </c>
      <c r="R24" s="495">
        <f>+COBERTURA_CAMBIOS_TF!T83/1000</f>
        <v>8.6822909249304175E-3</v>
      </c>
      <c r="S24" s="495">
        <f>+COBERTURA_CAMBIOS_TF!U83/1000</f>
        <v>8.616801796219967E-3</v>
      </c>
      <c r="T24" s="495">
        <f>+COBERTURA_CAMBIOS_TF!V83/1000</f>
        <v>8.5518067685997345E-3</v>
      </c>
      <c r="U24" s="495">
        <f>+COBERTURA_CAMBIOS_TF!W83/1000</f>
        <v>8.4873103842539217E-3</v>
      </c>
      <c r="V24" s="495">
        <f>+COBERTURA_CAMBIOS_TF!X83/1000</f>
        <v>8.4232840669223475E-3</v>
      </c>
      <c r="W24" s="495">
        <f>+COBERTURA_CAMBIOS_TF!Y83/1000</f>
        <v>8.359740939384637E-3</v>
      </c>
      <c r="X24" s="495">
        <f>+COBERTURA_CAMBIOS_TF!Z83/1000</f>
        <v>8.2967015919260742E-3</v>
      </c>
      <c r="Y24" s="495">
        <f>+COBERTURA_CAMBIOS_TF!AA83/1000</f>
        <v>8.2341215726313473E-3</v>
      </c>
      <c r="Z24" s="495">
        <f>+COBERTURA_CAMBIOS_TF!AB83/1000</f>
        <v>8.1720137006061448E-3</v>
      </c>
      <c r="AA24" s="495">
        <f>+COBERTURA_CAMBIOS_TF!AC83/1000</f>
        <v>8.1103744126991492E-3</v>
      </c>
      <c r="AB24" s="497">
        <f>+COBERTURA_CAMBIOS_TF!AD83/1000</f>
        <v>8.0492080032380283E-3</v>
      </c>
    </row>
    <row r="25" spans="2:30" ht="15" thickBot="1" x14ac:dyDescent="0.35">
      <c r="B25" s="142" t="s">
        <v>35</v>
      </c>
      <c r="C25" s="187"/>
      <c r="D25" s="187"/>
      <c r="E25" s="187"/>
      <c r="F25" s="187"/>
      <c r="G25" s="187"/>
      <c r="H25" s="187"/>
      <c r="I25" s="187"/>
      <c r="J25" s="187"/>
      <c r="K25" s="187"/>
      <c r="L25" s="187"/>
      <c r="M25" s="187"/>
      <c r="N25" s="187"/>
      <c r="O25" s="187"/>
      <c r="P25" s="187"/>
      <c r="Q25" s="187"/>
      <c r="R25" s="187"/>
      <c r="S25" s="187"/>
      <c r="T25" s="187"/>
      <c r="U25" s="187"/>
      <c r="V25" s="187"/>
      <c r="W25" s="187"/>
      <c r="X25" s="187"/>
      <c r="Y25" s="187"/>
      <c r="Z25" s="187"/>
      <c r="AA25" s="187"/>
      <c r="AB25" s="188"/>
      <c r="AD25" s="417" t="s">
        <v>232</v>
      </c>
    </row>
    <row r="26" spans="2:30" x14ac:dyDescent="0.3">
      <c r="B26" s="191" t="s">
        <v>2</v>
      </c>
      <c r="C26" s="384">
        <f t="shared" ref="C26:O26" si="3">+C4/C15</f>
        <v>1150.1461140298813</v>
      </c>
      <c r="D26" s="384">
        <f t="shared" si="3"/>
        <v>1202.5002869834402</v>
      </c>
      <c r="E26" s="384">
        <f t="shared" si="3"/>
        <v>1251.1452427878776</v>
      </c>
      <c r="F26" s="384">
        <f t="shared" si="3"/>
        <v>1233.4154359308509</v>
      </c>
      <c r="G26" s="384">
        <f t="shared" si="3"/>
        <v>1216.4757871398217</v>
      </c>
      <c r="H26" s="384">
        <f t="shared" si="3"/>
        <v>66.66033029669866</v>
      </c>
      <c r="I26" s="384">
        <f t="shared" si="3"/>
        <v>53.27521590428789</v>
      </c>
      <c r="J26" s="384">
        <f t="shared" si="3"/>
        <v>65.988452331815068</v>
      </c>
      <c r="K26" s="385">
        <f t="shared" si="3"/>
        <v>90.225740765231734</v>
      </c>
      <c r="L26" s="385">
        <f t="shared" si="3"/>
        <v>176.72840672599557</v>
      </c>
      <c r="M26" s="385">
        <f t="shared" si="3"/>
        <v>176.72840672599557</v>
      </c>
      <c r="N26" s="385">
        <f t="shared" si="3"/>
        <v>512.5749495868622</v>
      </c>
      <c r="O26" s="385">
        <f t="shared" si="3"/>
        <v>512.5749495868622</v>
      </c>
      <c r="P26" s="377">
        <f>IF(AD26="CONSTANTE",O26,AVERAGE(C26:O26))</f>
        <v>592.95687067658605</v>
      </c>
      <c r="Q26" s="192">
        <f t="shared" ref="Q26:AB26" si="4">+P26</f>
        <v>592.95687067658605</v>
      </c>
      <c r="R26" s="192">
        <f t="shared" si="4"/>
        <v>592.95687067658605</v>
      </c>
      <c r="S26" s="192">
        <f t="shared" si="4"/>
        <v>592.95687067658605</v>
      </c>
      <c r="T26" s="192">
        <f t="shared" si="4"/>
        <v>592.95687067658605</v>
      </c>
      <c r="U26" s="192">
        <f t="shared" si="4"/>
        <v>592.95687067658605</v>
      </c>
      <c r="V26" s="192">
        <f t="shared" si="4"/>
        <v>592.95687067658605</v>
      </c>
      <c r="W26" s="192">
        <f t="shared" si="4"/>
        <v>592.95687067658605</v>
      </c>
      <c r="X26" s="192">
        <f t="shared" si="4"/>
        <v>592.95687067658605</v>
      </c>
      <c r="Y26" s="192">
        <f t="shared" si="4"/>
        <v>592.95687067658605</v>
      </c>
      <c r="Z26" s="192">
        <f t="shared" si="4"/>
        <v>592.95687067658605</v>
      </c>
      <c r="AA26" s="192">
        <f t="shared" si="4"/>
        <v>592.95687067658605</v>
      </c>
      <c r="AB26" s="194">
        <f t="shared" si="4"/>
        <v>592.95687067658605</v>
      </c>
      <c r="AD26" s="418" t="s">
        <v>234</v>
      </c>
    </row>
    <row r="27" spans="2:30" x14ac:dyDescent="0.3">
      <c r="B27" s="185" t="s">
        <v>4</v>
      </c>
      <c r="C27" s="386">
        <f t="shared" ref="C27:O27" si="5">+C5/C16</f>
        <v>9.4782523981675748</v>
      </c>
      <c r="D27" s="386">
        <f t="shared" si="5"/>
        <v>9.5565499931362243</v>
      </c>
      <c r="E27" s="386">
        <f t="shared" si="5"/>
        <v>9.6293003171690845</v>
      </c>
      <c r="F27" s="386">
        <f t="shared" si="5"/>
        <v>9.7070261949455201</v>
      </c>
      <c r="G27" s="386">
        <f t="shared" si="5"/>
        <v>9.7812880908660222</v>
      </c>
      <c r="H27" s="386">
        <f t="shared" si="5"/>
        <v>24.392959323689439</v>
      </c>
      <c r="I27" s="386">
        <f t="shared" si="5"/>
        <v>39.275371199458895</v>
      </c>
      <c r="J27" s="386">
        <f t="shared" si="5"/>
        <v>59.161820903771179</v>
      </c>
      <c r="K27" s="387">
        <f t="shared" si="5"/>
        <v>136.29745890204907</v>
      </c>
      <c r="L27" s="387">
        <f t="shared" si="5"/>
        <v>160.47118322888733</v>
      </c>
      <c r="M27" s="387">
        <f t="shared" si="5"/>
        <v>160.47118322888733</v>
      </c>
      <c r="N27" s="387">
        <f t="shared" si="5"/>
        <v>283.23678895970966</v>
      </c>
      <c r="O27" s="387">
        <f t="shared" si="5"/>
        <v>283.23678895970966</v>
      </c>
      <c r="P27" s="374">
        <f t="shared" ref="P27:P35" si="6">IF(AD27="CONSTANTE",O27,AVERAGE(C27:O27))</f>
        <v>91.89969013080362</v>
      </c>
      <c r="Q27" s="189">
        <f t="shared" ref="Q27:AB35" si="7">+P27</f>
        <v>91.89969013080362</v>
      </c>
      <c r="R27" s="189">
        <f t="shared" si="7"/>
        <v>91.89969013080362</v>
      </c>
      <c r="S27" s="189">
        <f t="shared" si="7"/>
        <v>91.89969013080362</v>
      </c>
      <c r="T27" s="189">
        <f t="shared" si="7"/>
        <v>91.89969013080362</v>
      </c>
      <c r="U27" s="189">
        <f t="shared" si="7"/>
        <v>91.89969013080362</v>
      </c>
      <c r="V27" s="189">
        <f t="shared" si="7"/>
        <v>91.89969013080362</v>
      </c>
      <c r="W27" s="189">
        <f t="shared" si="7"/>
        <v>91.89969013080362</v>
      </c>
      <c r="X27" s="189">
        <f t="shared" si="7"/>
        <v>91.89969013080362</v>
      </c>
      <c r="Y27" s="189">
        <f t="shared" si="7"/>
        <v>91.89969013080362</v>
      </c>
      <c r="Z27" s="189">
        <f t="shared" si="7"/>
        <v>91.89969013080362</v>
      </c>
      <c r="AA27" s="189">
        <f t="shared" si="7"/>
        <v>91.89969013080362</v>
      </c>
      <c r="AB27" s="195">
        <f t="shared" si="7"/>
        <v>91.89969013080362</v>
      </c>
      <c r="AD27" s="418" t="s">
        <v>234</v>
      </c>
    </row>
    <row r="28" spans="2:30" x14ac:dyDescent="0.3">
      <c r="B28" s="185" t="s">
        <v>5</v>
      </c>
      <c r="C28" s="386">
        <f t="shared" ref="C28:O28" si="8">+C6/C17</f>
        <v>866.593183963765</v>
      </c>
      <c r="D28" s="386">
        <f t="shared" si="8"/>
        <v>838.9012459233553</v>
      </c>
      <c r="E28" s="386">
        <f t="shared" si="8"/>
        <v>813.17124149161941</v>
      </c>
      <c r="F28" s="386">
        <f t="shared" si="8"/>
        <v>817.97505681570067</v>
      </c>
      <c r="G28" s="386">
        <f t="shared" si="8"/>
        <v>822.56478219190444</v>
      </c>
      <c r="H28" s="386">
        <f t="shared" si="8"/>
        <v>427.36638935772697</v>
      </c>
      <c r="I28" s="386">
        <f t="shared" si="8"/>
        <v>377.07908749529901</v>
      </c>
      <c r="J28" s="386">
        <f t="shared" si="8"/>
        <v>475.19170571686078</v>
      </c>
      <c r="K28" s="387">
        <f t="shared" si="8"/>
        <v>665.37945851562233</v>
      </c>
      <c r="L28" s="387">
        <f t="shared" si="8"/>
        <v>571.20710611491916</v>
      </c>
      <c r="M28" s="387">
        <f t="shared" si="8"/>
        <v>571.20710611491916</v>
      </c>
      <c r="N28" s="387">
        <f t="shared" si="8"/>
        <v>888.68974375247933</v>
      </c>
      <c r="O28" s="387">
        <f t="shared" si="8"/>
        <v>888.68974375247933</v>
      </c>
      <c r="P28" s="374">
        <f t="shared" si="6"/>
        <v>694.15506547743462</v>
      </c>
      <c r="Q28" s="189">
        <f t="shared" si="7"/>
        <v>694.15506547743462</v>
      </c>
      <c r="R28" s="189">
        <f t="shared" si="7"/>
        <v>694.15506547743462</v>
      </c>
      <c r="S28" s="189">
        <f t="shared" si="7"/>
        <v>694.15506547743462</v>
      </c>
      <c r="T28" s="189">
        <f t="shared" si="7"/>
        <v>694.15506547743462</v>
      </c>
      <c r="U28" s="189">
        <f t="shared" si="7"/>
        <v>694.15506547743462</v>
      </c>
      <c r="V28" s="189">
        <f t="shared" si="7"/>
        <v>694.15506547743462</v>
      </c>
      <c r="W28" s="189">
        <f t="shared" si="7"/>
        <v>694.15506547743462</v>
      </c>
      <c r="X28" s="189">
        <f t="shared" si="7"/>
        <v>694.15506547743462</v>
      </c>
      <c r="Y28" s="189">
        <f t="shared" si="7"/>
        <v>694.15506547743462</v>
      </c>
      <c r="Z28" s="189">
        <f t="shared" si="7"/>
        <v>694.15506547743462</v>
      </c>
      <c r="AA28" s="189">
        <f t="shared" si="7"/>
        <v>694.15506547743462</v>
      </c>
      <c r="AB28" s="195">
        <f t="shared" si="7"/>
        <v>694.15506547743462</v>
      </c>
      <c r="AD28" s="418" t="s">
        <v>234</v>
      </c>
    </row>
    <row r="29" spans="2:30" x14ac:dyDescent="0.3">
      <c r="B29" s="185" t="s">
        <v>6</v>
      </c>
      <c r="C29" s="386">
        <f t="shared" ref="C29:O29" si="9">+C7/C18</f>
        <v>826.47596798783979</v>
      </c>
      <c r="D29" s="386">
        <f t="shared" si="9"/>
        <v>797.83496889627543</v>
      </c>
      <c r="E29" s="386">
        <f t="shared" si="9"/>
        <v>771.2231430110694</v>
      </c>
      <c r="F29" s="386">
        <f t="shared" si="9"/>
        <v>782.88162125517636</v>
      </c>
      <c r="G29" s="386">
        <f t="shared" si="9"/>
        <v>794.02052020007613</v>
      </c>
      <c r="H29" s="386">
        <f t="shared" si="9"/>
        <v>679.41329821096622</v>
      </c>
      <c r="I29" s="386">
        <f t="shared" si="9"/>
        <v>648.49447308560502</v>
      </c>
      <c r="J29" s="386">
        <f t="shared" si="9"/>
        <v>517.95926852825801</v>
      </c>
      <c r="K29" s="387">
        <f t="shared" si="9"/>
        <v>425.58362878261647</v>
      </c>
      <c r="L29" s="387">
        <f t="shared" si="9"/>
        <v>1049.5622172723265</v>
      </c>
      <c r="M29" s="387">
        <f t="shared" si="9"/>
        <v>1049.5622172723265</v>
      </c>
      <c r="N29" s="387">
        <f t="shared" si="9"/>
        <v>224.67337354139298</v>
      </c>
      <c r="O29" s="387">
        <f t="shared" si="9"/>
        <v>224.67337354139298</v>
      </c>
      <c r="P29" s="374">
        <f t="shared" si="6"/>
        <v>676.33523627579405</v>
      </c>
      <c r="Q29" s="189">
        <f t="shared" si="7"/>
        <v>676.33523627579405</v>
      </c>
      <c r="R29" s="189">
        <f t="shared" si="7"/>
        <v>676.33523627579405</v>
      </c>
      <c r="S29" s="189">
        <f t="shared" si="7"/>
        <v>676.33523627579405</v>
      </c>
      <c r="T29" s="189">
        <f t="shared" si="7"/>
        <v>676.33523627579405</v>
      </c>
      <c r="U29" s="189">
        <f t="shared" si="7"/>
        <v>676.33523627579405</v>
      </c>
      <c r="V29" s="189">
        <f t="shared" si="7"/>
        <v>676.33523627579405</v>
      </c>
      <c r="W29" s="189">
        <f t="shared" si="7"/>
        <v>676.33523627579405</v>
      </c>
      <c r="X29" s="189">
        <f t="shared" si="7"/>
        <v>676.33523627579405</v>
      </c>
      <c r="Y29" s="189">
        <f t="shared" si="7"/>
        <v>676.33523627579405</v>
      </c>
      <c r="Z29" s="189">
        <f t="shared" si="7"/>
        <v>676.33523627579405</v>
      </c>
      <c r="AA29" s="189">
        <f t="shared" si="7"/>
        <v>676.33523627579405</v>
      </c>
      <c r="AB29" s="195">
        <f t="shared" si="7"/>
        <v>676.33523627579405</v>
      </c>
      <c r="AD29" s="418" t="s">
        <v>234</v>
      </c>
    </row>
    <row r="30" spans="2:30" x14ac:dyDescent="0.3">
      <c r="B30" s="185" t="s">
        <v>7</v>
      </c>
      <c r="C30" s="386">
        <f t="shared" ref="C30:O30" si="10">+C8/C19</f>
        <v>165.25447051246459</v>
      </c>
      <c r="D30" s="386">
        <f t="shared" si="10"/>
        <v>160.46233524073318</v>
      </c>
      <c r="E30" s="386">
        <f t="shared" si="10"/>
        <v>156.00971579607031</v>
      </c>
      <c r="F30" s="386">
        <f t="shared" si="10"/>
        <v>155.05621018387714</v>
      </c>
      <c r="G30" s="386">
        <f t="shared" si="10"/>
        <v>154.14519912092086</v>
      </c>
      <c r="H30" s="386">
        <f t="shared" si="10"/>
        <v>195.05908558491572</v>
      </c>
      <c r="I30" s="386">
        <f t="shared" si="10"/>
        <v>207.8573146005516</v>
      </c>
      <c r="J30" s="386">
        <f t="shared" si="10"/>
        <v>255.70981698523639</v>
      </c>
      <c r="K30" s="387">
        <f t="shared" si="10"/>
        <v>332.25384077422677</v>
      </c>
      <c r="L30" s="387">
        <f t="shared" si="10"/>
        <v>367.52847272091151</v>
      </c>
      <c r="M30" s="387">
        <f t="shared" si="10"/>
        <v>367.52847272091151</v>
      </c>
      <c r="N30" s="387">
        <f t="shared" si="10"/>
        <v>1383.2355951085206</v>
      </c>
      <c r="O30" s="387">
        <f t="shared" si="10"/>
        <v>1383.2355951085206</v>
      </c>
      <c r="P30" s="374">
        <f t="shared" si="6"/>
        <v>406.41047111214317</v>
      </c>
      <c r="Q30" s="189">
        <f t="shared" si="7"/>
        <v>406.41047111214317</v>
      </c>
      <c r="R30" s="189">
        <f t="shared" si="7"/>
        <v>406.41047111214317</v>
      </c>
      <c r="S30" s="189">
        <f t="shared" si="7"/>
        <v>406.41047111214317</v>
      </c>
      <c r="T30" s="189">
        <f t="shared" si="7"/>
        <v>406.41047111214317</v>
      </c>
      <c r="U30" s="189">
        <f t="shared" si="7"/>
        <v>406.41047111214317</v>
      </c>
      <c r="V30" s="189">
        <f t="shared" si="7"/>
        <v>406.41047111214317</v>
      </c>
      <c r="W30" s="189">
        <f t="shared" si="7"/>
        <v>406.41047111214317</v>
      </c>
      <c r="X30" s="189">
        <f t="shared" si="7"/>
        <v>406.41047111214317</v>
      </c>
      <c r="Y30" s="189">
        <f t="shared" si="7"/>
        <v>406.41047111214317</v>
      </c>
      <c r="Z30" s="189">
        <f t="shared" si="7"/>
        <v>406.41047111214317</v>
      </c>
      <c r="AA30" s="189">
        <f t="shared" si="7"/>
        <v>406.41047111214317</v>
      </c>
      <c r="AB30" s="195">
        <f t="shared" si="7"/>
        <v>406.41047111214317</v>
      </c>
      <c r="AD30" s="418" t="s">
        <v>234</v>
      </c>
    </row>
    <row r="31" spans="2:30" x14ac:dyDescent="0.3">
      <c r="B31" s="185" t="s">
        <v>8</v>
      </c>
      <c r="C31" s="386">
        <f t="shared" ref="C31:O31" si="11">+C9/C20</f>
        <v>1436.8824364213681</v>
      </c>
      <c r="D31" s="386">
        <f t="shared" si="11"/>
        <v>1486.2817352032589</v>
      </c>
      <c r="E31" s="386">
        <f t="shared" si="11"/>
        <v>1532.181165381382</v>
      </c>
      <c r="F31" s="386">
        <f t="shared" si="11"/>
        <v>1529.2594724671803</v>
      </c>
      <c r="G31" s="386">
        <f t="shared" si="11"/>
        <v>1526.4679896134226</v>
      </c>
      <c r="H31" s="386">
        <f t="shared" si="11"/>
        <v>849.85467092966189</v>
      </c>
      <c r="I31" s="386">
        <f t="shared" si="11"/>
        <v>763.20412654074551</v>
      </c>
      <c r="J31" s="386">
        <f t="shared" si="11"/>
        <v>635.48838203264188</v>
      </c>
      <c r="K31" s="387">
        <f t="shared" si="11"/>
        <v>538.9500407567474</v>
      </c>
      <c r="L31" s="387">
        <f t="shared" si="11"/>
        <v>519.21117670809804</v>
      </c>
      <c r="M31" s="387">
        <f t="shared" si="11"/>
        <v>519.21117670809804</v>
      </c>
      <c r="N31" s="387">
        <f t="shared" si="11"/>
        <v>465.31117569455972</v>
      </c>
      <c r="O31" s="387">
        <f t="shared" si="11"/>
        <v>465.31117569455972</v>
      </c>
      <c r="P31" s="374">
        <f t="shared" si="6"/>
        <v>943.66267108859415</v>
      </c>
      <c r="Q31" s="189">
        <f t="shared" si="7"/>
        <v>943.66267108859415</v>
      </c>
      <c r="R31" s="189">
        <f t="shared" si="7"/>
        <v>943.66267108859415</v>
      </c>
      <c r="S31" s="189">
        <f t="shared" si="7"/>
        <v>943.66267108859415</v>
      </c>
      <c r="T31" s="189">
        <f t="shared" si="7"/>
        <v>943.66267108859415</v>
      </c>
      <c r="U31" s="189">
        <f t="shared" si="7"/>
        <v>943.66267108859415</v>
      </c>
      <c r="V31" s="189">
        <f t="shared" si="7"/>
        <v>943.66267108859415</v>
      </c>
      <c r="W31" s="189">
        <f t="shared" si="7"/>
        <v>943.66267108859415</v>
      </c>
      <c r="X31" s="189">
        <f t="shared" si="7"/>
        <v>943.66267108859415</v>
      </c>
      <c r="Y31" s="189">
        <f t="shared" si="7"/>
        <v>943.66267108859415</v>
      </c>
      <c r="Z31" s="189">
        <f t="shared" si="7"/>
        <v>943.66267108859415</v>
      </c>
      <c r="AA31" s="189">
        <f t="shared" si="7"/>
        <v>943.66267108859415</v>
      </c>
      <c r="AB31" s="195">
        <f t="shared" si="7"/>
        <v>943.66267108859415</v>
      </c>
      <c r="AD31" s="418" t="s">
        <v>234</v>
      </c>
    </row>
    <row r="32" spans="2:30" x14ac:dyDescent="0.3">
      <c r="B32" s="185" t="s">
        <v>9</v>
      </c>
      <c r="C32" s="386">
        <f t="shared" ref="C32:O32" si="12">+C10/C21</f>
        <v>579.83892202357822</v>
      </c>
      <c r="D32" s="386">
        <f t="shared" si="12"/>
        <v>562.67704797632598</v>
      </c>
      <c r="E32" s="386">
        <f t="shared" si="12"/>
        <v>546.73106779074556</v>
      </c>
      <c r="F32" s="386">
        <f t="shared" si="12"/>
        <v>542.60222798542873</v>
      </c>
      <c r="G32" s="386">
        <f t="shared" si="12"/>
        <v>538.65739673145629</v>
      </c>
      <c r="H32" s="386">
        <f t="shared" si="12"/>
        <v>704.24196283395827</v>
      </c>
      <c r="I32" s="386">
        <f t="shared" si="12"/>
        <v>748.54137639881412</v>
      </c>
      <c r="J32" s="386">
        <f t="shared" si="12"/>
        <v>531.86856343853879</v>
      </c>
      <c r="K32" s="387">
        <f t="shared" si="12"/>
        <v>402.26775002749633</v>
      </c>
      <c r="L32" s="387">
        <f t="shared" si="12"/>
        <v>358.8394520269112</v>
      </c>
      <c r="M32" s="387">
        <f t="shared" si="12"/>
        <v>358.8394520269112</v>
      </c>
      <c r="N32" s="387">
        <f t="shared" si="12"/>
        <v>1925.7931439263496</v>
      </c>
      <c r="O32" s="387">
        <f t="shared" si="12"/>
        <v>1925.7931439263496</v>
      </c>
      <c r="P32" s="374">
        <f t="shared" si="6"/>
        <v>748.20703900868182</v>
      </c>
      <c r="Q32" s="189">
        <f t="shared" si="7"/>
        <v>748.20703900868182</v>
      </c>
      <c r="R32" s="189">
        <f t="shared" si="7"/>
        <v>748.20703900868182</v>
      </c>
      <c r="S32" s="189">
        <f t="shared" si="7"/>
        <v>748.20703900868182</v>
      </c>
      <c r="T32" s="189">
        <f t="shared" si="7"/>
        <v>748.20703900868182</v>
      </c>
      <c r="U32" s="189">
        <f t="shared" si="7"/>
        <v>748.20703900868182</v>
      </c>
      <c r="V32" s="189">
        <f t="shared" si="7"/>
        <v>748.20703900868182</v>
      </c>
      <c r="W32" s="189">
        <f t="shared" si="7"/>
        <v>748.20703900868182</v>
      </c>
      <c r="X32" s="189">
        <f t="shared" si="7"/>
        <v>748.20703900868182</v>
      </c>
      <c r="Y32" s="189">
        <f t="shared" si="7"/>
        <v>748.20703900868182</v>
      </c>
      <c r="Z32" s="189">
        <f t="shared" si="7"/>
        <v>748.20703900868182</v>
      </c>
      <c r="AA32" s="189">
        <f t="shared" si="7"/>
        <v>748.20703900868182</v>
      </c>
      <c r="AB32" s="195">
        <f t="shared" si="7"/>
        <v>748.20703900868182</v>
      </c>
      <c r="AD32" s="418" t="s">
        <v>234</v>
      </c>
    </row>
    <row r="33" spans="2:30" x14ac:dyDescent="0.3">
      <c r="B33" s="185" t="s">
        <v>10</v>
      </c>
      <c r="C33" s="386">
        <f t="shared" ref="C33:O33" si="13">+C11/C22</f>
        <v>35.682732513194431</v>
      </c>
      <c r="D33" s="386">
        <f t="shared" si="13"/>
        <v>34.554679501857244</v>
      </c>
      <c r="E33" s="386">
        <f t="shared" si="13"/>
        <v>33.506547408733816</v>
      </c>
      <c r="F33" s="386">
        <f t="shared" si="13"/>
        <v>31.958522972269137</v>
      </c>
      <c r="G33" s="386">
        <f t="shared" si="13"/>
        <v>30.479488796369509</v>
      </c>
      <c r="H33" s="386">
        <f t="shared" si="13"/>
        <v>41.81078003601516</v>
      </c>
      <c r="I33" s="386">
        <f t="shared" si="13"/>
        <v>47.14699697693775</v>
      </c>
      <c r="J33" s="386">
        <f t="shared" si="13"/>
        <v>45.360957934309198</v>
      </c>
      <c r="K33" s="387">
        <f t="shared" si="13"/>
        <v>43.607478114777962</v>
      </c>
      <c r="L33" s="387">
        <f t="shared" si="13"/>
        <v>35.78634593525647</v>
      </c>
      <c r="M33" s="387">
        <f t="shared" si="13"/>
        <v>35.78634593525647</v>
      </c>
      <c r="N33" s="387">
        <f t="shared" si="13"/>
        <v>133.14382508615361</v>
      </c>
      <c r="O33" s="387">
        <f t="shared" si="13"/>
        <v>133.14382508615361</v>
      </c>
      <c r="P33" s="374">
        <f t="shared" si="6"/>
        <v>52.459117407483411</v>
      </c>
      <c r="Q33" s="189">
        <f t="shared" si="7"/>
        <v>52.459117407483411</v>
      </c>
      <c r="R33" s="189">
        <f t="shared" si="7"/>
        <v>52.459117407483411</v>
      </c>
      <c r="S33" s="189">
        <f t="shared" si="7"/>
        <v>52.459117407483411</v>
      </c>
      <c r="T33" s="189">
        <f t="shared" si="7"/>
        <v>52.459117407483411</v>
      </c>
      <c r="U33" s="189">
        <f t="shared" si="7"/>
        <v>52.459117407483411</v>
      </c>
      <c r="V33" s="189">
        <f t="shared" si="7"/>
        <v>52.459117407483411</v>
      </c>
      <c r="W33" s="189">
        <f t="shared" si="7"/>
        <v>52.459117407483411</v>
      </c>
      <c r="X33" s="189">
        <f t="shared" si="7"/>
        <v>52.459117407483411</v>
      </c>
      <c r="Y33" s="189">
        <f t="shared" si="7"/>
        <v>52.459117407483411</v>
      </c>
      <c r="Z33" s="189">
        <f t="shared" si="7"/>
        <v>52.459117407483411</v>
      </c>
      <c r="AA33" s="189">
        <f t="shared" si="7"/>
        <v>52.459117407483411</v>
      </c>
      <c r="AB33" s="195">
        <f t="shared" si="7"/>
        <v>52.459117407483411</v>
      </c>
      <c r="AD33" s="418" t="s">
        <v>234</v>
      </c>
    </row>
    <row r="34" spans="2:30" x14ac:dyDescent="0.3">
      <c r="B34" s="185" t="s">
        <v>11</v>
      </c>
      <c r="C34" s="386">
        <f t="shared" ref="C34:O34" si="14">+C12/C23</f>
        <v>6624.2114705278109</v>
      </c>
      <c r="D34" s="386">
        <f t="shared" si="14"/>
        <v>6402.2266909956152</v>
      </c>
      <c r="E34" s="386">
        <f t="shared" si="14"/>
        <v>6195.9692108291301</v>
      </c>
      <c r="F34" s="386">
        <f t="shared" si="14"/>
        <v>6155.919244957814</v>
      </c>
      <c r="G34" s="386">
        <f t="shared" si="14"/>
        <v>6117.6541718284952</v>
      </c>
      <c r="H34" s="386">
        <f t="shared" si="14"/>
        <v>3639.9853571837984</v>
      </c>
      <c r="I34" s="386">
        <f t="shared" si="14"/>
        <v>3330.4580986093542</v>
      </c>
      <c r="J34" s="386">
        <f t="shared" si="14"/>
        <v>4054.4237717321585</v>
      </c>
      <c r="K34" s="387">
        <f t="shared" si="14"/>
        <v>5334.1996418105628</v>
      </c>
      <c r="L34" s="387">
        <f t="shared" si="14"/>
        <v>3518.9191179365853</v>
      </c>
      <c r="M34" s="387">
        <f t="shared" si="14"/>
        <v>3518.9191179365853</v>
      </c>
      <c r="N34" s="387">
        <f t="shared" si="14"/>
        <v>766.88038148073599</v>
      </c>
      <c r="O34" s="387">
        <f t="shared" si="14"/>
        <v>766.88038148073599</v>
      </c>
      <c r="P34" s="374">
        <f t="shared" si="6"/>
        <v>4340.5112813314909</v>
      </c>
      <c r="Q34" s="189">
        <f t="shared" si="7"/>
        <v>4340.5112813314909</v>
      </c>
      <c r="R34" s="189">
        <f t="shared" si="7"/>
        <v>4340.5112813314909</v>
      </c>
      <c r="S34" s="189">
        <f t="shared" si="7"/>
        <v>4340.5112813314909</v>
      </c>
      <c r="T34" s="189">
        <f t="shared" si="7"/>
        <v>4340.5112813314909</v>
      </c>
      <c r="U34" s="189">
        <f t="shared" si="7"/>
        <v>4340.5112813314909</v>
      </c>
      <c r="V34" s="189">
        <f t="shared" si="7"/>
        <v>4340.5112813314909</v>
      </c>
      <c r="W34" s="189">
        <f t="shared" si="7"/>
        <v>4340.5112813314909</v>
      </c>
      <c r="X34" s="189">
        <f t="shared" si="7"/>
        <v>4340.5112813314909</v>
      </c>
      <c r="Y34" s="189">
        <f t="shared" si="7"/>
        <v>4340.5112813314909</v>
      </c>
      <c r="Z34" s="189">
        <f t="shared" si="7"/>
        <v>4340.5112813314909</v>
      </c>
      <c r="AA34" s="189">
        <f t="shared" si="7"/>
        <v>4340.5112813314909</v>
      </c>
      <c r="AB34" s="195">
        <f t="shared" si="7"/>
        <v>4340.5112813314909</v>
      </c>
      <c r="AD34" s="418" t="s">
        <v>234</v>
      </c>
    </row>
    <row r="35" spans="2:30" ht="15" thickBot="1" x14ac:dyDescent="0.35">
      <c r="B35" s="186" t="s">
        <v>12</v>
      </c>
      <c r="C35" s="388">
        <f t="shared" ref="C35:O35" si="15">+C13/C24</f>
        <v>42.844527215430318</v>
      </c>
      <c r="D35" s="388">
        <f t="shared" si="15"/>
        <v>41.271051710762606</v>
      </c>
      <c r="E35" s="388">
        <f t="shared" si="15"/>
        <v>39.809054661323543</v>
      </c>
      <c r="F35" s="388">
        <f t="shared" si="15"/>
        <v>38.901759030272515</v>
      </c>
      <c r="G35" s="388">
        <f t="shared" si="15"/>
        <v>38.034898524482607</v>
      </c>
      <c r="H35" s="388">
        <f t="shared" si="15"/>
        <v>58.354851739802022</v>
      </c>
      <c r="I35" s="388">
        <f t="shared" si="15"/>
        <v>81.154698879855545</v>
      </c>
      <c r="J35" s="388">
        <f t="shared" si="15"/>
        <v>71.652640348013421</v>
      </c>
      <c r="K35" s="389">
        <f t="shared" si="15"/>
        <v>63.076185960920064</v>
      </c>
      <c r="L35" s="389">
        <f t="shared" si="15"/>
        <v>1317.387772295438</v>
      </c>
      <c r="M35" s="389">
        <f t="shared" si="15"/>
        <v>1317.387772295438</v>
      </c>
      <c r="N35" s="389">
        <f t="shared" si="15"/>
        <v>301.13298165489539</v>
      </c>
      <c r="O35" s="389">
        <f t="shared" si="15"/>
        <v>301.13298165489539</v>
      </c>
      <c r="P35" s="374">
        <f t="shared" si="6"/>
        <v>285.54932122857923</v>
      </c>
      <c r="Q35" s="196">
        <f t="shared" si="7"/>
        <v>285.54932122857923</v>
      </c>
      <c r="R35" s="196">
        <f t="shared" si="7"/>
        <v>285.54932122857923</v>
      </c>
      <c r="S35" s="196">
        <f t="shared" si="7"/>
        <v>285.54932122857923</v>
      </c>
      <c r="T35" s="196">
        <f t="shared" si="7"/>
        <v>285.54932122857923</v>
      </c>
      <c r="U35" s="196">
        <f t="shared" si="7"/>
        <v>285.54932122857923</v>
      </c>
      <c r="V35" s="196">
        <f t="shared" si="7"/>
        <v>285.54932122857923</v>
      </c>
      <c r="W35" s="196">
        <f t="shared" si="7"/>
        <v>285.54932122857923</v>
      </c>
      <c r="X35" s="196">
        <f t="shared" si="7"/>
        <v>285.54932122857923</v>
      </c>
      <c r="Y35" s="196">
        <f t="shared" si="7"/>
        <v>285.54932122857923</v>
      </c>
      <c r="Z35" s="196">
        <f t="shared" si="7"/>
        <v>285.54932122857923</v>
      </c>
      <c r="AA35" s="196">
        <f t="shared" si="7"/>
        <v>285.54932122857923</v>
      </c>
      <c r="AB35" s="198">
        <f t="shared" si="7"/>
        <v>285.54932122857923</v>
      </c>
      <c r="AD35" s="418" t="s">
        <v>234</v>
      </c>
    </row>
    <row r="37" spans="2:30" ht="15" thickBot="1" x14ac:dyDescent="0.35">
      <c r="B37" s="415" t="s">
        <v>190</v>
      </c>
      <c r="C37" s="52"/>
      <c r="D37" s="52"/>
      <c r="E37" s="52"/>
      <c r="F37" s="52"/>
      <c r="G37" s="52"/>
      <c r="H37" s="52"/>
      <c r="I37" s="52"/>
      <c r="J37" s="52"/>
      <c r="K37" s="52"/>
      <c r="L37" s="52"/>
      <c r="M37" s="52"/>
      <c r="N37" s="52"/>
      <c r="O37" s="52"/>
      <c r="P37" s="52"/>
      <c r="Q37" s="52"/>
      <c r="R37" s="52"/>
      <c r="S37" s="52"/>
      <c r="T37" s="52"/>
      <c r="U37" s="52"/>
      <c r="V37" s="52"/>
      <c r="W37" s="52"/>
      <c r="X37" s="52"/>
      <c r="Y37" s="52"/>
      <c r="Z37" s="52"/>
      <c r="AA37" s="52"/>
      <c r="AB37" s="52"/>
    </row>
    <row r="38" spans="2:30" ht="15" thickBot="1" x14ac:dyDescent="0.35">
      <c r="B38" s="142" t="s">
        <v>33</v>
      </c>
      <c r="C38" s="187">
        <f>+SUM(DATOS_INGEI!C40:C43)/1000</f>
        <v>896.80414760200006</v>
      </c>
      <c r="D38" s="187">
        <f>+SUM(DATOS_INGEI!D40:D43)/1000</f>
        <v>896.80414760200006</v>
      </c>
      <c r="E38" s="187">
        <f>+SUM(DATOS_INGEI!E40:E43)/1000</f>
        <v>896.80414760200006</v>
      </c>
      <c r="F38" s="187">
        <f>+SUM(DATOS_INGEI!F40:F43)/1000</f>
        <v>896.80414760200006</v>
      </c>
      <c r="G38" s="187">
        <f>+SUM(DATOS_INGEI!G40:G43)/1000</f>
        <v>896.80414760200006</v>
      </c>
      <c r="H38" s="187">
        <f>+SUM(DATOS_INGEI!H40:H43)/1000</f>
        <v>813.59785552100004</v>
      </c>
      <c r="I38" s="187">
        <f>+SUM(DATOS_INGEI!I40:I43)/1000</f>
        <v>730.39156343999991</v>
      </c>
      <c r="J38" s="187">
        <f>+SUM(DATOS_INGEI!J40:J43)/1000</f>
        <v>1021.5322261026666</v>
      </c>
      <c r="K38" s="187">
        <f>+SUM(DATOS_INGEI!K40:K43)/1000</f>
        <v>1312.6728887653333</v>
      </c>
      <c r="L38" s="187">
        <f>+SUM(DATOS_INGEI!L40:L43)/1000</f>
        <v>108.59723498066666</v>
      </c>
      <c r="M38" s="187">
        <f>+SUM(DATOS_INGEI!M40:M43)/1000</f>
        <v>108.59723498066666</v>
      </c>
      <c r="N38" s="187">
        <f>+SUM(DATOS_INGEI!N40:N43)/1000</f>
        <v>622.6471019999999</v>
      </c>
      <c r="O38" s="187">
        <f>+SUM(DATOS_INGEI!O40:O43)/1000</f>
        <v>622.6471019999999</v>
      </c>
      <c r="P38" s="392">
        <f>+SUM(P39+P40)</f>
        <v>604.58958705247869</v>
      </c>
      <c r="Q38" s="392">
        <f t="shared" ref="Q38:AB38" si="16">+SUM(Q39+Q40)</f>
        <v>604.58958705247869</v>
      </c>
      <c r="R38" s="392">
        <f t="shared" si="16"/>
        <v>604.58958705247869</v>
      </c>
      <c r="S38" s="392">
        <f t="shared" si="16"/>
        <v>604.58958705247869</v>
      </c>
      <c r="T38" s="392">
        <f t="shared" si="16"/>
        <v>604.58958705247869</v>
      </c>
      <c r="U38" s="392">
        <f t="shared" si="16"/>
        <v>604.58958705247869</v>
      </c>
      <c r="V38" s="392">
        <f t="shared" si="16"/>
        <v>604.58958705247869</v>
      </c>
      <c r="W38" s="392">
        <f t="shared" si="16"/>
        <v>604.58958705247869</v>
      </c>
      <c r="X38" s="392">
        <f t="shared" si="16"/>
        <v>604.58958705247869</v>
      </c>
      <c r="Y38" s="392">
        <f t="shared" si="16"/>
        <v>604.58958705247869</v>
      </c>
      <c r="Z38" s="392">
        <f t="shared" si="16"/>
        <v>604.58958705247869</v>
      </c>
      <c r="AA38" s="392">
        <f t="shared" si="16"/>
        <v>604.58958705247869</v>
      </c>
      <c r="AB38" s="393">
        <f t="shared" si="16"/>
        <v>604.58958705247869</v>
      </c>
    </row>
    <row r="39" spans="2:30" x14ac:dyDescent="0.3">
      <c r="B39" s="191" t="s">
        <v>191</v>
      </c>
      <c r="C39" s="192">
        <f>+DATOS_INGEI!C40/1000</f>
        <v>806.00162499999999</v>
      </c>
      <c r="D39" s="192">
        <f>+DATOS_INGEI!D40/1000</f>
        <v>806.00162499999999</v>
      </c>
      <c r="E39" s="192">
        <f>+DATOS_INGEI!E40/1000</f>
        <v>806.00162499999999</v>
      </c>
      <c r="F39" s="192">
        <f>+DATOS_INGEI!F40/1000</f>
        <v>806.00162499999999</v>
      </c>
      <c r="G39" s="192">
        <f>+DATOS_INGEI!G40/1000</f>
        <v>806.00162499999999</v>
      </c>
      <c r="H39" s="192">
        <f>+DATOS_INGEI!H40/1000</f>
        <v>657.48897499999998</v>
      </c>
      <c r="I39" s="192">
        <f>+DATOS_INGEI!I40/1000</f>
        <v>508.97632499999992</v>
      </c>
      <c r="J39" s="192">
        <f>+DATOS_INGEI!J40/1000</f>
        <v>887.97816249999994</v>
      </c>
      <c r="K39" s="193">
        <f>+DATOS_INGEI!K40/1000</f>
        <v>1266.98</v>
      </c>
      <c r="L39" s="193">
        <f>+DATOS_INGEI!L40/1000</f>
        <v>46.815816666666663</v>
      </c>
      <c r="M39" s="193">
        <f>+DATOS_INGEI!M40/1000</f>
        <v>46.815816666666663</v>
      </c>
      <c r="N39" s="193">
        <f>+DATOS_INGEI!N40/1000</f>
        <v>558.44121666666672</v>
      </c>
      <c r="O39" s="193">
        <f>+DATOS_INGEI!O40/1000</f>
        <v>558.44121666666672</v>
      </c>
      <c r="P39" s="395">
        <f>+P42*P45</f>
        <v>558.44121666666672</v>
      </c>
      <c r="Q39" s="395">
        <f t="shared" ref="Q39:AB39" si="17">+Q42*Q45</f>
        <v>558.44121666666672</v>
      </c>
      <c r="R39" s="395">
        <f t="shared" si="17"/>
        <v>558.44121666666672</v>
      </c>
      <c r="S39" s="395">
        <f t="shared" si="17"/>
        <v>558.44121666666672</v>
      </c>
      <c r="T39" s="395">
        <f t="shared" si="17"/>
        <v>558.44121666666672</v>
      </c>
      <c r="U39" s="395">
        <f t="shared" si="17"/>
        <v>558.44121666666672</v>
      </c>
      <c r="V39" s="395">
        <f t="shared" si="17"/>
        <v>558.44121666666672</v>
      </c>
      <c r="W39" s="395">
        <f t="shared" si="17"/>
        <v>558.44121666666672</v>
      </c>
      <c r="X39" s="395">
        <f t="shared" si="17"/>
        <v>558.44121666666672</v>
      </c>
      <c r="Y39" s="395">
        <f t="shared" si="17"/>
        <v>558.44121666666672</v>
      </c>
      <c r="Z39" s="395">
        <f t="shared" si="17"/>
        <v>558.44121666666672</v>
      </c>
      <c r="AA39" s="395">
        <f t="shared" si="17"/>
        <v>558.44121666666672</v>
      </c>
      <c r="AB39" s="396">
        <f t="shared" si="17"/>
        <v>558.44121666666672</v>
      </c>
    </row>
    <row r="40" spans="2:30" ht="15" thickBot="1" x14ac:dyDescent="0.35">
      <c r="B40" s="186" t="s">
        <v>192</v>
      </c>
      <c r="C40" s="196">
        <f>+DATOS_INGEI!C41/1000</f>
        <v>90.802522601999982</v>
      </c>
      <c r="D40" s="196">
        <f>+DATOS_INGEI!D41/1000</f>
        <v>90.802522601999982</v>
      </c>
      <c r="E40" s="196">
        <f>+DATOS_INGEI!E41/1000</f>
        <v>90.802522601999982</v>
      </c>
      <c r="F40" s="196">
        <f>+DATOS_INGEI!F41/1000</f>
        <v>90.802522601999982</v>
      </c>
      <c r="G40" s="196">
        <f>+DATOS_INGEI!G41/1000</f>
        <v>90.802522601999982</v>
      </c>
      <c r="H40" s="196">
        <f>+DATOS_INGEI!H41/1000</f>
        <v>156.10888052099997</v>
      </c>
      <c r="I40" s="196">
        <f>+DATOS_INGEI!I41/1000</f>
        <v>221.41523844</v>
      </c>
      <c r="J40" s="196">
        <f>+DATOS_INGEI!J41/1000</f>
        <v>133.55406360266667</v>
      </c>
      <c r="K40" s="197">
        <f>+DATOS_INGEI!K41/1000</f>
        <v>45.692888765333322</v>
      </c>
      <c r="L40" s="197">
        <f>+DATOS_INGEI!L41/1000</f>
        <v>61.781418313999993</v>
      </c>
      <c r="M40" s="197">
        <f>+DATOS_INGEI!M41/1000</f>
        <v>61.781418313999993</v>
      </c>
      <c r="N40" s="197">
        <f>+DATOS_INGEI!N41/1000</f>
        <v>64.205885333333313</v>
      </c>
      <c r="O40" s="197">
        <f>+DATOS_INGEI!O41/1000</f>
        <v>64.205885333333313</v>
      </c>
      <c r="P40" s="398">
        <f>+P43*P46</f>
        <v>46.148370385811994</v>
      </c>
      <c r="Q40" s="398">
        <f t="shared" ref="Q40:AB40" si="18">+Q43*Q46</f>
        <v>46.148370385811994</v>
      </c>
      <c r="R40" s="398">
        <f t="shared" si="18"/>
        <v>46.148370385811994</v>
      </c>
      <c r="S40" s="398">
        <f t="shared" si="18"/>
        <v>46.148370385811994</v>
      </c>
      <c r="T40" s="398">
        <f t="shared" si="18"/>
        <v>46.148370385811994</v>
      </c>
      <c r="U40" s="398">
        <f t="shared" si="18"/>
        <v>46.148370385811994</v>
      </c>
      <c r="V40" s="398">
        <f t="shared" si="18"/>
        <v>46.148370385811994</v>
      </c>
      <c r="W40" s="398">
        <f t="shared" si="18"/>
        <v>46.148370385811994</v>
      </c>
      <c r="X40" s="398">
        <f t="shared" si="18"/>
        <v>46.148370385811994</v>
      </c>
      <c r="Y40" s="398">
        <f t="shared" si="18"/>
        <v>46.148370385811994</v>
      </c>
      <c r="Z40" s="398">
        <f t="shared" si="18"/>
        <v>46.148370385811994</v>
      </c>
      <c r="AA40" s="398">
        <f t="shared" si="18"/>
        <v>46.148370385811994</v>
      </c>
      <c r="AB40" s="399">
        <f t="shared" si="18"/>
        <v>46.148370385811994</v>
      </c>
    </row>
    <row r="41" spans="2:30" ht="15" thickBot="1" x14ac:dyDescent="0.35">
      <c r="B41" s="142" t="s">
        <v>34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8"/>
    </row>
    <row r="42" spans="2:30" x14ac:dyDescent="0.3">
      <c r="B42" s="191" t="s">
        <v>191</v>
      </c>
      <c r="C42" s="480">
        <f>+COBERTURA_CAMBIOS_TF!E84/1000</f>
        <v>3.3818250000000001</v>
      </c>
      <c r="D42" s="480">
        <f>+COBERTURA_CAMBIOS_TF!F84/1000</f>
        <v>3.3818250000000001</v>
      </c>
      <c r="E42" s="480">
        <f>+COBERTURA_CAMBIOS_TF!G84/1000</f>
        <v>3.3818250000000001</v>
      </c>
      <c r="F42" s="480">
        <f>+COBERTURA_CAMBIOS_TF!H84/1000</f>
        <v>3.3818250000000001</v>
      </c>
      <c r="G42" s="480">
        <f>+COBERTURA_CAMBIOS_TF!I84/1000</f>
        <v>3.3818250000000001</v>
      </c>
      <c r="H42" s="480">
        <f>+COBERTURA_CAMBIOS_TF!J84/1000</f>
        <v>2.7586950000000003</v>
      </c>
      <c r="I42" s="480">
        <f>+COBERTURA_CAMBIOS_TF!K84/1000</f>
        <v>2.1355650000000002</v>
      </c>
      <c r="J42" s="480">
        <f>+COBERTURA_CAMBIOS_TF!L84/1000</f>
        <v>3.7257825000000002</v>
      </c>
      <c r="K42" s="481">
        <f>+COBERTURA_CAMBIOS_TF!M84/1000</f>
        <v>5.3159999999999998</v>
      </c>
      <c r="L42" s="481">
        <f>+COBERTURA_CAMBIOS_TF!N84/1000</f>
        <v>0.19642999999999999</v>
      </c>
      <c r="M42" s="481">
        <f>+COBERTURA_CAMBIOS_TF!O84/1000</f>
        <v>0.19642999999999999</v>
      </c>
      <c r="N42" s="481">
        <f>+COBERTURA_CAMBIOS_TF!P84/1000</f>
        <v>2.3431100000000002</v>
      </c>
      <c r="O42" s="481">
        <f>+COBERTURA_CAMBIOS_TF!Q84/1000</f>
        <v>2.3431100000000002</v>
      </c>
      <c r="P42" s="480">
        <f>+COBERTURA_CAMBIOS_TF!R84/1000</f>
        <v>2.3431100000000002</v>
      </c>
      <c r="Q42" s="480">
        <f>+COBERTURA_CAMBIOS_TF!S84/1000</f>
        <v>2.3431100000000002</v>
      </c>
      <c r="R42" s="480">
        <f>+COBERTURA_CAMBIOS_TF!T84/1000</f>
        <v>2.3431100000000002</v>
      </c>
      <c r="S42" s="480">
        <f>+COBERTURA_CAMBIOS_TF!U84/1000</f>
        <v>2.3431100000000002</v>
      </c>
      <c r="T42" s="480">
        <f>+COBERTURA_CAMBIOS_TF!V84/1000</f>
        <v>2.3431100000000002</v>
      </c>
      <c r="U42" s="480">
        <f>+COBERTURA_CAMBIOS_TF!W84/1000</f>
        <v>2.3431100000000002</v>
      </c>
      <c r="V42" s="480">
        <f>+COBERTURA_CAMBIOS_TF!X84/1000</f>
        <v>2.3431100000000002</v>
      </c>
      <c r="W42" s="480">
        <f>+COBERTURA_CAMBIOS_TF!Y84/1000</f>
        <v>2.3431100000000002</v>
      </c>
      <c r="X42" s="480">
        <f>+COBERTURA_CAMBIOS_TF!Z84/1000</f>
        <v>2.3431100000000002</v>
      </c>
      <c r="Y42" s="480">
        <f>+COBERTURA_CAMBIOS_TF!AA84/1000</f>
        <v>2.3431100000000002</v>
      </c>
      <c r="Z42" s="480">
        <f>+COBERTURA_CAMBIOS_TF!AB84/1000</f>
        <v>2.3431100000000002</v>
      </c>
      <c r="AA42" s="480">
        <f>+COBERTURA_CAMBIOS_TF!AC84/1000</f>
        <v>2.3431100000000002</v>
      </c>
      <c r="AB42" s="482">
        <f>+COBERTURA_CAMBIOS_TF!AD84/1000</f>
        <v>2.3431100000000002</v>
      </c>
    </row>
    <row r="43" spans="2:30" ht="15" thickBot="1" x14ac:dyDescent="0.35">
      <c r="B43" s="186" t="s">
        <v>192</v>
      </c>
      <c r="C43" s="486">
        <f>+COBERTURA_CAMBIOS_TF!E85/1000</f>
        <v>1.1598499999999998</v>
      </c>
      <c r="D43" s="486">
        <f>+COBERTURA_CAMBIOS_TF!F85/1000</f>
        <v>1.1472</v>
      </c>
      <c r="E43" s="486">
        <f>+COBERTURA_CAMBIOS_TF!G85/1000</f>
        <v>1.1598499999999998</v>
      </c>
      <c r="F43" s="486">
        <f>+COBERTURA_CAMBIOS_TF!H85/1000</f>
        <v>1.1472</v>
      </c>
      <c r="G43" s="486">
        <f>+COBERTURA_CAMBIOS_TF!I85/1000</f>
        <v>1.1598499999999998</v>
      </c>
      <c r="H43" s="486">
        <f>+COBERTURA_CAMBIOS_TF!J85/1000</f>
        <v>1.31471</v>
      </c>
      <c r="I43" s="486">
        <f>+COBERTURA_CAMBIOS_TF!K85/1000</f>
        <v>2.4225300000000001</v>
      </c>
      <c r="J43" s="486">
        <f>+COBERTURA_CAMBIOS_TF!L85/1000</f>
        <v>1.3900599999999999</v>
      </c>
      <c r="K43" s="487">
        <f>+COBERTURA_CAMBIOS_TF!M85/1000</f>
        <v>0.97448000000000001</v>
      </c>
      <c r="L43" s="487">
        <f>+COBERTURA_CAMBIOS_TF!N85/1000</f>
        <v>0.46417999999999998</v>
      </c>
      <c r="M43" s="487">
        <f>+COBERTURA_CAMBIOS_TF!O85/1000</f>
        <v>0.46417999999999998</v>
      </c>
      <c r="N43" s="487">
        <f>+COBERTURA_CAMBIOS_TF!P85/1000</f>
        <v>0.46570999999999996</v>
      </c>
      <c r="O43" s="487">
        <f>+COBERTURA_CAMBIOS_TF!Q85/1000</f>
        <v>0.46570999999999996</v>
      </c>
      <c r="P43" s="486">
        <f>+COBERTURA_CAMBIOS_TF!R85/1000</f>
        <v>0.46570999999999996</v>
      </c>
      <c r="Q43" s="486">
        <f>+COBERTURA_CAMBIOS_TF!S85/1000</f>
        <v>0.46570999999999996</v>
      </c>
      <c r="R43" s="486">
        <f>+COBERTURA_CAMBIOS_TF!T85/1000</f>
        <v>0.46570999999999996</v>
      </c>
      <c r="S43" s="486">
        <f>+COBERTURA_CAMBIOS_TF!U85/1000</f>
        <v>0.46570999999999996</v>
      </c>
      <c r="T43" s="486">
        <f>+COBERTURA_CAMBIOS_TF!V85/1000</f>
        <v>0.46570999999999996</v>
      </c>
      <c r="U43" s="486">
        <f>+COBERTURA_CAMBIOS_TF!W85/1000</f>
        <v>0.46570999999999996</v>
      </c>
      <c r="V43" s="486">
        <f>+COBERTURA_CAMBIOS_TF!X85/1000</f>
        <v>0.46570999999999996</v>
      </c>
      <c r="W43" s="486">
        <f>+COBERTURA_CAMBIOS_TF!Y85/1000</f>
        <v>0.46570999999999996</v>
      </c>
      <c r="X43" s="486">
        <f>+COBERTURA_CAMBIOS_TF!Z85/1000</f>
        <v>0.46570999999999996</v>
      </c>
      <c r="Y43" s="486">
        <f>+COBERTURA_CAMBIOS_TF!AA85/1000</f>
        <v>0.46570999999999996</v>
      </c>
      <c r="Z43" s="486">
        <f>+COBERTURA_CAMBIOS_TF!AB85/1000</f>
        <v>0.46570999999999996</v>
      </c>
      <c r="AA43" s="486">
        <f>+COBERTURA_CAMBIOS_TF!AC85/1000</f>
        <v>0.46570999999999996</v>
      </c>
      <c r="AB43" s="488">
        <f>+COBERTURA_CAMBIOS_TF!AD85/1000</f>
        <v>0.46570999999999996</v>
      </c>
    </row>
    <row r="44" spans="2:30" ht="15" thickBot="1" x14ac:dyDescent="0.35">
      <c r="B44" s="142" t="s">
        <v>35</v>
      </c>
      <c r="C44" s="187"/>
      <c r="D44" s="187"/>
      <c r="E44" s="187"/>
      <c r="F44" s="187"/>
      <c r="G44" s="187"/>
      <c r="H44" s="187"/>
      <c r="I44" s="187"/>
      <c r="J44" s="187"/>
      <c r="K44" s="187"/>
      <c r="L44" s="187"/>
      <c r="M44" s="187"/>
      <c r="N44" s="187"/>
      <c r="O44" s="187"/>
      <c r="P44" s="187"/>
      <c r="Q44" s="187"/>
      <c r="R44" s="187"/>
      <c r="S44" s="187"/>
      <c r="T44" s="187"/>
      <c r="U44" s="187"/>
      <c r="V44" s="187"/>
      <c r="W44" s="187"/>
      <c r="X44" s="187"/>
      <c r="Y44" s="187"/>
      <c r="Z44" s="187"/>
      <c r="AA44" s="187"/>
      <c r="AB44" s="188"/>
      <c r="AD44" s="417" t="s">
        <v>232</v>
      </c>
    </row>
    <row r="45" spans="2:30" x14ac:dyDescent="0.3">
      <c r="B45" s="191" t="s">
        <v>191</v>
      </c>
      <c r="C45" s="384">
        <f t="shared" ref="C45:N45" si="19">+C39/C42</f>
        <v>238.33333333333331</v>
      </c>
      <c r="D45" s="384">
        <f t="shared" si="19"/>
        <v>238.33333333333331</v>
      </c>
      <c r="E45" s="384">
        <f t="shared" si="19"/>
        <v>238.33333333333331</v>
      </c>
      <c r="F45" s="384">
        <f t="shared" si="19"/>
        <v>238.33333333333331</v>
      </c>
      <c r="G45" s="384">
        <f t="shared" si="19"/>
        <v>238.33333333333331</v>
      </c>
      <c r="H45" s="384">
        <f t="shared" si="19"/>
        <v>238.33333333333329</v>
      </c>
      <c r="I45" s="384">
        <f t="shared" si="19"/>
        <v>238.33333333333329</v>
      </c>
      <c r="J45" s="384">
        <f t="shared" si="19"/>
        <v>238.33333333333331</v>
      </c>
      <c r="K45" s="385">
        <f t="shared" si="19"/>
        <v>238.33333333333334</v>
      </c>
      <c r="L45" s="385">
        <f t="shared" si="19"/>
        <v>238.33333333333331</v>
      </c>
      <c r="M45" s="385">
        <f t="shared" si="19"/>
        <v>238.33333333333331</v>
      </c>
      <c r="N45" s="385">
        <f t="shared" si="19"/>
        <v>238.33333333333334</v>
      </c>
      <c r="O45" s="385">
        <f>+O39/O42</f>
        <v>238.33333333333334</v>
      </c>
      <c r="P45" s="340">
        <f>IF(AD45="CONSTANTE",O45,AVERAGE(C45:O45))</f>
        <v>238.33333333333334</v>
      </c>
      <c r="Q45" s="192">
        <f t="shared" ref="Q45:AB45" si="20">+P45</f>
        <v>238.33333333333334</v>
      </c>
      <c r="R45" s="192">
        <f t="shared" si="20"/>
        <v>238.33333333333334</v>
      </c>
      <c r="S45" s="192">
        <f t="shared" si="20"/>
        <v>238.33333333333334</v>
      </c>
      <c r="T45" s="192">
        <f t="shared" si="20"/>
        <v>238.33333333333334</v>
      </c>
      <c r="U45" s="192">
        <f t="shared" si="20"/>
        <v>238.33333333333334</v>
      </c>
      <c r="V45" s="192">
        <f t="shared" si="20"/>
        <v>238.33333333333334</v>
      </c>
      <c r="W45" s="192">
        <f t="shared" si="20"/>
        <v>238.33333333333334</v>
      </c>
      <c r="X45" s="192">
        <f t="shared" si="20"/>
        <v>238.33333333333334</v>
      </c>
      <c r="Y45" s="192">
        <f t="shared" si="20"/>
        <v>238.33333333333334</v>
      </c>
      <c r="Z45" s="192">
        <f t="shared" si="20"/>
        <v>238.33333333333334</v>
      </c>
      <c r="AA45" s="192">
        <f t="shared" si="20"/>
        <v>238.33333333333334</v>
      </c>
      <c r="AB45" s="194">
        <f t="shared" si="20"/>
        <v>238.33333333333334</v>
      </c>
      <c r="AD45" s="418" t="s">
        <v>234</v>
      </c>
    </row>
    <row r="46" spans="2:30" ht="15" thickBot="1" x14ac:dyDescent="0.35">
      <c r="B46" s="186" t="s">
        <v>192</v>
      </c>
      <c r="C46" s="388">
        <f t="shared" ref="C46:O46" si="21">+C40/C43</f>
        <v>78.288160194852779</v>
      </c>
      <c r="D46" s="388">
        <f t="shared" si="21"/>
        <v>79.151431835774048</v>
      </c>
      <c r="E46" s="388">
        <f t="shared" si="21"/>
        <v>78.288160194852779</v>
      </c>
      <c r="F46" s="388">
        <f t="shared" si="21"/>
        <v>79.151431835774048</v>
      </c>
      <c r="G46" s="388">
        <f t="shared" si="21"/>
        <v>78.288160194852779</v>
      </c>
      <c r="H46" s="388">
        <f t="shared" si="21"/>
        <v>118.74016362619891</v>
      </c>
      <c r="I46" s="388">
        <f t="shared" si="21"/>
        <v>91.398347364119331</v>
      </c>
      <c r="J46" s="388">
        <f t="shared" si="21"/>
        <v>96.07791289776462</v>
      </c>
      <c r="K46" s="389">
        <f t="shared" si="21"/>
        <v>46.88950903593026</v>
      </c>
      <c r="L46" s="389">
        <f t="shared" si="21"/>
        <v>133.09797559998276</v>
      </c>
      <c r="M46" s="389">
        <f t="shared" si="21"/>
        <v>133.09797559998276</v>
      </c>
      <c r="N46" s="389">
        <f t="shared" si="21"/>
        <v>137.86666666666665</v>
      </c>
      <c r="O46" s="389">
        <f t="shared" si="21"/>
        <v>137.86666666666665</v>
      </c>
      <c r="P46" s="375">
        <f t="shared" ref="P46" si="22">IF(AD46="CONSTANTE",O46,AVERAGE(C46:O46))</f>
        <v>99.092504747186013</v>
      </c>
      <c r="Q46" s="196">
        <f t="shared" ref="Q46:AB46" si="23">+P46</f>
        <v>99.092504747186013</v>
      </c>
      <c r="R46" s="196">
        <f t="shared" si="23"/>
        <v>99.092504747186013</v>
      </c>
      <c r="S46" s="196">
        <f t="shared" si="23"/>
        <v>99.092504747186013</v>
      </c>
      <c r="T46" s="196">
        <f t="shared" si="23"/>
        <v>99.092504747186013</v>
      </c>
      <c r="U46" s="196">
        <f t="shared" si="23"/>
        <v>99.092504747186013</v>
      </c>
      <c r="V46" s="196">
        <f t="shared" si="23"/>
        <v>99.092504747186013</v>
      </c>
      <c r="W46" s="196">
        <f t="shared" si="23"/>
        <v>99.092504747186013</v>
      </c>
      <c r="X46" s="196">
        <f t="shared" si="23"/>
        <v>99.092504747186013</v>
      </c>
      <c r="Y46" s="196">
        <f t="shared" si="23"/>
        <v>99.092504747186013</v>
      </c>
      <c r="Z46" s="196">
        <f t="shared" si="23"/>
        <v>99.092504747186013</v>
      </c>
      <c r="AA46" s="196">
        <f t="shared" si="23"/>
        <v>99.092504747186013</v>
      </c>
      <c r="AB46" s="198">
        <f t="shared" si="23"/>
        <v>99.092504747186013</v>
      </c>
      <c r="AD46" s="418" t="s">
        <v>234</v>
      </c>
    </row>
    <row r="47" spans="2:30" ht="15" thickBot="1" x14ac:dyDescent="0.35"/>
    <row r="48" spans="2:30" x14ac:dyDescent="0.3">
      <c r="B48" s="191" t="s">
        <v>231</v>
      </c>
      <c r="C48" s="367">
        <v>2010</v>
      </c>
      <c r="D48" s="367">
        <v>2011</v>
      </c>
      <c r="E48" s="367">
        <v>2012</v>
      </c>
      <c r="F48" s="367">
        <v>2013</v>
      </c>
      <c r="G48" s="367">
        <v>2014</v>
      </c>
      <c r="H48" s="367">
        <v>2015</v>
      </c>
      <c r="I48" s="367">
        <v>2016</v>
      </c>
      <c r="J48" s="367">
        <v>2017</v>
      </c>
      <c r="K48" s="367">
        <v>2018</v>
      </c>
      <c r="L48" s="367">
        <v>2019</v>
      </c>
      <c r="M48" s="367">
        <v>2020</v>
      </c>
      <c r="N48" s="367">
        <v>2021</v>
      </c>
      <c r="O48" s="367">
        <v>2022</v>
      </c>
      <c r="P48" s="367">
        <v>2023</v>
      </c>
      <c r="Q48" s="367">
        <v>2024</v>
      </c>
      <c r="R48" s="367">
        <v>2025</v>
      </c>
      <c r="S48" s="367">
        <v>2026</v>
      </c>
      <c r="T48" s="367">
        <v>2027</v>
      </c>
      <c r="U48" s="367">
        <v>2028</v>
      </c>
      <c r="V48" s="367">
        <v>2029</v>
      </c>
      <c r="W48" s="367">
        <v>2030</v>
      </c>
      <c r="X48" s="367">
        <v>2031</v>
      </c>
      <c r="Y48" s="367">
        <v>2032</v>
      </c>
      <c r="Z48" s="367">
        <v>2033</v>
      </c>
      <c r="AA48" s="367">
        <v>2034</v>
      </c>
      <c r="AB48" s="368">
        <v>2035</v>
      </c>
    </row>
    <row r="49" spans="2:28" x14ac:dyDescent="0.3">
      <c r="B49" s="390" t="s">
        <v>177</v>
      </c>
      <c r="C49" s="363">
        <f>C3</f>
        <v>198.57633565</v>
      </c>
      <c r="D49" s="363">
        <f t="shared" ref="D49:AB49" si="24">D3</f>
        <v>198.57633565</v>
      </c>
      <c r="E49" s="363">
        <f t="shared" si="24"/>
        <v>198.57633565</v>
      </c>
      <c r="F49" s="363">
        <f t="shared" si="24"/>
        <v>198.57633565</v>
      </c>
      <c r="G49" s="363">
        <f t="shared" si="24"/>
        <v>198.57633565</v>
      </c>
      <c r="H49" s="363">
        <f t="shared" si="24"/>
        <v>491.09154624199988</v>
      </c>
      <c r="I49" s="363">
        <f t="shared" si="24"/>
        <v>783.60675683399973</v>
      </c>
      <c r="J49" s="363">
        <f t="shared" si="24"/>
        <v>755.00244012599978</v>
      </c>
      <c r="K49" s="364">
        <f t="shared" si="24"/>
        <v>726.39812341799984</v>
      </c>
      <c r="L49" s="364">
        <f t="shared" si="24"/>
        <v>606.98376378933312</v>
      </c>
      <c r="M49" s="364">
        <f t="shared" si="24"/>
        <v>606.98376378933312</v>
      </c>
      <c r="N49" s="364">
        <f t="shared" si="24"/>
        <v>161.21568214399997</v>
      </c>
      <c r="O49" s="364">
        <f t="shared" si="24"/>
        <v>161.21568214399997</v>
      </c>
      <c r="P49" s="346">
        <f t="shared" si="24"/>
        <v>240.421635330436</v>
      </c>
      <c r="Q49" s="346">
        <f t="shared" si="24"/>
        <v>238.60816637931794</v>
      </c>
      <c r="R49" s="346">
        <f t="shared" si="24"/>
        <v>236.80837970817763</v>
      </c>
      <c r="S49" s="346">
        <f t="shared" si="24"/>
        <v>235.02217205946931</v>
      </c>
      <c r="T49" s="346">
        <f t="shared" si="24"/>
        <v>233.24944095509676</v>
      </c>
      <c r="U49" s="346">
        <f t="shared" si="24"/>
        <v>231.49031028255598</v>
      </c>
      <c r="V49" s="346">
        <f t="shared" si="24"/>
        <v>229.74400062798821</v>
      </c>
      <c r="W49" s="346">
        <f t="shared" si="24"/>
        <v>228.01086991353733</v>
      </c>
      <c r="X49" s="346">
        <f t="shared" si="24"/>
        <v>226.29147973661318</v>
      </c>
      <c r="Y49" s="346">
        <f t="shared" si="24"/>
        <v>224.58461767688442</v>
      </c>
      <c r="Z49" s="346">
        <f t="shared" si="24"/>
        <v>222.89063337382694</v>
      </c>
      <c r="AA49" s="346">
        <f t="shared" si="24"/>
        <v>221.20942964294196</v>
      </c>
      <c r="AB49" s="347">
        <f t="shared" si="24"/>
        <v>219.54112361147006</v>
      </c>
    </row>
    <row r="50" spans="2:28" ht="15" thickBot="1" x14ac:dyDescent="0.35">
      <c r="B50" s="416" t="s">
        <v>178</v>
      </c>
      <c r="C50" s="365">
        <f>+C38</f>
        <v>896.80414760200006</v>
      </c>
      <c r="D50" s="365">
        <f t="shared" ref="D50:AB50" si="25">+D38</f>
        <v>896.80414760200006</v>
      </c>
      <c r="E50" s="365">
        <f t="shared" si="25"/>
        <v>896.80414760200006</v>
      </c>
      <c r="F50" s="365">
        <f t="shared" si="25"/>
        <v>896.80414760200006</v>
      </c>
      <c r="G50" s="365">
        <f t="shared" si="25"/>
        <v>896.80414760200006</v>
      </c>
      <c r="H50" s="365">
        <f t="shared" si="25"/>
        <v>813.59785552100004</v>
      </c>
      <c r="I50" s="365">
        <f t="shared" si="25"/>
        <v>730.39156343999991</v>
      </c>
      <c r="J50" s="365">
        <f t="shared" si="25"/>
        <v>1021.5322261026666</v>
      </c>
      <c r="K50" s="366">
        <f t="shared" si="25"/>
        <v>1312.6728887653333</v>
      </c>
      <c r="L50" s="366">
        <f t="shared" si="25"/>
        <v>108.59723498066666</v>
      </c>
      <c r="M50" s="366">
        <f t="shared" si="25"/>
        <v>108.59723498066666</v>
      </c>
      <c r="N50" s="366">
        <f t="shared" si="25"/>
        <v>622.6471019999999</v>
      </c>
      <c r="O50" s="366">
        <f t="shared" si="25"/>
        <v>622.6471019999999</v>
      </c>
      <c r="P50" s="350">
        <f t="shared" si="25"/>
        <v>604.58958705247869</v>
      </c>
      <c r="Q50" s="350">
        <f t="shared" si="25"/>
        <v>604.58958705247869</v>
      </c>
      <c r="R50" s="350">
        <f t="shared" si="25"/>
        <v>604.58958705247869</v>
      </c>
      <c r="S50" s="350">
        <f t="shared" si="25"/>
        <v>604.58958705247869</v>
      </c>
      <c r="T50" s="350">
        <f t="shared" si="25"/>
        <v>604.58958705247869</v>
      </c>
      <c r="U50" s="350">
        <f t="shared" si="25"/>
        <v>604.58958705247869</v>
      </c>
      <c r="V50" s="350">
        <f t="shared" si="25"/>
        <v>604.58958705247869</v>
      </c>
      <c r="W50" s="350">
        <f t="shared" si="25"/>
        <v>604.58958705247869</v>
      </c>
      <c r="X50" s="350">
        <f t="shared" si="25"/>
        <v>604.58958705247869</v>
      </c>
      <c r="Y50" s="350">
        <f t="shared" si="25"/>
        <v>604.58958705247869</v>
      </c>
      <c r="Z50" s="350">
        <f t="shared" si="25"/>
        <v>604.58958705247869</v>
      </c>
      <c r="AA50" s="350">
        <f t="shared" si="25"/>
        <v>604.58958705247869</v>
      </c>
      <c r="AB50" s="351">
        <f t="shared" si="25"/>
        <v>604.58958705247869</v>
      </c>
    </row>
  </sheetData>
  <dataValidations count="1">
    <dataValidation type="list" allowBlank="1" showInputMessage="1" showErrorMessage="1" sqref="AD26:AD35 AD45:AD46" xr:uid="{CEA71B13-F1B9-4DDC-8E8A-ECED49FA7957}">
      <formula1>"CONSTANTE, PROMEDIO"</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B8F814574E960A4499025803604D4DF4" ma:contentTypeVersion="9" ma:contentTypeDescription="Crear nuevo documento." ma:contentTypeScope="" ma:versionID="613b0908c48a25395136f5b5d1e9264a">
  <xsd:schema xmlns:xsd="http://www.w3.org/2001/XMLSchema" xmlns:xs="http://www.w3.org/2001/XMLSchema" xmlns:p="http://schemas.microsoft.com/office/2006/metadata/properties" xmlns:ns2="4b2ff61d-e0c4-454b-ba72-44cf85c32a41" targetNamespace="http://schemas.microsoft.com/office/2006/metadata/properties" ma:root="true" ma:fieldsID="f5652efc65d8021725ff526b59607fd6" ns2:_="">
    <xsd:import namespace="4b2ff61d-e0c4-454b-ba72-44cf85c32a4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ff61d-e0c4-454b-ba72-44cf85c32a4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F2B8BA7-C16E-4610-B452-85772125B2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ff61d-e0c4-454b-ba72-44cf85c32a4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2AEB68F-DDD7-40CA-826E-35FCAAEBBB3B}">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5C7ECC25-E9E4-423B-89FA-D74FA323A4B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RESULTADOS</vt:lpstr>
      <vt:lpstr>DATOS_INGEI</vt:lpstr>
      <vt:lpstr>CALIBRACION_COMPARE</vt:lpstr>
      <vt:lpstr>COBERTURA_BOSQUE</vt:lpstr>
      <vt:lpstr>COBERTURA_HACIA_TF</vt:lpstr>
      <vt:lpstr>COBERTURA_CAMBIOS_TF</vt:lpstr>
      <vt:lpstr>MEDIDAS_INCOND</vt:lpstr>
      <vt:lpstr>MEDIDAS_COND</vt:lpstr>
      <vt:lpstr>EMISIONES_FOR</vt:lpstr>
      <vt:lpstr>EMISIONES_CUL</vt:lpstr>
      <vt:lpstr>EMISIONES_PAS</vt:lpstr>
      <vt:lpstr>EMISIONES_HUM</vt:lpstr>
      <vt:lpstr>EMISIONES_ASE</vt:lpstr>
      <vt:lpstr>EMISIONES_OTI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Yoselyn Seas Jiménez</dc:creator>
  <cp:lastModifiedBy>Yoselyn Seas Jiménez</cp:lastModifiedBy>
  <dcterms:created xsi:type="dcterms:W3CDTF">2025-01-13T04:46:08Z</dcterms:created>
  <dcterms:modified xsi:type="dcterms:W3CDTF">2025-03-24T21:34:03Z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0x010100B8F814574E960A4499025803604D4DF4</vt:lpwstr>
  </property>
</Properties>
</file>