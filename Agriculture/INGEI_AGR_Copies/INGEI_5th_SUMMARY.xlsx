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2_Data/5ta_comunicacion/AGRICULTURA/AGRICULTURA/INGEI_AGR_Copies/"/>
    </mc:Choice>
  </mc:AlternateContent>
  <xr:revisionPtr revIDLastSave="244" documentId="11_F25DC773A252ABDACC104887995E7BC65ADE58E8" xr6:coauthVersionLast="47" xr6:coauthVersionMax="47" xr10:uidLastSave="{B82F0BBF-178F-4616-8CCC-25F9A49424D8}"/>
  <bookViews>
    <workbookView xWindow="-38520" yWindow="-120" windowWidth="38640" windowHeight="21120" activeTab="3" xr2:uid="{00000000-000D-0000-FFFF-FFFF00000000}"/>
  </bookViews>
  <sheets>
    <sheet name="INGEIs_RAW" sheetId="1" r:id="rId1"/>
    <sheet name="INGEIs" sheetId="4" r:id="rId2"/>
    <sheet name="INGEI_SUMM_RAW" sheetId="2" r:id="rId3"/>
    <sheet name="INGEI_SUMM" sheetId="5" r:id="rId4"/>
    <sheet name="ACTIVIDA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<sst xmlns="http://schemas.openxmlformats.org/spreadsheetml/2006/main" count="2473" uniqueCount="407">
  <si>
    <t>Tabla para recopilación de información sector agricultura</t>
  </si>
  <si>
    <t>Datos de actividad usados para la construcci[on de inventarios nacionales de gases de efecto invernadero serie 1994-2021 5CN/1BTR, directrices ipcc 2006 refinamiento 2019</t>
  </si>
  <si>
    <t>INDICE</t>
  </si>
  <si>
    <t>GANADO DOMÉSTICO</t>
  </si>
  <si>
    <t>Fuentes y Categorías</t>
  </si>
  <si>
    <t>Número de Animales (Total nacional por año de inventario)</t>
  </si>
  <si>
    <t xml:space="preserve"> Fermentación Entérica / Gestión del estiércol</t>
  </si>
  <si>
    <t>Fuente</t>
  </si>
  <si>
    <t>Cabezas</t>
  </si>
  <si>
    <t>GANADO BOVINO</t>
  </si>
  <si>
    <t>Ganado Lechero</t>
  </si>
  <si>
    <t>Sierra</t>
  </si>
  <si>
    <t>ESPAC 1995, Desagregación por región estimada en base a las proporciones de años posteriores</t>
  </si>
  <si>
    <t>CNA 2000, tabla 6_00, Desagregación por región estimada en función de datos ESPAC años posteriores</t>
  </si>
  <si>
    <t>ESPAC 2006, tabla 51_6</t>
  </si>
  <si>
    <t>ESPAC 2010, tabla 51_10</t>
  </si>
  <si>
    <t>ESPAC 2012, tabla 51</t>
  </si>
  <si>
    <t>ESPAC 2014 (version II corregida), tabla 54</t>
  </si>
  <si>
    <t>ESPAC 2016, tabla 63</t>
  </si>
  <si>
    <t>ESPAC 2018 , tabla 66</t>
  </si>
  <si>
    <t>ESPAC 2020 , tabla 67</t>
  </si>
  <si>
    <t>ESPAC 2021 , tabla 67</t>
  </si>
  <si>
    <t>ESPAC 2022 , tabla 67</t>
  </si>
  <si>
    <t xml:space="preserve">Costa </t>
  </si>
  <si>
    <t>ESPAC 2006, tabla 51_7</t>
  </si>
  <si>
    <t>ESPAC 2010, tabla 51_11</t>
  </si>
  <si>
    <t>ESPAC 2012, tabla 52</t>
  </si>
  <si>
    <t>Amazonia</t>
  </si>
  <si>
    <t>ESPAC 2006, tabla 51_8</t>
  </si>
  <si>
    <t>ESPAC 2010, tabla 51_12</t>
  </si>
  <si>
    <t>ESPAC 2012, tabla 53</t>
  </si>
  <si>
    <t xml:space="preserve">No Lechero Toros </t>
  </si>
  <si>
    <t>CNA Provincial 2000, tabla 35, Desagregación por región estimada en función de datos ESPAC años posteriores</t>
  </si>
  <si>
    <t>ESPAC 2006, tabla 38_6</t>
  </si>
  <si>
    <t>ESPAC 2010, tabla 38_10</t>
  </si>
  <si>
    <t>ESPAC 2012, tabla 38</t>
  </si>
  <si>
    <t>ESPAC 2014 (version II corregida), tabla 41</t>
  </si>
  <si>
    <t>ESPAC 2016, tabla 50</t>
  </si>
  <si>
    <t>ESPAC 2018, tabla 50</t>
  </si>
  <si>
    <t>ESPAC 2020, tabla 50</t>
  </si>
  <si>
    <t>ESPAC 2021, tabla 50</t>
  </si>
  <si>
    <t>ESPAC 2022, tabla 50</t>
  </si>
  <si>
    <t>ESPAC 2006, tabla 38_7</t>
  </si>
  <si>
    <t>ESPAC 2010, tabla 38_11</t>
  </si>
  <si>
    <t>ESPAC 2012, tabla 39</t>
  </si>
  <si>
    <t>ESPAC 2006, tabla 38_8</t>
  </si>
  <si>
    <t>ESPAC 2010, tabla 38_12</t>
  </si>
  <si>
    <t>ESPAC 2012, tabla 40</t>
  </si>
  <si>
    <t xml:space="preserve">No Lechero Vacas </t>
  </si>
  <si>
    <t>CNA Provincial 2000, tabla 35</t>
  </si>
  <si>
    <t>ESPAC 2006, tabla 38_06</t>
  </si>
  <si>
    <t>ESPAC 2014 (version II corregida), tabla 41-54</t>
  </si>
  <si>
    <t>ESPAC 2006, tabla 38_07</t>
  </si>
  <si>
    <t>CNA Provincial 2000, tabla 36</t>
  </si>
  <si>
    <t>ESPAC 2006, tabla 38_08</t>
  </si>
  <si>
    <t xml:space="preserve">No Lechero En crecimiento </t>
  </si>
  <si>
    <t>CNA Provincial 2000, tabla 37</t>
  </si>
  <si>
    <t>OTROS TIPOS DE GANADO</t>
  </si>
  <si>
    <t>Búfalo</t>
  </si>
  <si>
    <t>Retroproyección del dato considerando tasas de crecimiento del registro de agrocalidad - fiebre aftosa periodo 2016-2021 y la tasa de crecimiento el conjunto de bovinos mismo periodo</t>
  </si>
  <si>
    <t>Datos de registro de vacunación por fiebre aftosa de Agrocalidad</t>
  </si>
  <si>
    <t>Ovejas</t>
  </si>
  <si>
    <t>ESPAC 1995</t>
  </si>
  <si>
    <t>CNA 2000, tabla 6_00</t>
  </si>
  <si>
    <t>ESPAC 2006, tabla 10_06</t>
  </si>
  <si>
    <t>ESPAC 2010, tabla 10_10</t>
  </si>
  <si>
    <t>ESPAC 2012, tabla 10</t>
  </si>
  <si>
    <t>ESPAC 2014 (version II corregida), tabla 48</t>
  </si>
  <si>
    <t>ESPAC 2016 , tabla 57</t>
  </si>
  <si>
    <t>ESPAC 2018 , tabla 59</t>
  </si>
  <si>
    <t>ESPAC 2020 , tabla 60</t>
  </si>
  <si>
    <t>ESPAC 2021 , tabla 60</t>
  </si>
  <si>
    <t>ESPAC 2022 , tabla 60</t>
  </si>
  <si>
    <t>Cabras</t>
  </si>
  <si>
    <t>ESPAC 2014 (version II corregida), tabla 49</t>
  </si>
  <si>
    <t>ESPAC 2016 , tabla 56</t>
  </si>
  <si>
    <t>ESPAC 2018 , tabla 60</t>
  </si>
  <si>
    <t>ESPAC 2020 , tabla 61</t>
  </si>
  <si>
    <t>ESPAC 2021 , tabla 61</t>
  </si>
  <si>
    <t>ESPAC 2022 , tabla 61</t>
  </si>
  <si>
    <t xml:space="preserve">Camélidos sudamericanos </t>
  </si>
  <si>
    <t>Estimación según datos MAG Chimborazo</t>
  </si>
  <si>
    <t>FAO 2005, Situación de los camélidos sudamericanos en Ecuador</t>
  </si>
  <si>
    <t>MAGAP_Subsecretaría de Ganadería_2013</t>
  </si>
  <si>
    <t>Ministerio de Agricultura, Regional Chimborazo</t>
  </si>
  <si>
    <t>Ministerio de Agricultura, Agrocalidad, Regional Chimborazo</t>
  </si>
  <si>
    <t>Caballos</t>
  </si>
  <si>
    <t>ESPAC 2016 , tabla 58</t>
  </si>
  <si>
    <t>Mulas y Asnos</t>
  </si>
  <si>
    <t>ESPAC 2016 , tabla 59</t>
  </si>
  <si>
    <t>Cerdos</t>
  </si>
  <si>
    <t>ESPAC 2014 (version II corregida), tabla 47</t>
  </si>
  <si>
    <t>ESPAC 2016 , tabla 60</t>
  </si>
  <si>
    <t>ESPAC 2018 , tabla 57</t>
  </si>
  <si>
    <t>ESPAC 2020 , tabla 57</t>
  </si>
  <si>
    <t>ESPAC 2021 , tabla 57</t>
  </si>
  <si>
    <t>ESPAC 2022 , tabla 57</t>
  </si>
  <si>
    <t>Aves de engorde</t>
  </si>
  <si>
    <t xml:space="preserve">Estimación según datos de CONAVE </t>
  </si>
  <si>
    <t>Datos de CONAVE</t>
  </si>
  <si>
    <t>Ponedoras</t>
  </si>
  <si>
    <t>Patos</t>
  </si>
  <si>
    <t>CNA 2000, tabla 7_00</t>
  </si>
  <si>
    <t>ESPAC 2006, tabla 47 y 48</t>
  </si>
  <si>
    <t>ESPAC 2010, tabla 47 y 48</t>
  </si>
  <si>
    <t>ESPAC 2012, tabla 47 y 48</t>
  </si>
  <si>
    <t>ESPAC 2014 (version II corregida), tabla 50-51</t>
  </si>
  <si>
    <t>ESPAC 2016 , tabla 63</t>
  </si>
  <si>
    <t>ESPAC 2018 , tabla 61,62</t>
  </si>
  <si>
    <t>ESPAC 2020 , tabla 62,63</t>
  </si>
  <si>
    <t>ESPAC 2021 , tabla 62,63</t>
  </si>
  <si>
    <t>ESPAC 2022 , tabla 62,63</t>
  </si>
  <si>
    <t>Pavos</t>
  </si>
  <si>
    <t>ESPAC 2006, tabla 48</t>
  </si>
  <si>
    <t>ESPAC 2010, tabla 48</t>
  </si>
  <si>
    <t>ESPAC 2012, tabla 48</t>
  </si>
  <si>
    <t>ESPAC 2016 , tabla 64</t>
  </si>
  <si>
    <t>Otros (Especificar)</t>
  </si>
  <si>
    <t>TOTALES</t>
  </si>
  <si>
    <t>CULTIVO DEL ARROZ</t>
  </si>
  <si>
    <t>Superficie sembrada Cultivo Arroz</t>
  </si>
  <si>
    <t xml:space="preserve"> Cultivo del arroz</t>
  </si>
  <si>
    <t>Total /(has)</t>
  </si>
  <si>
    <t>%</t>
  </si>
  <si>
    <t>Total (miles has)</t>
  </si>
  <si>
    <t>Total de superficie sembrada</t>
  </si>
  <si>
    <t>CNA 2000, tabla 20_00</t>
  </si>
  <si>
    <t>ESPAC 2006, tabla 6_06</t>
  </si>
  <si>
    <t>ESPAC 2010, tabla 6_10</t>
  </si>
  <si>
    <t>ESPAC 2012, tabla 6</t>
  </si>
  <si>
    <t>ESPAC 2014, tabla 23</t>
  </si>
  <si>
    <t>ESPAC 2016, tabla 28</t>
  </si>
  <si>
    <t>ESPAC 2018</t>
  </si>
  <si>
    <t>ESPAC 2020</t>
  </si>
  <si>
    <t>ESPAC 2021</t>
  </si>
  <si>
    <t>ESPAC 2022</t>
  </si>
  <si>
    <t>a</t>
  </si>
  <si>
    <t>Upland /tierras altas</t>
  </si>
  <si>
    <t>b</t>
  </si>
  <si>
    <t>Irrigadas</t>
  </si>
  <si>
    <t xml:space="preserve">Inundadas permanentemente </t>
  </si>
  <si>
    <t>c</t>
  </si>
  <si>
    <t>Inundados intermitentemente – aireación simple</t>
  </si>
  <si>
    <t>d</t>
  </si>
  <si>
    <t>Inundados intermitentemente – aireación multiple</t>
  </si>
  <si>
    <t>e</t>
  </si>
  <si>
    <t>Secano y aguas profundas</t>
  </si>
  <si>
    <t>Alimentacion regular por lluvia</t>
  </si>
  <si>
    <t>f</t>
  </si>
  <si>
    <t>Con tendencia a la sequia</t>
  </si>
  <si>
    <t>g</t>
  </si>
  <si>
    <t>Aguas profundas</t>
  </si>
  <si>
    <t>https://fliphtml5.com/ijia/seet/basic</t>
  </si>
  <si>
    <t>SUELOS AGRÍCOLAS</t>
  </si>
  <si>
    <t>Cultivos no Fijadores de Nitrógeno  (Total nacional por año de inventario)</t>
  </si>
  <si>
    <t>Suelos Agrícolas</t>
  </si>
  <si>
    <t>Fracción materia seca (%)</t>
  </si>
  <si>
    <t>Producción (t)</t>
  </si>
  <si>
    <t>Producción Kg. Materia Seca (C*E*1000)</t>
  </si>
  <si>
    <t>Arroz Seco Solo</t>
  </si>
  <si>
    <t>ESPAC 2014, tabla 6</t>
  </si>
  <si>
    <t>ESPAC 2016, tabla 6</t>
  </si>
  <si>
    <t>ESPAC 2018, tabla 6</t>
  </si>
  <si>
    <t>ESPAC 2020, tabla 6</t>
  </si>
  <si>
    <t>ESPAC 2021, tabla 6</t>
  </si>
  <si>
    <t>ESPAC 2022, tabla 6</t>
  </si>
  <si>
    <t>Arroz Seco Asociado</t>
  </si>
  <si>
    <t>Cebada Grano  Seco Solo</t>
  </si>
  <si>
    <t>Cebada Grano  Seco Asociado</t>
  </si>
  <si>
    <t>Maíz Duro  Seco Solo</t>
  </si>
  <si>
    <t>Maíz Duro  Seco Asociado</t>
  </si>
  <si>
    <t>Maíz Suave Seco solo</t>
  </si>
  <si>
    <t>Maíz Suave Seco Asociado</t>
  </si>
  <si>
    <t>Maíz Duro Choclo solo</t>
  </si>
  <si>
    <t>Maíz Duro Choclo asociado</t>
  </si>
  <si>
    <t>Maíz Suave  Choclo Solo</t>
  </si>
  <si>
    <t>Maíz Suave  Choclo Asociado</t>
  </si>
  <si>
    <t>Papa Tierno Solo</t>
  </si>
  <si>
    <t>Papa Tierno Asociado</t>
  </si>
  <si>
    <t>Tomate Riñón Tierno Solo</t>
  </si>
  <si>
    <t>Tomate Riñón Tierno Asociado</t>
  </si>
  <si>
    <t>Trigo  Seco Solo</t>
  </si>
  <si>
    <t>Trigo  Seco Asociado</t>
  </si>
  <si>
    <t>Yuca Tierno Solo</t>
  </si>
  <si>
    <t>Yuca Tierno Asociado</t>
  </si>
  <si>
    <t>Cultivos Fijadores de Nitrógeno  (Total nacional por año de inventario)</t>
  </si>
  <si>
    <t>Aporte de N cultivos fijadores (FBN) kg N/año</t>
  </si>
  <si>
    <t>Producción Kg. Materia Seca (C*I*1000)</t>
  </si>
  <si>
    <t>Producción Kg. Materia Seca (C*M*1000)</t>
  </si>
  <si>
    <t>Producción Kg. Materia Seca (C*Q*1000)</t>
  </si>
  <si>
    <t>Producción Kg. Materia Seca (C*U*1000)</t>
  </si>
  <si>
    <t>Producción Kg. Materia Seca (C*Y*1000)</t>
  </si>
  <si>
    <t>Arveja Seco Solo</t>
  </si>
  <si>
    <t>Arveja Seco Asociado</t>
  </si>
  <si>
    <t>Arveja Tierno Solo</t>
  </si>
  <si>
    <t>Arveja Tierno Asociado</t>
  </si>
  <si>
    <t>Fréjol  Seco Solo</t>
  </si>
  <si>
    <t>Fréjol  Seco Asociado</t>
  </si>
  <si>
    <t>Fréjol  Tierno Solo</t>
  </si>
  <si>
    <t>Fréjol  Tierno Asociado</t>
  </si>
  <si>
    <t>Haba  Seco Solo</t>
  </si>
  <si>
    <t>Haba  Seco Asociado</t>
  </si>
  <si>
    <t>Haba  Tierno Solo</t>
  </si>
  <si>
    <t>Haba  Tierno Asociado</t>
  </si>
  <si>
    <t>Principales Cultivos</t>
  </si>
  <si>
    <t xml:space="preserve"> Quema en el campo de residuos agrícolas</t>
  </si>
  <si>
    <t>Total (t)</t>
  </si>
  <si>
    <t>Total (Gg)</t>
  </si>
  <si>
    <t>1  Cereales</t>
  </si>
  <si>
    <t>Trigo</t>
  </si>
  <si>
    <t>Maíz</t>
  </si>
  <si>
    <t>Maíz  duro choclo (en choclo, solo)</t>
  </si>
  <si>
    <t>Maíz  duro choclo (en choclo, asociado)</t>
  </si>
  <si>
    <t>Maíz  duro seco (grano seco, solo)</t>
  </si>
  <si>
    <t>Maíz  duro seco (grano seco, asociado)</t>
  </si>
  <si>
    <t>Maíz  suave choclo (en choclo, solo)</t>
  </si>
  <si>
    <t>Maíz  suave choclo (en choclo, asociado)</t>
  </si>
  <si>
    <t>Maíz  suave seco (grano seco, solo)</t>
  </si>
  <si>
    <t>Maíz  suave seco (grano seco, asociado)</t>
  </si>
  <si>
    <t>Arroz</t>
  </si>
  <si>
    <t>2  Leguminosa</t>
  </si>
  <si>
    <t>3  Tubérculos y raíces</t>
  </si>
  <si>
    <t>4  Caña de azúcar</t>
  </si>
  <si>
    <t>ESPAC 2006, tabla 2_06</t>
  </si>
  <si>
    <t>ESPAC 2010, tabla 2_10</t>
  </si>
  <si>
    <t>ESPAC 2012, tabla 2</t>
  </si>
  <si>
    <t>5  Otros (Especificar)</t>
  </si>
  <si>
    <t>6 Otros (especificar)</t>
  </si>
  <si>
    <t>Superficie Anual</t>
  </si>
  <si>
    <t>Has.</t>
  </si>
  <si>
    <t>INGEI 2012</t>
  </si>
  <si>
    <t>CNA 2010</t>
  </si>
  <si>
    <t>ESPAC 2006</t>
  </si>
  <si>
    <t>ESPAC 2010</t>
  </si>
  <si>
    <t>ESPAC 2012</t>
  </si>
  <si>
    <t>cebada</t>
  </si>
  <si>
    <t>Yuca</t>
  </si>
  <si>
    <t>Caña de azúcar</t>
  </si>
  <si>
    <t>arveja</t>
  </si>
  <si>
    <t>frejol</t>
  </si>
  <si>
    <t>Haba</t>
  </si>
  <si>
    <t>Papa</t>
  </si>
  <si>
    <t>Producción</t>
  </si>
  <si>
    <t>Tons</t>
  </si>
  <si>
    <t>ESPAC 2014, tabla 39</t>
  </si>
  <si>
    <t>ESPAC 2016, tabla 40</t>
  </si>
  <si>
    <t>ESPAC 2018, tabla 41</t>
  </si>
  <si>
    <t>ESPAC 2014, tabla 32-35</t>
  </si>
  <si>
    <t>ESPAC 2016, tabla 32-36</t>
  </si>
  <si>
    <t>ESPAC 2018, tabla 32-37</t>
  </si>
  <si>
    <t>ESPAC 2016, tabla 23</t>
  </si>
  <si>
    <t>ESPAC 2018, tabla 23</t>
  </si>
  <si>
    <t>ESPAC 2014, tabla 27</t>
  </si>
  <si>
    <t>ESPAC 2016, tabla 27</t>
  </si>
  <si>
    <t>ESPAC 2018, tabla 27</t>
  </si>
  <si>
    <t>ESPAC 2014, tabla 40</t>
  </si>
  <si>
    <t>ESPAC 2018, tabla 40</t>
  </si>
  <si>
    <t>Caña de azucar</t>
  </si>
  <si>
    <t>ESPAC 2014, tabla 15</t>
  </si>
  <si>
    <t>ESPAC 2016, tabla 15</t>
  </si>
  <si>
    <t>ESPAC 2018, tabla 15</t>
  </si>
  <si>
    <t>ESPAC 2014, tabla 36</t>
  </si>
  <si>
    <t>ESPAC 2016, tabla 36</t>
  </si>
  <si>
    <t>ESPAC 2018, tabla 36</t>
  </si>
  <si>
    <t>Fertilizante Sintético Nitrogenado  (Total nacional por año de inventario)</t>
  </si>
  <si>
    <t>4.D. Suelos Agrícolas</t>
  </si>
  <si>
    <t>Porcentaje de N (%)</t>
  </si>
  <si>
    <t>Total N
(C*E)*1000
Kg/año</t>
  </si>
  <si>
    <t>Total N
(C*H)*1000
Kg/año</t>
  </si>
  <si>
    <t>Total N
(C*K)*1000
Kg/año</t>
  </si>
  <si>
    <t>Total N
(C*N)*1000
Kg/año</t>
  </si>
  <si>
    <t>Total N
(C*Q)*1000
Kg/año</t>
  </si>
  <si>
    <t>Total N
(C*T)*1000
Kg/año</t>
  </si>
  <si>
    <t>Total N
(C*W)*1000
Kg/año</t>
  </si>
  <si>
    <t>Urea</t>
  </si>
  <si>
    <t>BCE, 1994</t>
  </si>
  <si>
    <t>BCE, 2000</t>
  </si>
  <si>
    <t>BCE, 2006</t>
  </si>
  <si>
    <t>BCE, 2010</t>
  </si>
  <si>
    <t>BCE, 2012</t>
  </si>
  <si>
    <t>BCE, 2014</t>
  </si>
  <si>
    <t>BCE, UN COMTRADE, FAO (uso Agricola) 2016</t>
  </si>
  <si>
    <t>BCE, UN COMTRADE, FAO (uso Agricola) 2018</t>
  </si>
  <si>
    <t>BCE, UN COMTRADE, FAO (uso Agricola) 2020</t>
  </si>
  <si>
    <t>BCE, UN COMTRADE, FAO (uso Agricola) 2021</t>
  </si>
  <si>
    <t>Nitrato de amonio</t>
  </si>
  <si>
    <t>BCE, UN COMTRADE, FAO (uso Agricola) 2017</t>
  </si>
  <si>
    <t>Fosfato diamónico</t>
  </si>
  <si>
    <t>Sulfato de amonio</t>
  </si>
  <si>
    <t>BCE, UN COMTRADE, FAO (uso Agricola) 2019</t>
  </si>
  <si>
    <t>Nitrato de calcio</t>
  </si>
  <si>
    <t>Fosfato Monoamónico</t>
  </si>
  <si>
    <t>Nitrato de potasio</t>
  </si>
  <si>
    <t>Nitrato de sodio</t>
  </si>
  <si>
    <t>BCE, UN COMTRADE, FAO (uso Agricola) 2023</t>
  </si>
  <si>
    <t>TOTALES  FERTILIZANTES SINTETICOS</t>
  </si>
  <si>
    <t>TOTALES FERTILIZANTES ORGÁNICOS</t>
  </si>
  <si>
    <t>retroproyección estadistica según tendencia de fertilizantes sinteticos</t>
  </si>
  <si>
    <t>ESPAC 2014</t>
  </si>
  <si>
    <t>ESPAC 2016</t>
  </si>
  <si>
    <t>Fertilizantes usados en cultivo de arroz- TOTAL</t>
  </si>
  <si>
    <t>ESPAC 2014 (corregida)</t>
  </si>
  <si>
    <t>Sinteticos para arroz</t>
  </si>
  <si>
    <t>retroproyección % fertilizante usado en cultivos de arroz dato ESPAC 2014 dato volumen puro de N</t>
  </si>
  <si>
    <t>ESPAC 2016, volumen de N para homologar unidades de medida procesado de la base SPSS</t>
  </si>
  <si>
    <t>Estimado a partir de la tasa de variación de la producción 2018 vs 2016</t>
  </si>
  <si>
    <t>Orgánicos para arroz</t>
  </si>
  <si>
    <t>retroproyección % fertilizante orgánico usado en cultivos de arroz dato ESPAC 2014</t>
  </si>
  <si>
    <t>Estimado a partir de la tasa de variación de la producción 2018 vs 2017</t>
  </si>
  <si>
    <t>Ton/ha promedio</t>
  </si>
  <si>
    <t>Área de suelos orgánicos manejados / drenados.  (Ha)</t>
  </si>
  <si>
    <t>FAO STAT</t>
  </si>
  <si>
    <t>FAO STATS</t>
  </si>
  <si>
    <t>FAO STAT 2012</t>
  </si>
  <si>
    <t>FAO, FAOSTATS 2014</t>
  </si>
  <si>
    <t>FAO, FAOSTATS 2018</t>
  </si>
  <si>
    <t>FAO, FAOSTATS 2020</t>
  </si>
  <si>
    <t>FAO, FAOSTATS 2021</t>
  </si>
  <si>
    <t>FAO, FAOSTATS 2022 (DATO 2021 NO DISPONIBLE AUN)</t>
  </si>
  <si>
    <t>Producción de cal</t>
  </si>
  <si>
    <t>ENCALADO</t>
  </si>
  <si>
    <t>Ton</t>
  </si>
  <si>
    <t>Piedra Caliza</t>
  </si>
  <si>
    <t>Estimación retroproyectada del calculo estadistico para el año 2014, dato calculado final. Basado en tendencias y tasas de variación sectoriales y de ventas y producción de las principales compañias de cal</t>
  </si>
  <si>
    <t>Estimación según datos sectoriales levantados Calmosacorp, Asociación de caleros 2014</t>
  </si>
  <si>
    <t>Estimación según datos sectoriales levantados Calmosacorp, Asociación de caleros 2014 proyección según Superin. Compañias a 2016</t>
  </si>
  <si>
    <t>Estimación según datos sectoriales levantados Calmosacorp, Asociación de caleros 2014 proyección según Superin. Compañias a 2018</t>
  </si>
  <si>
    <t>Estimación según datos sectoriales levantados Calmosacorp, Asociación de caleros 2014 proyección según Superin. Compañias a 2019</t>
  </si>
  <si>
    <t>Estimación según datos sectoriales levantados Calmosacorp, Asociación de caleros 2014 proyección según Superin. Compañias a 2020</t>
  </si>
  <si>
    <t>Estimación según datos sectoriales levantados Calmosacorp, Asociación de caleros 2014 proyección según Superin. Compañias a 2022</t>
  </si>
  <si>
    <t>Dolomita</t>
  </si>
  <si>
    <t>BCE, Comercio Exterior</t>
  </si>
  <si>
    <t>BCE, Comercio Exterior partida 2518200000</t>
  </si>
  <si>
    <t>INFORME SECTORIAL PARA INVENTARIOS NACIONALES DE GASES DE EFECTO INVERNADERO</t>
  </si>
  <si>
    <t xml:space="preserve"> (Gg) </t>
  </si>
  <si>
    <t xml:space="preserve">FUENTES DE GASES DE INVERNADERO </t>
  </si>
  <si>
    <t>CO</t>
  </si>
  <si>
    <t>Total Agricultura</t>
  </si>
  <si>
    <t>3A1 Fermentacion Entérica</t>
  </si>
  <si>
    <t xml:space="preserve">          1 Bovinos</t>
  </si>
  <si>
    <t>          2 Búfalos</t>
  </si>
  <si>
    <t>          3 Ovejas</t>
  </si>
  <si>
    <t>          4 Cabras</t>
  </si>
  <si>
    <t>          5 Camélidos sudamericanos</t>
  </si>
  <si>
    <t>          6 Caballos</t>
  </si>
  <si>
    <t>          7 Mulas Y Culos</t>
  </si>
  <si>
    <t>          8 Cerdos</t>
  </si>
  <si>
    <t>          9 Aves De Corral</t>
  </si>
  <si>
    <t>3A2  Gestión de estiércol  DIRECTO</t>
  </si>
  <si>
    <t>3C6  Gestión de estiércol INDIRECTO</t>
  </si>
  <si>
    <t xml:space="preserve">          1 Bovino</t>
  </si>
  <si>
    <t>          7 Mulas y Asnos</t>
  </si>
  <si>
    <t>3C7  Cultivo de Arroz</t>
  </si>
  <si>
    <t xml:space="preserve">          1  Irrigados - inundados intermitentemente -aireación multiple</t>
  </si>
  <si>
    <t xml:space="preserve">          2  Secano y aguas profundas -alimentación por lluvia</t>
  </si>
  <si>
    <t xml:space="preserve">          3  Secano y aguas profundas -aguas profundas</t>
  </si>
  <si>
    <t xml:space="preserve">          4  Otro</t>
  </si>
  <si>
    <t>3C4-5 Suelos Agricolas</t>
  </si>
  <si>
    <t>1 N2O Emisiones Directas de Suelos Agrícolas (1)</t>
  </si>
  <si>
    <t>2 N2O Emisiones Directas de Suelos Agrícolas (2)</t>
  </si>
  <si>
    <t>3 N2O Emisiones Indirectas de Suelos Agrícolas (1)</t>
  </si>
  <si>
    <t>.</t>
  </si>
  <si>
    <t>4 N2O Emisiones Indirectas de Suelos Agrícolas (2)</t>
  </si>
  <si>
    <t>3C3  Fertlización con Urea</t>
  </si>
  <si>
    <t>3C2 Uso de la Cal (Encalado)</t>
  </si>
  <si>
    <t>E  Prescribed Burning of Savannas</t>
  </si>
  <si>
    <t>3C1  Quema de biomasa</t>
  </si>
  <si>
    <t>CH4</t>
  </si>
  <si>
    <t>N2O</t>
  </si>
  <si>
    <t>NOx</t>
  </si>
  <si>
    <t>CO2</t>
  </si>
  <si>
    <t>IPCC 2006</t>
  </si>
  <si>
    <t>Sector</t>
  </si>
  <si>
    <t xml:space="preserve">Categorías de fuentes </t>
  </si>
  <si>
    <t>Gas Efecto Invernadero</t>
  </si>
  <si>
    <t>Emisión  INGEI 2010
 (Gg CO2eq)</t>
  </si>
  <si>
    <t>Suma</t>
  </si>
  <si>
    <t>3A1</t>
  </si>
  <si>
    <t>Agricultura</t>
  </si>
  <si>
    <t>Emisiones de CH4 por fermentación entérica en el ganado doméstico</t>
  </si>
  <si>
    <t>3A2</t>
  </si>
  <si>
    <t>Emisiones de CH4 del gestión de estiércol</t>
  </si>
  <si>
    <t>N2O Emisiones directas de la gestión de estiércol</t>
  </si>
  <si>
    <t>3C6</t>
  </si>
  <si>
    <t>N2O Emisiones indirectas de la gestión de estiércol</t>
  </si>
  <si>
    <t>3C2</t>
  </si>
  <si>
    <t>Encalado: Emisiones anuales de CO2-C de Encalado</t>
  </si>
  <si>
    <t>3C3</t>
  </si>
  <si>
    <t>Fertilización de urea: Emisiones anuales de CO2</t>
  </si>
  <si>
    <t>3C4</t>
  </si>
  <si>
    <t>N2O Emisiones Directas de Suelos Agrícolas</t>
  </si>
  <si>
    <t>3C5</t>
  </si>
  <si>
    <t>N2O Emisiones Indirectas de Suelos Agrícolas</t>
  </si>
  <si>
    <t>3C7</t>
  </si>
  <si>
    <t>Emisiones de CH4 de la producción de arroz</t>
  </si>
  <si>
    <t>3C1</t>
  </si>
  <si>
    <t>Emisiones de la quema de biomasa en tierras de cultivo</t>
  </si>
  <si>
    <t>CH4, N2O</t>
  </si>
  <si>
    <t>Emisión  INGEI 2012
 (Gg CO2eq)</t>
  </si>
  <si>
    <t>Emisión  INGEI 2014
 (Gg CO2eq)</t>
  </si>
  <si>
    <t>Emisión  INGEI 2016
 (Gg CO2eq)</t>
  </si>
  <si>
    <t>Emisión  INGEI 2018
 (Gg CO2eq)</t>
  </si>
  <si>
    <t>Emisión  INGEI 2020
 (Gg CO2eq)</t>
  </si>
  <si>
    <t>Emisión  INGEI 2021
 (Gg CO2eq)</t>
  </si>
  <si>
    <t>Emisión  INGEI 2022
 (Gg CO2eq)</t>
  </si>
  <si>
    <t>3A2/3B</t>
  </si>
  <si>
    <t>3C6/3B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</si>
</sst>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%"/>
    <numFmt numFmtId="166" formatCode="#,##0.0"/>
    <numFmt numFmtId="167" formatCode="#,##0.00000"/>
    <numFmt numFmtId="168" formatCode="#,##0.000"/>
    <numFmt numFmtId="169" formatCode="#,##0.0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</font>
    <font>
      <u/>
      <sz val="11"/>
      <color theme="10"/>
      <name val="Liberation Sans"/>
      <family val="2"/>
    </font>
    <font>
      <b/>
      <u/>
      <sz val="11"/>
      <color theme="10"/>
      <name val="Liberation Sans"/>
      <family val="2"/>
    </font>
    <font>
      <sz val="10"/>
      <color rgb="FF000000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Calibri"/>
      <family val="2"/>
      <charset val="1"/>
    </font>
    <font>
      <sz val="10"/>
      <name val="Calibri"/>
      <family val="2"/>
    </font>
    <font>
      <b/>
      <sz val="10"/>
      <color rgb="FFE46C0A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i/>
      <sz val="11"/>
      <color theme="1"/>
      <name val="Liberation Sans"/>
      <family val="2"/>
    </font>
    <font>
      <sz val="9"/>
      <name val="Calibri"/>
      <family val="2"/>
      <charset val="1"/>
    </font>
    <font>
      <b/>
      <sz val="9"/>
      <name val="Calibri"/>
      <family val="2"/>
    </font>
    <font>
      <b/>
      <sz val="16"/>
      <name val="Calibri"/>
      <family val="2"/>
      <scheme val="minor"/>
    </font>
    <font>
      <b/>
      <sz val="10"/>
      <color theme="4" tint="-0.249977111117893"/>
      <name val="Calibri"/>
      <family val="2"/>
      <charset val="1"/>
    </font>
    <font>
      <sz val="10"/>
      <color theme="0" tint="-0.249977111117893"/>
      <name val="Calibri"/>
      <family val="2"/>
      <charset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rgb="FFFFFFFF"/>
        <bgColor rgb="FFFFFFCC"/>
      </patternFill>
    </fill>
    <fill>
      <patternFill patternType="solid">
        <fgColor theme="6" tint="-0.499984740745262"/>
        <bgColor rgb="FF663300"/>
      </patternFill>
    </fill>
    <fill>
      <patternFill patternType="solid">
        <fgColor rgb="FFD9D9D9"/>
        <bgColor rgb="FFD7E4B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rgb="FFB3B3B3"/>
      </patternFill>
    </fill>
    <fill>
      <patternFill patternType="solid">
        <fgColor theme="5" tint="0.79998168889431442"/>
        <bgColor rgb="FFB3B3B3"/>
      </patternFill>
    </fill>
    <fill>
      <patternFill patternType="solid">
        <fgColor theme="1" tint="0.34998626667073579"/>
        <bgColor rgb="FF948A54"/>
      </patternFill>
    </fill>
    <fill>
      <patternFill patternType="solid">
        <fgColor theme="0" tint="-0.14999847407452621"/>
        <bgColor rgb="FF77933C"/>
      </patternFill>
    </fill>
    <fill>
      <patternFill patternType="solid">
        <fgColor theme="1" tint="0.34998626667073579"/>
        <bgColor rgb="FF6C6C6D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2" tint="-9.9978637043366805E-2"/>
        <b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3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5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rgb="FF3F3F3F"/>
      </bottom>
      <diagonal/>
    </border>
    <border>
      <left/>
      <right style="thin">
        <color indexed="64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/>
      <right style="thin">
        <color indexed="64"/>
      </right>
      <top style="double">
        <color rgb="FF3F3F3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31" fillId="0" borderId="0"/>
  </cellStyleXfs>
  <cellXfs count="277">
    <xf numFmtId="0" fontId="0" fillId="0" borderId="0" xfId="0"/>
    <xf numFmtId="2" fontId="0" fillId="0" borderId="0" xfId="0" applyNumberFormat="1"/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9" fillId="0" borderId="0" xfId="5" applyFont="1"/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 applyProtection="1">
      <alignment horizontal="center" vertical="center" wrapText="1"/>
      <protection locked="0"/>
    </xf>
    <xf numFmtId="0" fontId="7" fillId="4" borderId="9" xfId="0" applyFont="1" applyFill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/>
    <xf numFmtId="2" fontId="10" fillId="0" borderId="0" xfId="0" applyNumberFormat="1" applyFont="1"/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6" borderId="0" xfId="0" applyFont="1" applyFill="1"/>
    <xf numFmtId="3" fontId="0" fillId="0" borderId="0" xfId="0" applyNumberFormat="1"/>
    <xf numFmtId="3" fontId="10" fillId="0" borderId="0" xfId="0" applyNumberFormat="1" applyFont="1"/>
    <xf numFmtId="0" fontId="4" fillId="3" borderId="3" xfId="4" applyBorder="1" applyAlignment="1" applyProtection="1">
      <alignment horizontal="center" vertical="center"/>
    </xf>
    <xf numFmtId="0" fontId="4" fillId="3" borderId="7" xfId="4" applyBorder="1" applyAlignment="1" applyProtection="1">
      <alignment horizontal="center" vertical="center"/>
    </xf>
    <xf numFmtId="0" fontId="13" fillId="7" borderId="11" xfId="4" applyFont="1" applyFill="1" applyBorder="1" applyAlignment="1" applyProtection="1">
      <alignment vertical="center"/>
      <protection locked="0"/>
    </xf>
    <xf numFmtId="0" fontId="13" fillId="7" borderId="12" xfId="4" applyFont="1" applyFill="1" applyBorder="1" applyAlignment="1" applyProtection="1">
      <alignment vertical="center"/>
      <protection locked="0"/>
    </xf>
    <xf numFmtId="0" fontId="13" fillId="7" borderId="13" xfId="4" applyFont="1" applyFill="1" applyBorder="1" applyAlignment="1" applyProtection="1">
      <alignment vertical="center"/>
      <protection locked="0"/>
    </xf>
    <xf numFmtId="0" fontId="13" fillId="0" borderId="0" xfId="4" applyFont="1" applyFill="1" applyBorder="1" applyAlignment="1" applyProtection="1">
      <alignment vertical="center"/>
      <protection locked="0"/>
    </xf>
    <xf numFmtId="0" fontId="4" fillId="3" borderId="11" xfId="4" applyBorder="1" applyAlignment="1" applyProtection="1">
      <alignment horizontal="center" vertical="center"/>
    </xf>
    <xf numFmtId="0" fontId="4" fillId="3" borderId="13" xfId="4" applyBorder="1" applyAlignment="1" applyProtection="1">
      <alignment horizontal="center" vertical="center"/>
    </xf>
    <xf numFmtId="0" fontId="4" fillId="3" borderId="14" xfId="4" applyBorder="1" applyAlignment="1" applyProtection="1">
      <alignment horizontal="center" vertical="center"/>
    </xf>
    <xf numFmtId="0" fontId="4" fillId="3" borderId="15" xfId="4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/>
    </xf>
    <xf numFmtId="0" fontId="14" fillId="0" borderId="17" xfId="0" applyFont="1" applyBorder="1" applyAlignment="1">
      <alignment horizontal="center" vertical="center" textRotation="90"/>
    </xf>
    <xf numFmtId="0" fontId="2" fillId="2" borderId="18" xfId="3" applyBorder="1" applyAlignment="1" applyProtection="1">
      <alignment horizontal="left" vertical="center"/>
    </xf>
    <xf numFmtId="0" fontId="2" fillId="8" borderId="1" xfId="3" applyFill="1" applyAlignment="1" applyProtection="1">
      <alignment horizontal="left" vertical="center"/>
    </xf>
    <xf numFmtId="3" fontId="15" fillId="4" borderId="16" xfId="0" applyNumberFormat="1" applyFont="1" applyFill="1" applyBorder="1" applyAlignment="1">
      <alignment horizontal="left" vertical="center"/>
    </xf>
    <xf numFmtId="3" fontId="15" fillId="9" borderId="16" xfId="0" applyNumberFormat="1" applyFont="1" applyFill="1" applyBorder="1" applyAlignment="1">
      <alignment vertical="center"/>
    </xf>
    <xf numFmtId="3" fontId="15" fillId="4" borderId="16" xfId="0" applyNumberFormat="1" applyFont="1" applyFill="1" applyBorder="1" applyAlignment="1">
      <alignment vertical="center"/>
    </xf>
    <xf numFmtId="3" fontId="15" fillId="9" borderId="16" xfId="0" applyNumberFormat="1" applyFont="1" applyFill="1" applyBorder="1" applyAlignment="1">
      <alignment horizontal="right" vertical="center"/>
    </xf>
    <xf numFmtId="3" fontId="16" fillId="9" borderId="16" xfId="0" applyNumberFormat="1" applyFont="1" applyFill="1" applyBorder="1" applyAlignment="1" applyProtection="1">
      <alignment vertical="center"/>
      <protection locked="0"/>
    </xf>
    <xf numFmtId="0" fontId="14" fillId="0" borderId="19" xfId="0" applyFont="1" applyBorder="1" applyAlignment="1">
      <alignment horizontal="center" vertical="center" textRotation="90"/>
    </xf>
    <xf numFmtId="0" fontId="14" fillId="0" borderId="20" xfId="0" applyFont="1" applyBorder="1" applyAlignment="1">
      <alignment horizontal="center" vertical="center" textRotation="90"/>
    </xf>
    <xf numFmtId="0" fontId="2" fillId="2" borderId="21" xfId="3" applyBorder="1" applyAlignment="1" applyProtection="1">
      <alignment horizontal="center" vertical="center"/>
    </xf>
    <xf numFmtId="0" fontId="2" fillId="2" borderId="18" xfId="3" applyBorder="1" applyAlignment="1" applyProtection="1">
      <alignment horizontal="center" vertical="center"/>
    </xf>
    <xf numFmtId="3" fontId="16" fillId="9" borderId="16" xfId="0" applyNumberFormat="1" applyFont="1" applyFill="1" applyBorder="1" applyAlignment="1">
      <alignment vertical="center"/>
    </xf>
    <xf numFmtId="3" fontId="16" fillId="10" borderId="16" xfId="0" applyNumberFormat="1" applyFont="1" applyFill="1" applyBorder="1" applyAlignment="1" applyProtection="1">
      <alignment vertical="center"/>
      <protection locked="0"/>
    </xf>
    <xf numFmtId="0" fontId="2" fillId="2" borderId="1" xfId="3" applyAlignment="1" applyProtection="1">
      <alignment horizontal="left" vertical="center"/>
    </xf>
    <xf numFmtId="3" fontId="17" fillId="9" borderId="16" xfId="0" applyNumberFormat="1" applyFont="1" applyFill="1" applyBorder="1" applyAlignment="1">
      <alignment vertical="center"/>
    </xf>
    <xf numFmtId="3" fontId="18" fillId="4" borderId="16" xfId="0" applyNumberFormat="1" applyFont="1" applyFill="1" applyBorder="1" applyAlignment="1">
      <alignment horizontal="left" vertical="center"/>
    </xf>
    <xf numFmtId="3" fontId="18" fillId="9" borderId="16" xfId="0" applyNumberFormat="1" applyFont="1" applyFill="1" applyBorder="1" applyAlignment="1">
      <alignment horizontal="right" vertical="center"/>
    </xf>
    <xf numFmtId="3" fontId="17" fillId="9" borderId="16" xfId="0" applyNumberFormat="1" applyFont="1" applyFill="1" applyBorder="1" applyAlignment="1" applyProtection="1">
      <alignment vertical="center"/>
      <protection locked="0"/>
    </xf>
    <xf numFmtId="0" fontId="4" fillId="3" borderId="22" xfId="4" applyBorder="1" applyAlignment="1" applyProtection="1">
      <alignment horizontal="center" vertical="center"/>
    </xf>
    <xf numFmtId="0" fontId="4" fillId="3" borderId="23" xfId="4" applyBorder="1" applyAlignment="1" applyProtection="1">
      <alignment horizontal="center" vertical="center"/>
    </xf>
    <xf numFmtId="3" fontId="4" fillId="3" borderId="16" xfId="4" applyNumberFormat="1" applyBorder="1" applyAlignment="1" applyProtection="1">
      <alignment horizontal="center" vertical="center"/>
    </xf>
    <xf numFmtId="0" fontId="19" fillId="6" borderId="0" xfId="0" applyFont="1" applyFill="1"/>
    <xf numFmtId="10" fontId="20" fillId="0" borderId="0" xfId="0" applyNumberFormat="1" applyFont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2" fillId="3" borderId="11" xfId="4" applyFont="1" applyBorder="1" applyAlignment="1" applyProtection="1">
      <alignment horizontal="center" vertical="center"/>
    </xf>
    <xf numFmtId="0" fontId="13" fillId="7" borderId="24" xfId="4" applyFont="1" applyFill="1" applyBorder="1" applyAlignment="1" applyProtection="1">
      <alignment horizontal="center" vertical="center"/>
    </xf>
    <xf numFmtId="0" fontId="13" fillId="7" borderId="25" xfId="4" applyFont="1" applyFill="1" applyBorder="1" applyAlignment="1" applyProtection="1">
      <alignment horizontal="center" vertical="center"/>
    </xf>
    <xf numFmtId="0" fontId="2" fillId="3" borderId="16" xfId="4" applyFont="1" applyBorder="1" applyAlignment="1" applyProtection="1">
      <alignment horizontal="center" vertical="center"/>
    </xf>
    <xf numFmtId="0" fontId="4" fillId="3" borderId="26" xfId="4" applyBorder="1" applyAlignment="1" applyProtection="1">
      <alignment horizontal="center" vertical="center"/>
    </xf>
    <xf numFmtId="0" fontId="4" fillId="3" borderId="27" xfId="4" applyBorder="1" applyAlignment="1" applyProtection="1">
      <alignment horizontal="center" vertical="center"/>
    </xf>
    <xf numFmtId="0" fontId="4" fillId="3" borderId="28" xfId="4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/>
    </xf>
    <xf numFmtId="0" fontId="2" fillId="3" borderId="16" xfId="4" applyFont="1" applyBorder="1" applyAlignment="1" applyProtection="1">
      <alignment horizontal="left" vertical="center"/>
    </xf>
    <xf numFmtId="4" fontId="15" fillId="4" borderId="16" xfId="0" applyNumberFormat="1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horizontal="right" vertical="center" wrapText="1"/>
    </xf>
    <xf numFmtId="3" fontId="15" fillId="12" borderId="16" xfId="1" applyNumberFormat="1" applyFont="1" applyFill="1" applyBorder="1" applyAlignment="1" applyProtection="1">
      <alignment horizontal="left" vertical="center"/>
    </xf>
    <xf numFmtId="3" fontId="15" fillId="12" borderId="16" xfId="0" applyNumberFormat="1" applyFont="1" applyFill="1" applyBorder="1" applyAlignment="1">
      <alignment horizontal="left" vertical="center"/>
    </xf>
    <xf numFmtId="0" fontId="21" fillId="4" borderId="29" xfId="0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horizontal="right" vertical="center"/>
    </xf>
    <xf numFmtId="4" fontId="15" fillId="4" borderId="29" xfId="0" applyNumberFormat="1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vertical="center"/>
    </xf>
    <xf numFmtId="3" fontId="18" fillId="12" borderId="30" xfId="1" applyNumberFormat="1" applyFont="1" applyFill="1" applyBorder="1" applyAlignment="1" applyProtection="1">
      <alignment vertical="center"/>
      <protection locked="0"/>
    </xf>
    <xf numFmtId="3" fontId="22" fillId="12" borderId="16" xfId="0" applyNumberFormat="1" applyFont="1" applyFill="1" applyBorder="1" applyAlignment="1">
      <alignment horizontal="center" vertical="center"/>
    </xf>
    <xf numFmtId="4" fontId="15" fillId="12" borderId="16" xfId="0" applyNumberFormat="1" applyFont="1" applyFill="1" applyBorder="1" applyAlignment="1">
      <alignment horizontal="left" vertical="center"/>
    </xf>
    <xf numFmtId="0" fontId="2" fillId="3" borderId="16" xfId="4" applyFont="1" applyBorder="1" applyAlignment="1" applyProtection="1">
      <alignment horizontal="center" vertical="center"/>
    </xf>
    <xf numFmtId="3" fontId="16" fillId="4" borderId="16" xfId="1" applyNumberFormat="1" applyFont="1" applyFill="1" applyBorder="1" applyAlignment="1" applyProtection="1">
      <alignment vertical="center"/>
      <protection locked="0"/>
    </xf>
    <xf numFmtId="165" fontId="16" fillId="4" borderId="16" xfId="2" applyNumberFormat="1" applyFont="1" applyFill="1" applyBorder="1" applyAlignment="1" applyProtection="1">
      <alignment vertical="center"/>
      <protection locked="0"/>
    </xf>
    <xf numFmtId="0" fontId="21" fillId="4" borderId="16" xfId="0" applyFont="1" applyFill="1" applyBorder="1" applyAlignment="1">
      <alignment horizontal="left" vertical="center"/>
    </xf>
    <xf numFmtId="0" fontId="10" fillId="0" borderId="16" xfId="0" applyFont="1" applyBorder="1"/>
    <xf numFmtId="0" fontId="2" fillId="3" borderId="2" xfId="4" applyFont="1" applyBorder="1" applyAlignment="1" applyProtection="1">
      <alignment horizontal="center" vertical="center"/>
    </xf>
    <xf numFmtId="0" fontId="2" fillId="3" borderId="11" xfId="4" applyFont="1" applyBorder="1" applyAlignment="1" applyProtection="1">
      <alignment horizontal="left" vertical="center"/>
    </xf>
    <xf numFmtId="0" fontId="2" fillId="3" borderId="31" xfId="4" applyFont="1" applyBorder="1" applyAlignment="1" applyProtection="1">
      <alignment horizontal="center" vertical="center"/>
    </xf>
    <xf numFmtId="0" fontId="2" fillId="3" borderId="29" xfId="4" applyFont="1" applyBorder="1" applyAlignment="1" applyProtection="1">
      <alignment horizontal="center" vertical="center"/>
    </xf>
    <xf numFmtId="0" fontId="2" fillId="3" borderId="5" xfId="4" applyFont="1" applyBorder="1" applyAlignment="1" applyProtection="1">
      <alignment vertical="center"/>
    </xf>
    <xf numFmtId="0" fontId="2" fillId="3" borderId="0" xfId="4" applyFont="1" applyBorder="1" applyAlignment="1" applyProtection="1">
      <alignment horizontal="left" vertical="center"/>
    </xf>
    <xf numFmtId="0" fontId="2" fillId="3" borderId="0" xfId="4" applyFont="1" applyBorder="1" applyAlignment="1" applyProtection="1">
      <alignment vertical="center"/>
    </xf>
    <xf numFmtId="165" fontId="10" fillId="0" borderId="16" xfId="2" applyNumberFormat="1" applyFont="1" applyBorder="1"/>
    <xf numFmtId="0" fontId="2" fillId="3" borderId="9" xfId="4" applyFont="1" applyBorder="1" applyAlignment="1" applyProtection="1">
      <alignment vertical="center"/>
    </xf>
    <xf numFmtId="1" fontId="10" fillId="0" borderId="0" xfId="0" applyNumberFormat="1" applyFont="1"/>
    <xf numFmtId="0" fontId="8" fillId="0" borderId="0" xfId="5"/>
    <xf numFmtId="0" fontId="11" fillId="13" borderId="0" xfId="0" applyFont="1" applyFill="1" applyAlignment="1">
      <alignment horizontal="center" vertical="center"/>
    </xf>
    <xf numFmtId="0" fontId="4" fillId="3" borderId="16" xfId="4" applyBorder="1" applyAlignment="1" applyProtection="1">
      <alignment horizontal="center" vertical="center"/>
    </xf>
    <xf numFmtId="0" fontId="23" fillId="7" borderId="2" xfId="4" applyFont="1" applyFill="1" applyBorder="1" applyAlignment="1" applyProtection="1">
      <alignment horizontal="center" vertical="center"/>
    </xf>
    <xf numFmtId="0" fontId="4" fillId="3" borderId="11" xfId="4" applyBorder="1" applyAlignment="1" applyProtection="1">
      <alignment horizontal="center" vertical="center" wrapText="1"/>
    </xf>
    <xf numFmtId="0" fontId="4" fillId="3" borderId="32" xfId="4" applyBorder="1" applyAlignment="1" applyProtection="1">
      <alignment horizontal="center" vertical="center"/>
    </xf>
    <xf numFmtId="0" fontId="4" fillId="3" borderId="33" xfId="4" applyBorder="1" applyAlignment="1" applyProtection="1">
      <alignment horizontal="center" vertical="center"/>
    </xf>
    <xf numFmtId="0" fontId="4" fillId="3" borderId="34" xfId="4" applyBorder="1" applyAlignment="1" applyProtection="1">
      <alignment horizontal="center" vertical="center"/>
    </xf>
    <xf numFmtId="0" fontId="4" fillId="3" borderId="35" xfId="4" applyBorder="1" applyAlignment="1" applyProtection="1">
      <alignment horizontal="center" vertical="center"/>
    </xf>
    <xf numFmtId="0" fontId="4" fillId="3" borderId="36" xfId="4" applyBorder="1" applyAlignment="1" applyProtection="1">
      <alignment horizontal="center" vertical="center"/>
    </xf>
    <xf numFmtId="0" fontId="4" fillId="3" borderId="37" xfId="4" applyBorder="1" applyAlignment="1" applyProtection="1">
      <alignment horizontal="center" vertical="center"/>
    </xf>
    <xf numFmtId="0" fontId="4" fillId="3" borderId="2" xfId="4" applyBorder="1" applyAlignment="1" applyProtection="1">
      <alignment horizontal="center" vertical="center"/>
    </xf>
    <xf numFmtId="0" fontId="4" fillId="3" borderId="38" xfId="4" applyBorder="1" applyAlignment="1" applyProtection="1">
      <alignment horizontal="center" vertical="center" wrapText="1"/>
    </xf>
    <xf numFmtId="2" fontId="4" fillId="3" borderId="38" xfId="4" applyNumberFormat="1" applyBorder="1" applyAlignment="1" applyProtection="1">
      <alignment horizontal="center" vertical="center" wrapText="1"/>
    </xf>
    <xf numFmtId="2" fontId="15" fillId="4" borderId="11" xfId="0" applyNumberFormat="1" applyFont="1" applyFill="1" applyBorder="1"/>
    <xf numFmtId="4" fontId="15" fillId="4" borderId="39" xfId="0" applyNumberFormat="1" applyFont="1" applyFill="1" applyBorder="1" applyAlignment="1">
      <alignment horizontal="left" vertical="center"/>
    </xf>
    <xf numFmtId="3" fontId="15" fillId="9" borderId="16" xfId="1" applyNumberFormat="1" applyFont="1" applyFill="1" applyBorder="1" applyAlignment="1" applyProtection="1">
      <alignment vertical="center"/>
      <protection locked="0"/>
    </xf>
    <xf numFmtId="3" fontId="18" fillId="4" borderId="40" xfId="1" applyNumberFormat="1" applyFont="1" applyFill="1" applyBorder="1" applyAlignment="1" applyProtection="1">
      <alignment vertical="center"/>
    </xf>
    <xf numFmtId="3" fontId="15" fillId="9" borderId="16" xfId="1" applyNumberFormat="1" applyFont="1" applyFill="1" applyBorder="1" applyAlignment="1" applyProtection="1">
      <alignment vertical="center"/>
    </xf>
    <xf numFmtId="4" fontId="15" fillId="4" borderId="41" xfId="0" applyNumberFormat="1" applyFont="1" applyFill="1" applyBorder="1" applyAlignment="1">
      <alignment horizontal="left" vertical="center"/>
    </xf>
    <xf numFmtId="3" fontId="16" fillId="9" borderId="16" xfId="1" applyNumberFormat="1" applyFont="1" applyFill="1" applyBorder="1" applyAlignment="1" applyProtection="1">
      <alignment vertical="center"/>
    </xf>
    <xf numFmtId="3" fontId="15" fillId="4" borderId="39" xfId="0" applyNumberFormat="1" applyFont="1" applyFill="1" applyBorder="1" applyAlignment="1">
      <alignment horizontal="left" vertical="center"/>
    </xf>
    <xf numFmtId="3" fontId="15" fillId="4" borderId="40" xfId="1" applyNumberFormat="1" applyFont="1" applyFill="1" applyBorder="1" applyAlignment="1" applyProtection="1">
      <alignment vertical="center"/>
    </xf>
    <xf numFmtId="3" fontId="15" fillId="9" borderId="16" xfId="1" applyNumberFormat="1" applyFont="1" applyFill="1" applyBorder="1" applyAlignment="1" applyProtection="1">
      <alignment vertical="center" wrapText="1"/>
      <protection locked="0"/>
    </xf>
    <xf numFmtId="4" fontId="15" fillId="4" borderId="42" xfId="0" applyNumberFormat="1" applyFont="1" applyFill="1" applyBorder="1" applyAlignment="1">
      <alignment horizontal="left" vertical="center"/>
    </xf>
    <xf numFmtId="0" fontId="4" fillId="3" borderId="16" xfId="4" applyBorder="1" applyAlignment="1" applyProtection="1">
      <alignment vertical="center"/>
    </xf>
    <xf numFmtId="0" fontId="4" fillId="3" borderId="11" xfId="4" applyBorder="1"/>
    <xf numFmtId="4" fontId="4" fillId="3" borderId="43" xfId="4" applyNumberFormat="1" applyBorder="1"/>
    <xf numFmtId="3" fontId="4" fillId="3" borderId="44" xfId="4" applyNumberFormat="1" applyBorder="1"/>
    <xf numFmtId="3" fontId="4" fillId="3" borderId="45" xfId="4" applyNumberFormat="1" applyBorder="1" applyProtection="1"/>
    <xf numFmtId="4" fontId="4" fillId="3" borderId="43" xfId="4" applyNumberFormat="1" applyBorder="1" applyProtection="1"/>
    <xf numFmtId="3" fontId="4" fillId="3" borderId="44" xfId="4" applyNumberFormat="1" applyBorder="1" applyProtection="1"/>
    <xf numFmtId="3" fontId="4" fillId="3" borderId="43" xfId="4" applyNumberFormat="1" applyBorder="1" applyProtection="1"/>
    <xf numFmtId="0" fontId="23" fillId="7" borderId="16" xfId="4" applyFont="1" applyFill="1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 wrapText="1"/>
    </xf>
    <xf numFmtId="0" fontId="4" fillId="3" borderId="12" xfId="4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 wrapText="1"/>
    </xf>
    <xf numFmtId="2" fontId="4" fillId="3" borderId="16" xfId="4" applyNumberFormat="1" applyBorder="1" applyAlignment="1" applyProtection="1">
      <alignment horizontal="center" vertical="center" wrapText="1"/>
    </xf>
    <xf numFmtId="0" fontId="2" fillId="3" borderId="16" xfId="4" applyFont="1" applyBorder="1" applyAlignment="1" applyProtection="1">
      <alignment vertical="center"/>
    </xf>
    <xf numFmtId="2" fontId="15" fillId="4" borderId="16" xfId="0" applyNumberFormat="1" applyFont="1" applyFill="1" applyBorder="1"/>
    <xf numFmtId="3" fontId="15" fillId="4" borderId="16" xfId="0" applyNumberFormat="1" applyFont="1" applyFill="1" applyBorder="1"/>
    <xf numFmtId="3" fontId="18" fillId="4" borderId="16" xfId="0" applyNumberFormat="1" applyFont="1" applyFill="1" applyBorder="1"/>
    <xf numFmtId="4" fontId="16" fillId="9" borderId="16" xfId="1" applyNumberFormat="1" applyFont="1" applyFill="1" applyBorder="1" applyAlignment="1" applyProtection="1">
      <alignment vertical="center"/>
      <protection locked="0"/>
    </xf>
    <xf numFmtId="4" fontId="15" fillId="4" borderId="16" xfId="0" applyNumberFormat="1" applyFont="1" applyFill="1" applyBorder="1"/>
    <xf numFmtId="2" fontId="15" fillId="4" borderId="16" xfId="0" applyNumberFormat="1" applyFont="1" applyFill="1" applyBorder="1" applyAlignment="1">
      <alignment horizontal="left" vertical="center"/>
    </xf>
    <xf numFmtId="43" fontId="15" fillId="4" borderId="16" xfId="1" applyFont="1" applyFill="1" applyBorder="1" applyAlignment="1" applyProtection="1">
      <alignment vertical="center"/>
      <protection locked="0"/>
    </xf>
    <xf numFmtId="0" fontId="4" fillId="3" borderId="16" xfId="4" applyBorder="1"/>
    <xf numFmtId="4" fontId="4" fillId="3" borderId="16" xfId="4" applyNumberFormat="1" applyBorder="1"/>
    <xf numFmtId="3" fontId="4" fillId="3" borderId="16" xfId="4" applyNumberFormat="1" applyBorder="1"/>
    <xf numFmtId="3" fontId="4" fillId="3" borderId="16" xfId="4" applyNumberFormat="1" applyBorder="1" applyAlignment="1" applyProtection="1">
      <alignment vertical="center"/>
    </xf>
    <xf numFmtId="2" fontId="4" fillId="3" borderId="16" xfId="4" applyNumberFormat="1" applyBorder="1"/>
    <xf numFmtId="0" fontId="4" fillId="0" borderId="0" xfId="4" applyFill="1" applyBorder="1" applyAlignment="1" applyProtection="1">
      <alignment vertical="center"/>
    </xf>
    <xf numFmtId="0" fontId="4" fillId="0" borderId="0" xfId="4" applyFill="1" applyBorder="1"/>
    <xf numFmtId="4" fontId="4" fillId="0" borderId="0" xfId="4" applyNumberFormat="1" applyFill="1" applyBorder="1"/>
    <xf numFmtId="3" fontId="4" fillId="0" borderId="0" xfId="4" applyNumberFormat="1" applyFill="1" applyBorder="1"/>
    <xf numFmtId="3" fontId="4" fillId="0" borderId="0" xfId="4" applyNumberFormat="1" applyFill="1" applyBorder="1" applyAlignment="1" applyProtection="1">
      <alignment vertical="center"/>
    </xf>
    <xf numFmtId="0" fontId="4" fillId="3" borderId="16" xfId="4" applyBorder="1" applyAlignment="1">
      <alignment horizontal="center"/>
    </xf>
    <xf numFmtId="0" fontId="13" fillId="7" borderId="16" xfId="4" applyFont="1" applyFill="1" applyBorder="1" applyAlignment="1" applyProtection="1">
      <alignment horizontal="center" vertical="center"/>
    </xf>
    <xf numFmtId="0" fontId="4" fillId="0" borderId="0" xfId="4" applyFill="1" applyBorder="1" applyAlignment="1" applyProtection="1">
      <alignment horizontal="center" vertical="center"/>
    </xf>
    <xf numFmtId="0" fontId="4" fillId="0" borderId="0" xfId="4" applyFill="1" applyBorder="1" applyAlignment="1" applyProtection="1">
      <alignment horizontal="center" vertical="center" wrapText="1"/>
    </xf>
    <xf numFmtId="4" fontId="15" fillId="4" borderId="16" xfId="0" applyNumberFormat="1" applyFont="1" applyFill="1" applyBorder="1" applyAlignment="1">
      <alignment vertical="center"/>
    </xf>
    <xf numFmtId="4" fontId="18" fillId="9" borderId="16" xfId="1" applyNumberFormat="1" applyFont="1" applyFill="1" applyBorder="1" applyAlignment="1" applyProtection="1">
      <alignment vertical="center"/>
      <protection locked="0"/>
    </xf>
    <xf numFmtId="4" fontId="18" fillId="14" borderId="16" xfId="0" applyNumberFormat="1" applyFont="1" applyFill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8" fillId="0" borderId="0" xfId="1" applyNumberFormat="1" applyFont="1" applyFill="1" applyBorder="1" applyAlignment="1" applyProtection="1">
      <alignment vertical="center"/>
      <protection locked="0"/>
    </xf>
    <xf numFmtId="4" fontId="18" fillId="0" borderId="0" xfId="0" applyNumberFormat="1" applyFont="1" applyAlignment="1">
      <alignment vertical="center"/>
    </xf>
    <xf numFmtId="0" fontId="2" fillId="3" borderId="16" xfId="4" applyFont="1" applyBorder="1" applyAlignment="1" applyProtection="1">
      <alignment horizontal="left" vertical="center" indent="4"/>
    </xf>
    <xf numFmtId="3" fontId="18" fillId="9" borderId="16" xfId="1" applyNumberFormat="1" applyFont="1" applyFill="1" applyBorder="1" applyAlignment="1" applyProtection="1">
      <alignment vertical="center"/>
      <protection locked="0"/>
    </xf>
    <xf numFmtId="4" fontId="18" fillId="4" borderId="16" xfId="1" applyNumberFormat="1" applyFont="1" applyFill="1" applyBorder="1" applyAlignment="1" applyProtection="1">
      <alignment vertical="center"/>
      <protection locked="0"/>
    </xf>
    <xf numFmtId="3" fontId="18" fillId="0" borderId="0" xfId="1" applyNumberFormat="1" applyFont="1" applyFill="1" applyBorder="1" applyAlignment="1" applyProtection="1">
      <alignment vertical="center"/>
      <protection locked="0"/>
    </xf>
    <xf numFmtId="4" fontId="15" fillId="9" borderId="16" xfId="1" applyNumberFormat="1" applyFont="1" applyFill="1" applyBorder="1" applyAlignment="1" applyProtection="1">
      <alignment vertical="center"/>
      <protection locked="0"/>
    </xf>
    <xf numFmtId="4" fontId="15" fillId="0" borderId="0" xfId="0" applyNumberFormat="1" applyFont="1" applyAlignment="1">
      <alignment horizontal="left" vertical="center"/>
    </xf>
    <xf numFmtId="4" fontId="15" fillId="0" borderId="0" xfId="1" applyNumberFormat="1" applyFont="1" applyFill="1" applyBorder="1" applyAlignment="1" applyProtection="1">
      <alignment vertical="center"/>
      <protection locked="0"/>
    </xf>
    <xf numFmtId="0" fontId="21" fillId="4" borderId="16" xfId="0" applyFont="1" applyFill="1" applyBorder="1" applyAlignment="1">
      <alignment vertical="center"/>
    </xf>
    <xf numFmtId="3" fontId="18" fillId="14" borderId="16" xfId="0" applyNumberFormat="1" applyFont="1" applyFill="1" applyBorder="1" applyAlignment="1">
      <alignment vertical="center"/>
    </xf>
    <xf numFmtId="4" fontId="18" fillId="4" borderId="16" xfId="0" applyNumberFormat="1" applyFont="1" applyFill="1" applyBorder="1" applyAlignment="1">
      <alignment horizontal="left" vertical="center"/>
    </xf>
    <xf numFmtId="4" fontId="18" fillId="0" borderId="0" xfId="0" applyNumberFormat="1" applyFont="1" applyAlignment="1">
      <alignment horizontal="left" vertical="center"/>
    </xf>
    <xf numFmtId="0" fontId="2" fillId="0" borderId="0" xfId="4" applyFont="1" applyFill="1" applyBorder="1" applyAlignment="1" applyProtection="1">
      <alignment horizontal="left" vertical="center"/>
    </xf>
    <xf numFmtId="0" fontId="13" fillId="7" borderId="11" xfId="4" applyFont="1" applyFill="1" applyBorder="1" applyAlignment="1" applyProtection="1">
      <alignment horizontal="center" vertical="center"/>
      <protection locked="0"/>
    </xf>
    <xf numFmtId="0" fontId="13" fillId="7" borderId="12" xfId="4" applyFont="1" applyFill="1" applyBorder="1" applyAlignment="1" applyProtection="1">
      <alignment horizontal="center" vertical="center"/>
      <protection locked="0"/>
    </xf>
    <xf numFmtId="0" fontId="13" fillId="7" borderId="13" xfId="4" applyFont="1" applyFill="1" applyBorder="1" applyAlignment="1" applyProtection="1">
      <alignment horizontal="center" vertical="center"/>
      <protection locked="0"/>
    </xf>
    <xf numFmtId="0" fontId="2" fillId="2" borderId="1" xfId="3" applyAlignment="1" applyProtection="1">
      <alignment horizontal="center" vertical="center"/>
    </xf>
    <xf numFmtId="0" fontId="2" fillId="0" borderId="1" xfId="3" applyFill="1" applyAlignment="1" applyProtection="1">
      <alignment vertical="center"/>
    </xf>
    <xf numFmtId="3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vertical="center"/>
    </xf>
    <xf numFmtId="3" fontId="24" fillId="0" borderId="0" xfId="0" applyNumberFormat="1" applyFont="1" applyAlignment="1" applyProtection="1">
      <alignment vertical="center"/>
      <protection locked="0"/>
    </xf>
    <xf numFmtId="1" fontId="3" fillId="0" borderId="46" xfId="0" applyNumberFormat="1" applyFont="1" applyBorder="1"/>
    <xf numFmtId="1" fontId="0" fillId="0" borderId="0" xfId="0" applyNumberFormat="1"/>
    <xf numFmtId="0" fontId="4" fillId="3" borderId="16" xfId="4" applyBorder="1" applyAlignment="1">
      <alignment horizontal="center"/>
    </xf>
    <xf numFmtId="0" fontId="13" fillId="7" borderId="11" xfId="4" applyFont="1" applyFill="1" applyBorder="1" applyAlignment="1" applyProtection="1">
      <alignment horizontal="center" vertical="center"/>
    </xf>
    <xf numFmtId="0" fontId="13" fillId="7" borderId="12" xfId="4" applyFont="1" applyFill="1" applyBorder="1" applyAlignment="1" applyProtection="1">
      <alignment horizontal="center" vertical="center"/>
    </xf>
    <xf numFmtId="0" fontId="13" fillId="7" borderId="13" xfId="4" applyFont="1" applyFill="1" applyBorder="1" applyAlignment="1" applyProtection="1">
      <alignment horizontal="center" vertical="center"/>
    </xf>
    <xf numFmtId="10" fontId="15" fillId="4" borderId="16" xfId="0" applyNumberFormat="1" applyFont="1" applyFill="1" applyBorder="1" applyAlignment="1" applyProtection="1">
      <alignment vertical="center"/>
      <protection locked="0"/>
    </xf>
    <xf numFmtId="4" fontId="15" fillId="4" borderId="16" xfId="0" applyNumberFormat="1" applyFont="1" applyFill="1" applyBorder="1" applyAlignment="1">
      <alignment horizontal="center" vertical="center"/>
    </xf>
    <xf numFmtId="4" fontId="21" fillId="4" borderId="16" xfId="0" applyNumberFormat="1" applyFont="1" applyFill="1" applyBorder="1" applyAlignment="1">
      <alignment horizontal="center" vertical="center"/>
    </xf>
    <xf numFmtId="3" fontId="21" fillId="4" borderId="16" xfId="0" applyNumberFormat="1" applyFont="1" applyFill="1" applyBorder="1" applyAlignment="1">
      <alignment horizontal="center" vertical="center"/>
    </xf>
    <xf numFmtId="3" fontId="15" fillId="4" borderId="16" xfId="0" applyNumberFormat="1" applyFont="1" applyFill="1" applyBorder="1" applyAlignment="1" applyProtection="1">
      <alignment vertical="center"/>
      <protection locked="0"/>
    </xf>
    <xf numFmtId="3" fontId="15" fillId="4" borderId="16" xfId="0" applyNumberFormat="1" applyFont="1" applyFill="1" applyBorder="1" applyAlignment="1">
      <alignment horizontal="center" vertical="center"/>
    </xf>
    <xf numFmtId="166" fontId="15" fillId="4" borderId="16" xfId="0" applyNumberFormat="1" applyFont="1" applyFill="1" applyBorder="1" applyAlignment="1">
      <alignment horizontal="left" vertical="center"/>
    </xf>
    <xf numFmtId="4" fontId="4" fillId="3" borderId="16" xfId="4" applyNumberFormat="1" applyBorder="1" applyAlignment="1" applyProtection="1">
      <alignment vertical="center"/>
    </xf>
    <xf numFmtId="166" fontId="4" fillId="3" borderId="16" xfId="4" applyNumberFormat="1" applyBorder="1"/>
    <xf numFmtId="166" fontId="15" fillId="4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4" fontId="15" fillId="4" borderId="16" xfId="0" applyNumberFormat="1" applyFont="1" applyFill="1" applyBorder="1" applyAlignment="1" applyProtection="1">
      <alignment vertical="center"/>
      <protection locked="0"/>
    </xf>
    <xf numFmtId="10" fontId="25" fillId="4" borderId="16" xfId="0" applyNumberFormat="1" applyFont="1" applyFill="1" applyBorder="1" applyAlignment="1" applyProtection="1">
      <alignment vertical="center"/>
      <protection locked="0"/>
    </xf>
    <xf numFmtId="167" fontId="15" fillId="4" borderId="0" xfId="0" applyNumberFormat="1" applyFont="1" applyFill="1" applyAlignment="1">
      <alignment horizontal="left" vertical="center"/>
    </xf>
    <xf numFmtId="167" fontId="18" fillId="9" borderId="0" xfId="2" applyNumberFormat="1" applyFont="1" applyFill="1" applyBorder="1" applyAlignment="1" applyProtection="1">
      <alignment vertical="center"/>
      <protection locked="0"/>
    </xf>
    <xf numFmtId="167" fontId="15" fillId="4" borderId="0" xfId="0" applyNumberFormat="1" applyFont="1" applyFill="1" applyAlignment="1">
      <alignment vertical="center"/>
    </xf>
    <xf numFmtId="167" fontId="15" fillId="4" borderId="0" xfId="0" applyNumberFormat="1" applyFont="1" applyFill="1" applyAlignment="1" applyProtection="1">
      <alignment vertical="center"/>
      <protection locked="0"/>
    </xf>
    <xf numFmtId="167" fontId="18" fillId="9" borderId="0" xfId="1" applyNumberFormat="1" applyFont="1" applyFill="1" applyBorder="1" applyAlignment="1" applyProtection="1">
      <alignment vertical="center"/>
      <protection locked="0"/>
    </xf>
    <xf numFmtId="4" fontId="15" fillId="4" borderId="0" xfId="0" applyNumberFormat="1" applyFont="1" applyFill="1" applyAlignment="1" applyProtection="1">
      <alignment vertical="center"/>
      <protection locked="0"/>
    </xf>
    <xf numFmtId="0" fontId="2" fillId="0" borderId="0" xfId="4" applyFont="1" applyFill="1" applyBorder="1" applyAlignment="1" applyProtection="1">
      <alignment vertical="center"/>
    </xf>
    <xf numFmtId="4" fontId="15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4" fontId="15" fillId="0" borderId="0" xfId="0" applyNumberFormat="1" applyFont="1" applyAlignment="1" applyProtection="1">
      <alignment vertical="center"/>
      <protection locked="0"/>
    </xf>
    <xf numFmtId="0" fontId="4" fillId="3" borderId="29" xfId="4" applyBorder="1" applyAlignment="1" applyProtection="1">
      <alignment horizontal="center" vertical="center"/>
    </xf>
    <xf numFmtId="0" fontId="4" fillId="3" borderId="8" xfId="4" applyBorder="1" applyAlignment="1" applyProtection="1">
      <alignment horizontal="center" vertical="center"/>
    </xf>
    <xf numFmtId="0" fontId="4" fillId="3" borderId="9" xfId="4" applyBorder="1" applyAlignment="1" applyProtection="1">
      <alignment horizontal="center" vertical="center"/>
    </xf>
    <xf numFmtId="0" fontId="4" fillId="3" borderId="10" xfId="4" applyBorder="1" applyAlignment="1" applyProtection="1">
      <alignment horizontal="center" vertical="center"/>
    </xf>
    <xf numFmtId="4" fontId="16" fillId="4" borderId="41" xfId="0" applyNumberFormat="1" applyFont="1" applyFill="1" applyBorder="1" applyAlignment="1">
      <alignment horizontal="left" vertical="center"/>
    </xf>
    <xf numFmtId="3" fontId="16" fillId="4" borderId="16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26" fillId="15" borderId="4" xfId="0" quotePrefix="1" applyFont="1" applyFill="1" applyBorder="1" applyAlignment="1">
      <alignment horizontal="centerContinuous" wrapText="1"/>
    </xf>
    <xf numFmtId="0" fontId="27" fillId="15" borderId="5" xfId="0" applyFont="1" applyFill="1" applyBorder="1" applyAlignment="1" applyProtection="1">
      <alignment horizontal="centerContinuous"/>
      <protection locked="0"/>
    </xf>
    <xf numFmtId="0" fontId="27" fillId="15" borderId="6" xfId="0" applyFont="1" applyFill="1" applyBorder="1" applyAlignment="1" applyProtection="1">
      <alignment horizontal="centerContinuous"/>
      <protection locked="0"/>
    </xf>
    <xf numFmtId="0" fontId="26" fillId="15" borderId="8" xfId="0" applyFont="1" applyFill="1" applyBorder="1" applyAlignment="1">
      <alignment horizontal="centerContinuous" vertical="top"/>
    </xf>
    <xf numFmtId="0" fontId="27" fillId="15" borderId="9" xfId="0" applyFont="1" applyFill="1" applyBorder="1" applyAlignment="1" applyProtection="1">
      <alignment horizontal="centerContinuous" vertical="center"/>
      <protection locked="0"/>
    </xf>
    <xf numFmtId="0" fontId="27" fillId="15" borderId="10" xfId="0" applyFont="1" applyFill="1" applyBorder="1" applyAlignment="1" applyProtection="1">
      <alignment horizontal="centerContinuous" vertical="center"/>
      <protection locked="0"/>
    </xf>
    <xf numFmtId="0" fontId="28" fillId="15" borderId="47" xfId="0" applyFont="1" applyFill="1" applyBorder="1" applyAlignment="1">
      <alignment horizontal="center" vertical="center" wrapText="1"/>
    </xf>
    <xf numFmtId="0" fontId="27" fillId="15" borderId="47" xfId="0" quotePrefix="1" applyFont="1" applyFill="1" applyBorder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27" fillId="15" borderId="47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vertical="center"/>
    </xf>
    <xf numFmtId="4" fontId="26" fillId="0" borderId="47" xfId="0" applyNumberFormat="1" applyFont="1" applyBorder="1" applyAlignment="1">
      <alignment horizontal="right" vertical="center"/>
    </xf>
    <xf numFmtId="168" fontId="26" fillId="0" borderId="47" xfId="0" applyNumberFormat="1" applyFont="1" applyBorder="1" applyAlignment="1">
      <alignment horizontal="right" vertical="center"/>
    </xf>
    <xf numFmtId="0" fontId="26" fillId="15" borderId="16" xfId="0" applyFont="1" applyFill="1" applyBorder="1" applyAlignment="1">
      <alignment vertical="center"/>
    </xf>
    <xf numFmtId="4" fontId="26" fillId="0" borderId="16" xfId="0" applyNumberFormat="1" applyFont="1" applyBorder="1" applyAlignment="1">
      <alignment horizontal="right" vertical="center"/>
    </xf>
    <xf numFmtId="4" fontId="26" fillId="0" borderId="16" xfId="0" applyNumberFormat="1" applyFont="1" applyBorder="1" applyAlignment="1" applyProtection="1">
      <alignment horizontal="right" vertical="center"/>
      <protection locked="0"/>
    </xf>
    <xf numFmtId="0" fontId="27" fillId="15" borderId="16" xfId="0" quotePrefix="1" applyFont="1" applyFill="1" applyBorder="1" applyAlignment="1">
      <alignment horizontal="left" vertical="center"/>
    </xf>
    <xf numFmtId="2" fontId="0" fillId="0" borderId="16" xfId="0" applyNumberFormat="1" applyBorder="1"/>
    <xf numFmtId="4" fontId="27" fillId="0" borderId="16" xfId="0" applyNumberFormat="1" applyFont="1" applyBorder="1" applyAlignment="1" applyProtection="1">
      <alignment horizontal="right" vertical="center"/>
      <protection locked="0"/>
    </xf>
    <xf numFmtId="168" fontId="26" fillId="0" borderId="16" xfId="0" applyNumberFormat="1" applyFont="1" applyBorder="1" applyAlignment="1">
      <alignment horizontal="right" vertical="center"/>
    </xf>
    <xf numFmtId="168" fontId="27" fillId="0" borderId="16" xfId="0" applyNumberFormat="1" applyFont="1" applyBorder="1" applyAlignment="1">
      <alignment horizontal="right" vertical="center"/>
    </xf>
    <xf numFmtId="167" fontId="27" fillId="0" borderId="16" xfId="0" applyNumberFormat="1" applyFont="1" applyBorder="1" applyAlignment="1" applyProtection="1">
      <alignment horizontal="right" vertical="center"/>
      <protection locked="0"/>
    </xf>
    <xf numFmtId="4" fontId="27" fillId="0" borderId="16" xfId="0" applyNumberFormat="1" applyFont="1" applyBorder="1" applyAlignment="1">
      <alignment horizontal="right" vertical="center"/>
    </xf>
    <xf numFmtId="0" fontId="26" fillId="17" borderId="16" xfId="0" applyFont="1" applyFill="1" applyBorder="1" applyAlignment="1">
      <alignment vertical="center"/>
    </xf>
    <xf numFmtId="168" fontId="26" fillId="0" borderId="16" xfId="0" applyNumberFormat="1" applyFont="1" applyBorder="1" applyAlignment="1" applyProtection="1">
      <alignment horizontal="right" vertical="center"/>
      <protection locked="0"/>
    </xf>
    <xf numFmtId="169" fontId="27" fillId="0" borderId="16" xfId="0" applyNumberFormat="1" applyFont="1" applyBorder="1" applyAlignment="1" applyProtection="1">
      <alignment horizontal="right" vertical="center"/>
      <protection locked="0"/>
    </xf>
    <xf numFmtId="0" fontId="27" fillId="17" borderId="16" xfId="0" quotePrefix="1" applyFont="1" applyFill="1" applyBorder="1" applyAlignment="1">
      <alignment horizontal="left" vertical="center"/>
    </xf>
    <xf numFmtId="0" fontId="26" fillId="17" borderId="16" xfId="0" quotePrefix="1" applyFont="1" applyFill="1" applyBorder="1" applyAlignment="1">
      <alignment horizontal="left" vertical="center"/>
    </xf>
    <xf numFmtId="0" fontId="27" fillId="17" borderId="16" xfId="0" quotePrefix="1" applyFont="1" applyFill="1" applyBorder="1" applyAlignment="1">
      <alignment horizontal="left" vertical="center" indent="3"/>
    </xf>
    <xf numFmtId="0" fontId="30" fillId="0" borderId="0" xfId="0" applyFont="1"/>
    <xf numFmtId="0" fontId="32" fillId="8" borderId="50" xfId="6" applyFont="1" applyFill="1" applyBorder="1" applyAlignment="1">
      <alignment horizontal="center" vertical="center" wrapText="1"/>
    </xf>
    <xf numFmtId="0" fontId="31" fillId="18" borderId="16" xfId="6" applyFill="1" applyBorder="1" applyAlignment="1">
      <alignment vertical="center"/>
    </xf>
    <xf numFmtId="0" fontId="31" fillId="18" borderId="44" xfId="6" applyFill="1" applyBorder="1" applyAlignment="1">
      <alignment vertical="center"/>
    </xf>
    <xf numFmtId="0" fontId="31" fillId="18" borderId="16" xfId="6" applyFill="1" applyBorder="1" applyAlignment="1">
      <alignment vertical="center" wrapText="1"/>
    </xf>
    <xf numFmtId="0" fontId="31" fillId="18" borderId="44" xfId="6" applyFill="1" applyBorder="1" applyAlignment="1">
      <alignment vertical="center" wrapText="1"/>
    </xf>
    <xf numFmtId="0" fontId="32" fillId="8" borderId="48" xfId="6" applyFont="1" applyFill="1" applyBorder="1" applyAlignment="1">
      <alignment horizontal="center" vertical="center" wrapText="1"/>
    </xf>
    <xf numFmtId="0" fontId="32" fillId="8" borderId="49" xfId="6" applyFont="1" applyFill="1" applyBorder="1" applyAlignment="1">
      <alignment horizontal="center" vertical="center" wrapText="1"/>
    </xf>
    <xf numFmtId="0" fontId="33" fillId="18" borderId="51" xfId="6" applyFont="1" applyFill="1" applyBorder="1" applyAlignment="1">
      <alignment horizontal="center" vertical="center" wrapText="1"/>
    </xf>
    <xf numFmtId="0" fontId="33" fillId="18" borderId="47" xfId="6" applyFont="1" applyFill="1" applyBorder="1" applyAlignment="1">
      <alignment horizontal="center" vertical="center" wrapText="1"/>
    </xf>
    <xf numFmtId="0" fontId="31" fillId="18" borderId="39" xfId="6" applyFill="1" applyBorder="1" applyAlignment="1">
      <alignment horizontal="center" vertical="center" wrapText="1"/>
    </xf>
    <xf numFmtId="0" fontId="31" fillId="18" borderId="16" xfId="6" applyFill="1" applyBorder="1" applyAlignment="1">
      <alignment horizontal="center" vertical="center" wrapText="1"/>
    </xf>
    <xf numFmtId="0" fontId="31" fillId="18" borderId="39" xfId="6" applyFill="1" applyBorder="1" applyAlignment="1" applyProtection="1">
      <alignment horizontal="center" vertical="center" wrapText="1"/>
      <protection locked="0"/>
    </xf>
    <xf numFmtId="0" fontId="31" fillId="18" borderId="16" xfId="6" applyFill="1" applyBorder="1" applyAlignment="1" applyProtection="1">
      <alignment vertical="center" wrapText="1"/>
      <protection locked="0"/>
    </xf>
    <xf numFmtId="0" fontId="31" fillId="18" borderId="43" xfId="6" applyFill="1" applyBorder="1" applyAlignment="1">
      <alignment horizontal="center" vertical="center" wrapText="1"/>
    </xf>
    <xf numFmtId="0" fontId="31" fillId="18" borderId="44" xfId="6" applyFill="1" applyBorder="1" applyAlignment="1">
      <alignment horizontal="center" vertical="center" wrapText="1"/>
    </xf>
    <xf numFmtId="4" fontId="33" fillId="18" borderId="52" xfId="1" applyNumberFormat="1" applyFont="1" applyFill="1" applyBorder="1" applyAlignment="1" applyProtection="1">
      <alignment horizontal="right" vertical="center" wrapText="1"/>
    </xf>
    <xf numFmtId="4" fontId="33" fillId="0" borderId="40" xfId="6" applyNumberFormat="1" applyFont="1" applyBorder="1" applyAlignment="1">
      <alignment horizontal="right" vertical="center" wrapText="1"/>
    </xf>
    <xf numFmtId="4" fontId="31" fillId="0" borderId="40" xfId="6" applyNumberFormat="1" applyBorder="1" applyAlignment="1">
      <alignment horizontal="right" vertical="center" wrapText="1"/>
    </xf>
    <xf numFmtId="4" fontId="31" fillId="0" borderId="45" xfId="6" applyNumberFormat="1" applyBorder="1" applyAlignment="1">
      <alignment horizontal="right" vertical="center" wrapText="1"/>
    </xf>
    <xf numFmtId="0" fontId="33" fillId="18" borderId="51" xfId="6" applyFont="1" applyFill="1" applyBorder="1" applyAlignment="1">
      <alignment horizontal="center" vertical="center"/>
    </xf>
    <xf numFmtId="0" fontId="33" fillId="18" borderId="47" xfId="6" applyFont="1" applyFill="1" applyBorder="1" applyAlignment="1">
      <alignment horizontal="center" vertical="center"/>
    </xf>
    <xf numFmtId="4" fontId="33" fillId="18" borderId="52" xfId="1" applyNumberFormat="1" applyFont="1" applyFill="1" applyBorder="1" applyAlignment="1" applyProtection="1">
      <alignment horizontal="right" vertical="center"/>
    </xf>
    <xf numFmtId="0" fontId="31" fillId="18" borderId="39" xfId="6" applyFill="1" applyBorder="1" applyAlignment="1">
      <alignment horizontal="center" vertical="center"/>
    </xf>
    <xf numFmtId="0" fontId="31" fillId="18" borderId="16" xfId="6" applyFill="1" applyBorder="1" applyAlignment="1">
      <alignment horizontal="center" vertical="center"/>
    </xf>
    <xf numFmtId="4" fontId="33" fillId="0" borderId="40" xfId="6" applyNumberFormat="1" applyFont="1" applyBorder="1" applyAlignment="1">
      <alignment horizontal="right" vertical="center"/>
    </xf>
    <xf numFmtId="4" fontId="31" fillId="0" borderId="40" xfId="6" applyNumberFormat="1" applyBorder="1" applyAlignment="1">
      <alignment horizontal="right" vertical="center"/>
    </xf>
    <xf numFmtId="0" fontId="31" fillId="18" borderId="39" xfId="6" applyFill="1" applyBorder="1" applyAlignment="1" applyProtection="1">
      <alignment horizontal="center" vertical="center"/>
      <protection locked="0"/>
    </xf>
    <xf numFmtId="0" fontId="31" fillId="18" borderId="16" xfId="6" applyFill="1" applyBorder="1" applyAlignment="1" applyProtection="1">
      <alignment vertical="center"/>
      <protection locked="0"/>
    </xf>
    <xf numFmtId="0" fontId="31" fillId="18" borderId="43" xfId="6" applyFill="1" applyBorder="1" applyAlignment="1">
      <alignment horizontal="center" vertical="center"/>
    </xf>
    <xf numFmtId="0" fontId="31" fillId="18" borderId="44" xfId="6" applyFill="1" applyBorder="1" applyAlignment="1">
      <alignment horizontal="center" vertical="center"/>
    </xf>
    <xf numFmtId="4" fontId="31" fillId="0" borderId="45" xfId="6" applyNumberFormat="1" applyBorder="1" applyAlignment="1">
      <alignment horizontal="right" vertical="center"/>
    </xf>
    <xf numFmtId="0" fontId="0" fillId="0" borderId="0" xfId="0" applyAlignment="1">
      <alignment wrapText="1"/>
    </xf>
    <xf numFmtId="0" fontId="31" fillId="19" borderId="39" xfId="6" applyFill="1" applyBorder="1" applyAlignment="1">
      <alignment horizontal="center" vertical="center" wrapText="1"/>
    </xf>
  </cellXfs>
  <cellStyles count="7">
    <cellStyle name="Accent3" xfId="4" builtinId="37"/>
    <cellStyle name="Check Cell" xfId="3" builtinId="23"/>
    <cellStyle name="Comma" xfId="1" builtinId="3"/>
    <cellStyle name="Hyperlink" xfId="5" builtinId="8"/>
    <cellStyle name="Normal" xfId="0" builtinId="0"/>
    <cellStyle name="Normal_KEYSOURCE_software" xfId="6" xr:uid="{5DAC3876-DE32-4274-AF38-56E3828782F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INGEI_SUMM!$E$4:$L$4</c:f>
              <c:numCache>
                <c:formatCode>#,##0.00</c:formatCode>
                <c:ptCount val="8"/>
                <c:pt idx="0">
                  <c:v>15005.159876323316</c:v>
                </c:pt>
                <c:pt idx="1">
                  <c:v>14810.873297667318</c:v>
                </c:pt>
                <c:pt idx="2">
                  <c:v>13635.929992400164</c:v>
                </c:pt>
                <c:pt idx="3">
                  <c:v>12570.334997697671</c:v>
                </c:pt>
                <c:pt idx="4">
                  <c:v>12377.807188497558</c:v>
                </c:pt>
                <c:pt idx="5">
                  <c:v>13377.295700987494</c:v>
                </c:pt>
                <c:pt idx="6">
                  <c:v>12930.590171730746</c:v>
                </c:pt>
                <c:pt idx="7">
                  <c:v>11728.277172288739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B-4D2F-90FD-6D3EEFFA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351007"/>
        <c:axId val="995539583"/>
      </c:lineChart>
      <c:catAx>
        <c:axId val="172535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5539583"/>
        <c:crosses val="autoZero"/>
        <c:auto val="1"/>
        <c:lblAlgn val="ctr"/>
        <c:lblOffset val="100"/>
        <c:noMultiLvlLbl val="0"/>
      </c:catAx>
      <c:valAx>
        <c:axId val="9955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2535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58036</xdr:colOff>
      <xdr:row>61</xdr:row>
      <xdr:rowOff>6994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2D85F25-3C12-42E8-AD10-0A9011C04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75800"/>
          <a:ext cx="4820536" cy="166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58036</xdr:colOff>
      <xdr:row>61</xdr:row>
      <xdr:rowOff>10169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36C97-A216-4AFF-9FD2-D3B23224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48875"/>
          <a:ext cx="4820536" cy="16389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2</xdr:row>
      <xdr:rowOff>482600</xdr:rowOff>
    </xdr:from>
    <xdr:to>
      <xdr:col>20</xdr:col>
      <xdr:colOff>82550</xdr:colOff>
      <xdr:row>11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1D5A8-6409-BE5D-B03F-A2EC070FA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C50"/>
  <sheetViews>
    <sheetView workbookViewId="0">
      <selection activeCell="H1" sqref="H1:AX1"/>
    </sheetView>
  </sheetViews>
  <sheetFormatPr defaultRowHeight="14.5"/>
  <cols>
    <col min="1" max="1" width="46.36328125" bestFit="1" customWidth="1"/>
    <col min="2" max="2" width="6.36328125" bestFit="1" customWidth="1"/>
    <col min="3" max="3" width="6.1796875" bestFit="1" customWidth="1"/>
    <col min="4" max="4" width="3.90625" bestFit="1" customWidth="1"/>
    <col min="5" max="5" width="5.36328125" bestFit="1" customWidth="1"/>
    <col min="6" max="6" width="4.54296875" bestFit="1" customWidth="1"/>
    <col min="8" max="8" width="46.36328125" bestFit="1" customWidth="1"/>
    <col min="9" max="9" width="6.36328125" bestFit="1" customWidth="1"/>
    <col min="10" max="10" width="6.1796875" bestFit="1" customWidth="1"/>
    <col min="11" max="11" width="3.90625" bestFit="1" customWidth="1"/>
    <col min="12" max="12" width="5.36328125" bestFit="1" customWidth="1"/>
    <col min="13" max="13" width="4.54296875" bestFit="1" customWidth="1"/>
    <col min="15" max="15" width="46.36328125" bestFit="1" customWidth="1"/>
    <col min="16" max="16" width="6.36328125" bestFit="1" customWidth="1"/>
    <col min="17" max="17" width="6.1796875" bestFit="1" customWidth="1"/>
    <col min="18" max="18" width="3.90625" bestFit="1" customWidth="1"/>
    <col min="19" max="19" width="5.36328125" bestFit="1" customWidth="1"/>
    <col min="20" max="20" width="4.54296875" bestFit="1" customWidth="1"/>
    <col min="22" max="22" width="46.36328125" bestFit="1" customWidth="1"/>
    <col min="23" max="23" width="6.36328125" bestFit="1" customWidth="1"/>
    <col min="24" max="24" width="6.1796875" bestFit="1" customWidth="1"/>
    <col min="25" max="25" width="3.90625" bestFit="1" customWidth="1"/>
    <col min="26" max="26" width="5.36328125" bestFit="1" customWidth="1"/>
    <col min="27" max="27" width="4.54296875" bestFit="1" customWidth="1"/>
    <col min="29" max="29" width="46.36328125" bestFit="1" customWidth="1"/>
    <col min="30" max="30" width="6.36328125" bestFit="1" customWidth="1"/>
    <col min="31" max="31" width="6.1796875" bestFit="1" customWidth="1"/>
    <col min="32" max="32" width="3.90625" bestFit="1" customWidth="1"/>
    <col min="33" max="33" width="5.36328125" bestFit="1" customWidth="1"/>
    <col min="34" max="34" width="4.54296875" bestFit="1" customWidth="1"/>
    <col min="36" max="36" width="46.36328125" bestFit="1" customWidth="1"/>
    <col min="37" max="37" width="6.36328125" bestFit="1" customWidth="1"/>
    <col min="38" max="38" width="6.1796875" bestFit="1" customWidth="1"/>
    <col min="39" max="39" width="3.90625" bestFit="1" customWidth="1"/>
    <col min="40" max="40" width="5.36328125" bestFit="1" customWidth="1"/>
    <col min="41" max="41" width="4.54296875" bestFit="1" customWidth="1"/>
    <col min="43" max="43" width="46.36328125" bestFit="1" customWidth="1"/>
    <col min="44" max="44" width="6.36328125" bestFit="1" customWidth="1"/>
    <col min="45" max="45" width="6.1796875" bestFit="1" customWidth="1"/>
    <col min="46" max="46" width="3.90625" bestFit="1" customWidth="1"/>
    <col min="47" max="47" width="5.36328125" bestFit="1" customWidth="1"/>
    <col min="48" max="48" width="4.54296875" bestFit="1" customWidth="1"/>
    <col min="50" max="50" width="46.36328125" bestFit="1" customWidth="1"/>
    <col min="51" max="51" width="6.36328125" bestFit="1" customWidth="1"/>
    <col min="52" max="52" width="6.1796875" bestFit="1" customWidth="1"/>
    <col min="53" max="53" width="3.90625" bestFit="1" customWidth="1"/>
    <col min="54" max="54" width="5.36328125" bestFit="1" customWidth="1"/>
    <col min="55" max="55" width="4.54296875" bestFit="1" customWidth="1"/>
  </cols>
  <sheetData>
    <row r="1" spans="1:55">
      <c r="A1" s="243">
        <v>2010</v>
      </c>
      <c r="B1" s="243"/>
      <c r="C1" s="243"/>
      <c r="D1" s="243"/>
      <c r="E1" s="243"/>
      <c r="F1" s="243"/>
      <c r="G1" s="243"/>
      <c r="H1" s="243">
        <v>2012</v>
      </c>
      <c r="I1" s="243"/>
      <c r="J1" s="243"/>
      <c r="K1" s="243"/>
      <c r="L1" s="243"/>
      <c r="M1" s="243"/>
      <c r="N1" s="243"/>
      <c r="O1" s="243">
        <v>2014</v>
      </c>
      <c r="P1" s="243"/>
      <c r="Q1" s="243"/>
      <c r="R1" s="243"/>
      <c r="S1" s="243"/>
      <c r="T1" s="243"/>
      <c r="U1" s="243"/>
      <c r="V1" s="243">
        <v>2016</v>
      </c>
      <c r="W1" s="243"/>
      <c r="X1" s="243"/>
      <c r="Y1" s="243"/>
      <c r="Z1" s="243"/>
      <c r="AA1" s="243"/>
      <c r="AB1" s="243"/>
      <c r="AC1" s="243">
        <v>2018</v>
      </c>
      <c r="AD1" s="243"/>
      <c r="AE1" s="243"/>
      <c r="AF1" s="243"/>
      <c r="AG1" s="243"/>
      <c r="AH1" s="243"/>
      <c r="AI1" s="243"/>
      <c r="AJ1" s="243">
        <v>2020</v>
      </c>
      <c r="AK1" s="243"/>
      <c r="AL1" s="243"/>
      <c r="AM1" s="243"/>
      <c r="AN1" s="243"/>
      <c r="AO1" s="243"/>
      <c r="AP1" s="243"/>
      <c r="AQ1" s="243">
        <v>2021</v>
      </c>
      <c r="AR1" s="243"/>
      <c r="AS1" s="243"/>
      <c r="AT1" s="243"/>
      <c r="AU1" s="243"/>
      <c r="AV1" s="243"/>
      <c r="AW1" s="243"/>
      <c r="AX1" s="243">
        <v>2022</v>
      </c>
    </row>
    <row r="3" spans="1:55" ht="24">
      <c r="A3" s="214" t="s">
        <v>333</v>
      </c>
      <c r="B3" s="215"/>
      <c r="C3" s="215"/>
      <c r="D3" s="215"/>
      <c r="E3" s="215"/>
      <c r="F3" s="216"/>
      <c r="H3" s="214" t="s">
        <v>333</v>
      </c>
      <c r="I3" s="215"/>
      <c r="J3" s="215"/>
      <c r="K3" s="215"/>
      <c r="L3" s="215"/>
      <c r="M3" s="216"/>
      <c r="O3" s="214" t="s">
        <v>333</v>
      </c>
      <c r="P3" s="215"/>
      <c r="Q3" s="215"/>
      <c r="R3" s="215"/>
      <c r="S3" s="215"/>
      <c r="T3" s="216"/>
      <c r="V3" s="214" t="s">
        <v>333</v>
      </c>
      <c r="W3" s="215"/>
      <c r="X3" s="215"/>
      <c r="Y3" s="215"/>
      <c r="Z3" s="215"/>
      <c r="AA3" s="216"/>
      <c r="AC3" s="214" t="s">
        <v>333</v>
      </c>
      <c r="AD3" s="215"/>
      <c r="AE3" s="215"/>
      <c r="AF3" s="215"/>
      <c r="AG3" s="215"/>
      <c r="AH3" s="216"/>
      <c r="AJ3" s="214" t="s">
        <v>333</v>
      </c>
      <c r="AK3" s="215"/>
      <c r="AL3" s="215"/>
      <c r="AM3" s="215"/>
      <c r="AN3" s="215"/>
      <c r="AO3" s="216"/>
      <c r="AQ3" s="214" t="s">
        <v>333</v>
      </c>
      <c r="AR3" s="215"/>
      <c r="AS3" s="215"/>
      <c r="AT3" s="215"/>
      <c r="AU3" s="215"/>
      <c r="AV3" s="216"/>
      <c r="AX3" s="214" t="s">
        <v>333</v>
      </c>
      <c r="AY3" s="215"/>
      <c r="AZ3" s="215"/>
      <c r="BA3" s="215"/>
      <c r="BB3" s="215"/>
      <c r="BC3" s="216"/>
    </row>
    <row r="4" spans="1:55" ht="15" thickBot="1">
      <c r="A4" s="217" t="s">
        <v>334</v>
      </c>
      <c r="B4" s="218"/>
      <c r="C4" s="218"/>
      <c r="D4" s="218"/>
      <c r="E4" s="218"/>
      <c r="F4" s="219"/>
      <c r="H4" s="217" t="s">
        <v>334</v>
      </c>
      <c r="I4" s="218"/>
      <c r="J4" s="218"/>
      <c r="K4" s="218"/>
      <c r="L4" s="218"/>
      <c r="M4" s="219"/>
      <c r="O4" s="217" t="s">
        <v>334</v>
      </c>
      <c r="P4" s="218"/>
      <c r="Q4" s="218"/>
      <c r="R4" s="218"/>
      <c r="S4" s="218"/>
      <c r="T4" s="219"/>
      <c r="V4" s="217" t="s">
        <v>334</v>
      </c>
      <c r="W4" s="218"/>
      <c r="X4" s="218"/>
      <c r="Y4" s="218"/>
      <c r="Z4" s="218"/>
      <c r="AA4" s="219"/>
      <c r="AC4" s="217" t="s">
        <v>334</v>
      </c>
      <c r="AD4" s="218"/>
      <c r="AE4" s="218"/>
      <c r="AF4" s="218"/>
      <c r="AG4" s="218"/>
      <c r="AH4" s="219"/>
      <c r="AJ4" s="217" t="s">
        <v>334</v>
      </c>
      <c r="AK4" s="218"/>
      <c r="AL4" s="218"/>
      <c r="AM4" s="218"/>
      <c r="AN4" s="218"/>
      <c r="AO4" s="219"/>
      <c r="AQ4" s="217" t="s">
        <v>334</v>
      </c>
      <c r="AR4" s="218"/>
      <c r="AS4" s="218"/>
      <c r="AT4" s="218"/>
      <c r="AU4" s="218"/>
      <c r="AV4" s="219"/>
      <c r="AX4" s="217" t="s">
        <v>334</v>
      </c>
      <c r="AY4" s="218"/>
      <c r="AZ4" s="218"/>
      <c r="BA4" s="218"/>
      <c r="BB4" s="218"/>
      <c r="BC4" s="219"/>
    </row>
    <row r="5" spans="1:55" ht="53" thickBot="1">
      <c r="A5" s="220" t="s">
        <v>335</v>
      </c>
      <c r="B5" s="221" t="s">
        <v>367</v>
      </c>
      <c r="C5" s="221" t="s">
        <v>368</v>
      </c>
      <c r="D5" s="221" t="s">
        <v>369</v>
      </c>
      <c r="E5" s="222" t="s">
        <v>370</v>
      </c>
      <c r="F5" s="223" t="s">
        <v>336</v>
      </c>
      <c r="H5" s="220" t="s">
        <v>335</v>
      </c>
      <c r="I5" s="221" t="s">
        <v>367</v>
      </c>
      <c r="J5" s="221" t="s">
        <v>368</v>
      </c>
      <c r="K5" s="221" t="s">
        <v>369</v>
      </c>
      <c r="L5" s="222" t="s">
        <v>370</v>
      </c>
      <c r="M5" s="223" t="s">
        <v>336</v>
      </c>
      <c r="O5" s="220" t="s">
        <v>335</v>
      </c>
      <c r="P5" s="221" t="s">
        <v>367</v>
      </c>
      <c r="Q5" s="221" t="s">
        <v>368</v>
      </c>
      <c r="R5" s="221" t="s">
        <v>369</v>
      </c>
      <c r="S5" s="222" t="s">
        <v>370</v>
      </c>
      <c r="T5" s="223" t="s">
        <v>336</v>
      </c>
      <c r="V5" s="220" t="s">
        <v>335</v>
      </c>
      <c r="W5" s="221" t="s">
        <v>367</v>
      </c>
      <c r="X5" s="221" t="s">
        <v>368</v>
      </c>
      <c r="Y5" s="221" t="s">
        <v>369</v>
      </c>
      <c r="Z5" s="222" t="s">
        <v>370</v>
      </c>
      <c r="AA5" s="223" t="s">
        <v>336</v>
      </c>
      <c r="AC5" s="220" t="s">
        <v>335</v>
      </c>
      <c r="AD5" s="221" t="s">
        <v>367</v>
      </c>
      <c r="AE5" s="221" t="s">
        <v>368</v>
      </c>
      <c r="AF5" s="221" t="s">
        <v>369</v>
      </c>
      <c r="AG5" s="222" t="s">
        <v>370</v>
      </c>
      <c r="AH5" s="223" t="s">
        <v>336</v>
      </c>
      <c r="AJ5" s="220" t="s">
        <v>335</v>
      </c>
      <c r="AK5" s="221" t="s">
        <v>367</v>
      </c>
      <c r="AL5" s="221" t="s">
        <v>368</v>
      </c>
      <c r="AM5" s="221" t="s">
        <v>369</v>
      </c>
      <c r="AN5" s="222" t="s">
        <v>370</v>
      </c>
      <c r="AO5" s="223" t="s">
        <v>336</v>
      </c>
      <c r="AQ5" s="220" t="s">
        <v>335</v>
      </c>
      <c r="AR5" s="221" t="s">
        <v>367</v>
      </c>
      <c r="AS5" s="221" t="s">
        <v>368</v>
      </c>
      <c r="AT5" s="221" t="s">
        <v>369</v>
      </c>
      <c r="AU5" s="222" t="s">
        <v>370</v>
      </c>
      <c r="AV5" s="223" t="s">
        <v>336</v>
      </c>
      <c r="AX5" s="220" t="s">
        <v>335</v>
      </c>
      <c r="AY5" s="221" t="s">
        <v>367</v>
      </c>
      <c r="AZ5" s="221" t="s">
        <v>368</v>
      </c>
      <c r="BA5" s="221" t="s">
        <v>369</v>
      </c>
      <c r="BB5" s="222" t="s">
        <v>370</v>
      </c>
      <c r="BC5" s="223" t="s">
        <v>336</v>
      </c>
    </row>
    <row r="6" spans="1:55" ht="15" thickBot="1">
      <c r="A6" s="224" t="s">
        <v>337</v>
      </c>
      <c r="B6" s="225">
        <v>433.23122496304325</v>
      </c>
      <c r="C6" s="226">
        <v>10.021808069300196</v>
      </c>
      <c r="D6" s="225">
        <v>1.4984336563663003</v>
      </c>
      <c r="E6" s="225">
        <v>218.90643899355055</v>
      </c>
      <c r="F6" s="225">
        <v>55.142358554279852</v>
      </c>
      <c r="H6" s="224" t="s">
        <v>337</v>
      </c>
      <c r="I6" s="225">
        <v>424.22108487100502</v>
      </c>
      <c r="J6" s="226">
        <v>10.177090961463499</v>
      </c>
      <c r="K6" s="225">
        <v>1.6956557950778717</v>
      </c>
      <c r="L6" s="225">
        <v>235.7538164913482</v>
      </c>
      <c r="M6" s="225">
        <v>62.400133258865672</v>
      </c>
      <c r="O6" s="224" t="s">
        <v>337</v>
      </c>
      <c r="P6" s="225">
        <v>378.52185992434335</v>
      </c>
      <c r="Q6" s="226">
        <v>10.567973250132889</v>
      </c>
      <c r="R6" s="225">
        <v>1.6211877611466934</v>
      </c>
      <c r="S6" s="225">
        <v>236.80500323333334</v>
      </c>
      <c r="T6" s="225">
        <v>59.65970961019832</v>
      </c>
      <c r="V6" s="224" t="s">
        <v>337</v>
      </c>
      <c r="W6" s="225">
        <v>345.56507420975225</v>
      </c>
      <c r="X6" s="226">
        <v>10.038399336659767</v>
      </c>
      <c r="Y6" s="225">
        <v>1.471113410184715</v>
      </c>
      <c r="Z6" s="225">
        <v>234.33709560976692</v>
      </c>
      <c r="AA6" s="225">
        <v>54.136973494797523</v>
      </c>
      <c r="AC6" s="224" t="s">
        <v>337</v>
      </c>
      <c r="AD6" s="225">
        <v>336.9694079293501</v>
      </c>
      <c r="AE6" s="226">
        <v>10.235457002682237</v>
      </c>
      <c r="AF6" s="225">
        <v>1.450885893015093</v>
      </c>
      <c r="AG6" s="225">
        <v>230.26766076496165</v>
      </c>
      <c r="AH6" s="225">
        <v>53.392600862955433</v>
      </c>
      <c r="AJ6" s="224" t="s">
        <v>337</v>
      </c>
      <c r="AK6" s="225">
        <v>359.3959447987778</v>
      </c>
      <c r="AL6" s="226">
        <v>11.635448167177161</v>
      </c>
      <c r="AM6" s="225">
        <v>1.4477593388231902</v>
      </c>
      <c r="AN6" s="225">
        <v>230.81548231976402</v>
      </c>
      <c r="AO6" s="225">
        <v>53.27754366869339</v>
      </c>
      <c r="AQ6" s="224" t="s">
        <v>337</v>
      </c>
      <c r="AR6" s="225">
        <v>339.72740464455245</v>
      </c>
      <c r="AS6" s="226">
        <v>11.988329856929548</v>
      </c>
      <c r="AT6" s="225">
        <v>1.4812343539390953</v>
      </c>
      <c r="AU6" s="225">
        <v>241.31542959694721</v>
      </c>
      <c r="AV6" s="225">
        <v>54.509424224958707</v>
      </c>
      <c r="AX6" s="224" t="s">
        <v>337</v>
      </c>
      <c r="AY6" s="225">
        <v>322.2983440312517</v>
      </c>
      <c r="AZ6" s="226">
        <v>9.5128833988585466</v>
      </c>
      <c r="BA6" s="225">
        <v>1.4504675805955862</v>
      </c>
      <c r="BB6" s="225">
        <v>183.00943871617582</v>
      </c>
      <c r="BC6" s="225">
        <v>53.377206965917551</v>
      </c>
    </row>
    <row r="7" spans="1:55">
      <c r="A7" s="227" t="s">
        <v>338</v>
      </c>
      <c r="B7" s="228">
        <v>365.66003073735021</v>
      </c>
      <c r="C7" s="229"/>
      <c r="D7" s="229"/>
      <c r="E7" s="229"/>
      <c r="F7" s="229"/>
      <c r="H7" s="227" t="s">
        <v>338</v>
      </c>
      <c r="I7" s="228">
        <v>360.16603935144724</v>
      </c>
      <c r="J7" s="229"/>
      <c r="K7" s="229"/>
      <c r="L7" s="229"/>
      <c r="M7" s="229"/>
      <c r="O7" s="227" t="s">
        <v>338</v>
      </c>
      <c r="P7" s="228">
        <v>316.15072054745104</v>
      </c>
      <c r="Q7" s="229"/>
      <c r="R7" s="229"/>
      <c r="S7" s="229"/>
      <c r="T7" s="229"/>
      <c r="V7" s="227" t="s">
        <v>338</v>
      </c>
      <c r="W7" s="228">
        <v>287.04890724754233</v>
      </c>
      <c r="X7" s="229"/>
      <c r="Y7" s="229"/>
      <c r="Z7" s="229"/>
      <c r="AA7" s="229"/>
      <c r="AC7" s="227" t="s">
        <v>338</v>
      </c>
      <c r="AD7" s="228">
        <v>281.84371557863017</v>
      </c>
      <c r="AE7" s="229"/>
      <c r="AF7" s="229"/>
      <c r="AG7" s="229"/>
      <c r="AH7" s="229"/>
      <c r="AJ7" s="227" t="s">
        <v>338</v>
      </c>
      <c r="AK7" s="228">
        <v>302.90786871893533</v>
      </c>
      <c r="AL7" s="229"/>
      <c r="AM7" s="229"/>
      <c r="AN7" s="229"/>
      <c r="AO7" s="229"/>
      <c r="AQ7" s="227" t="s">
        <v>338</v>
      </c>
      <c r="AR7" s="228">
        <v>279.37230585472656</v>
      </c>
      <c r="AS7" s="229"/>
      <c r="AT7" s="229"/>
      <c r="AU7" s="229"/>
      <c r="AV7" s="229"/>
      <c r="AX7" s="227" t="s">
        <v>338</v>
      </c>
      <c r="AY7" s="228">
        <v>264.6330943356802</v>
      </c>
      <c r="AZ7" s="229"/>
      <c r="BA7" s="229"/>
      <c r="BB7" s="229"/>
      <c r="BC7" s="229"/>
    </row>
    <row r="8" spans="1:55">
      <c r="A8" s="230" t="s">
        <v>339</v>
      </c>
      <c r="B8" s="231">
        <v>349.96713069109273</v>
      </c>
      <c r="C8" s="232"/>
      <c r="D8" s="232"/>
      <c r="E8" s="232"/>
      <c r="F8" s="232"/>
      <c r="H8" s="230" t="s">
        <v>339</v>
      </c>
      <c r="I8" s="231">
        <v>345.261874988785</v>
      </c>
      <c r="J8" s="232"/>
      <c r="K8" s="232"/>
      <c r="L8" s="232"/>
      <c r="M8" s="232"/>
      <c r="O8" s="230" t="s">
        <v>339</v>
      </c>
      <c r="P8" s="231">
        <v>302.4238564981307</v>
      </c>
      <c r="Q8" s="232"/>
      <c r="R8" s="232"/>
      <c r="S8" s="232"/>
      <c r="T8" s="232"/>
      <c r="V8" s="230" t="s">
        <v>339</v>
      </c>
      <c r="W8" s="231">
        <v>275.01600867738017</v>
      </c>
      <c r="X8" s="232"/>
      <c r="Y8" s="232"/>
      <c r="Z8" s="232"/>
      <c r="AA8" s="232"/>
      <c r="AC8" s="230" t="s">
        <v>339</v>
      </c>
      <c r="AD8" s="231">
        <v>270.96860772587826</v>
      </c>
      <c r="AE8" s="232"/>
      <c r="AF8" s="232"/>
      <c r="AG8" s="232"/>
      <c r="AH8" s="232"/>
      <c r="AJ8" s="230" t="s">
        <v>339</v>
      </c>
      <c r="AK8" s="231">
        <v>294.72718655498448</v>
      </c>
      <c r="AL8" s="232"/>
      <c r="AM8" s="232"/>
      <c r="AN8" s="232"/>
      <c r="AO8" s="232"/>
      <c r="AQ8" s="230" t="s">
        <v>339</v>
      </c>
      <c r="AR8" s="231">
        <v>270.24309405869627</v>
      </c>
      <c r="AS8" s="232"/>
      <c r="AT8" s="232"/>
      <c r="AU8" s="232"/>
      <c r="AV8" s="232"/>
      <c r="AX8" s="230" t="s">
        <v>339</v>
      </c>
      <c r="AY8" s="231">
        <v>256.50315131068152</v>
      </c>
      <c r="AZ8" s="232"/>
      <c r="BA8" s="232"/>
      <c r="BB8" s="232"/>
      <c r="BC8" s="232"/>
    </row>
    <row r="9" spans="1:55">
      <c r="A9" s="230" t="s">
        <v>340</v>
      </c>
      <c r="B9" s="231">
        <v>0.177208</v>
      </c>
      <c r="C9" s="232"/>
      <c r="D9" s="232"/>
      <c r="E9" s="232"/>
      <c r="F9" s="232"/>
      <c r="H9" s="230" t="s">
        <v>340</v>
      </c>
      <c r="I9" s="231">
        <v>0.19658799999999998</v>
      </c>
      <c r="J9" s="232"/>
      <c r="K9" s="232"/>
      <c r="L9" s="232"/>
      <c r="M9" s="232"/>
      <c r="O9" s="230" t="s">
        <v>340</v>
      </c>
      <c r="P9" s="231">
        <v>0.20733199999999999</v>
      </c>
      <c r="Q9" s="232"/>
      <c r="R9" s="232"/>
      <c r="S9" s="232"/>
      <c r="T9" s="232"/>
      <c r="V9" s="230" t="s">
        <v>340</v>
      </c>
      <c r="W9" s="231">
        <v>0.221272</v>
      </c>
      <c r="X9" s="232"/>
      <c r="Y9" s="232"/>
      <c r="Z9" s="232"/>
      <c r="AA9" s="232"/>
      <c r="AC9" s="230" t="s">
        <v>340</v>
      </c>
      <c r="AD9" s="231">
        <v>0.26105200000000001</v>
      </c>
      <c r="AE9" s="232"/>
      <c r="AF9" s="232"/>
      <c r="AG9" s="232"/>
      <c r="AH9" s="232"/>
      <c r="AJ9" s="230" t="s">
        <v>340</v>
      </c>
      <c r="AK9" s="231">
        <v>0.305728</v>
      </c>
      <c r="AL9" s="232"/>
      <c r="AM9" s="232"/>
      <c r="AN9" s="232"/>
      <c r="AO9" s="232"/>
      <c r="AQ9" s="230" t="s">
        <v>340</v>
      </c>
      <c r="AR9" s="231">
        <v>0.35611599999999999</v>
      </c>
      <c r="AS9" s="232"/>
      <c r="AT9" s="232"/>
      <c r="AU9" s="232"/>
      <c r="AV9" s="232"/>
      <c r="AX9" s="230" t="s">
        <v>340</v>
      </c>
      <c r="AY9" s="231">
        <v>0.394876</v>
      </c>
      <c r="AZ9" s="232"/>
      <c r="BA9" s="232"/>
      <c r="BB9" s="232"/>
      <c r="BC9" s="232"/>
    </row>
    <row r="10" spans="1:55">
      <c r="A10" s="230" t="s">
        <v>341</v>
      </c>
      <c r="B10" s="231">
        <v>3.962485</v>
      </c>
      <c r="C10" s="232"/>
      <c r="D10" s="232"/>
      <c r="E10" s="232"/>
      <c r="F10" s="232"/>
      <c r="H10" s="230" t="s">
        <v>341</v>
      </c>
      <c r="I10" s="231">
        <v>3.8386475</v>
      </c>
      <c r="J10" s="232"/>
      <c r="K10" s="232"/>
      <c r="L10" s="232"/>
      <c r="M10" s="232"/>
      <c r="O10" s="230" t="s">
        <v>341</v>
      </c>
      <c r="P10" s="231">
        <v>3.4836613854469944</v>
      </c>
      <c r="Q10" s="232"/>
      <c r="R10" s="232"/>
      <c r="S10" s="232"/>
      <c r="T10" s="232"/>
      <c r="V10" s="230" t="s">
        <v>341</v>
      </c>
      <c r="W10" s="231">
        <v>2.9484912218536334</v>
      </c>
      <c r="X10" s="232"/>
      <c r="Y10" s="232"/>
      <c r="Z10" s="232"/>
      <c r="AA10" s="232"/>
      <c r="AC10" s="230" t="s">
        <v>341</v>
      </c>
      <c r="AD10" s="231">
        <v>2.4947600644429349</v>
      </c>
      <c r="AE10" s="232"/>
      <c r="AF10" s="232"/>
      <c r="AG10" s="232"/>
      <c r="AH10" s="232"/>
      <c r="AJ10" s="230" t="s">
        <v>341</v>
      </c>
      <c r="AK10" s="231">
        <v>2.4826751756691703</v>
      </c>
      <c r="AL10" s="232"/>
      <c r="AM10" s="232"/>
      <c r="AN10" s="232"/>
      <c r="AO10" s="232"/>
      <c r="AQ10" s="230" t="s">
        <v>341</v>
      </c>
      <c r="AR10" s="231">
        <v>2.6441377958595611</v>
      </c>
      <c r="AS10" s="232"/>
      <c r="AT10" s="232"/>
      <c r="AU10" s="232"/>
      <c r="AV10" s="232"/>
      <c r="AX10" s="230" t="s">
        <v>341</v>
      </c>
      <c r="AY10" s="231">
        <v>2.7598005480895096</v>
      </c>
      <c r="AZ10" s="232"/>
      <c r="BA10" s="232"/>
      <c r="BB10" s="232"/>
      <c r="BC10" s="232"/>
    </row>
    <row r="11" spans="1:55">
      <c r="A11" s="230" t="s">
        <v>342</v>
      </c>
      <c r="B11" s="231">
        <v>0.67411999999999994</v>
      </c>
      <c r="C11" s="232"/>
      <c r="D11" s="232"/>
      <c r="E11" s="232"/>
      <c r="F11" s="232"/>
      <c r="H11" s="230" t="s">
        <v>342</v>
      </c>
      <c r="I11" s="231">
        <v>0.5435703222693512</v>
      </c>
      <c r="J11" s="232"/>
      <c r="K11" s="232"/>
      <c r="L11" s="232"/>
      <c r="M11" s="232"/>
      <c r="O11" s="230" t="s">
        <v>342</v>
      </c>
      <c r="P11" s="231">
        <v>0.10396385344720363</v>
      </c>
      <c r="Q11" s="232"/>
      <c r="R11" s="232"/>
      <c r="S11" s="232"/>
      <c r="T11" s="232"/>
      <c r="V11" s="230" t="s">
        <v>342</v>
      </c>
      <c r="W11" s="231">
        <v>0.17880542787620046</v>
      </c>
      <c r="X11" s="232"/>
      <c r="Y11" s="232"/>
      <c r="Z11" s="232"/>
      <c r="AA11" s="232"/>
      <c r="AC11" s="230" t="s">
        <v>342</v>
      </c>
      <c r="AD11" s="231">
        <v>0.10872653440633455</v>
      </c>
      <c r="AE11" s="232"/>
      <c r="AF11" s="232"/>
      <c r="AG11" s="232"/>
      <c r="AH11" s="232"/>
      <c r="AJ11" s="230" t="s">
        <v>342</v>
      </c>
      <c r="AK11" s="231">
        <v>7.0461985902244617E-2</v>
      </c>
      <c r="AL11" s="232"/>
      <c r="AM11" s="232"/>
      <c r="AN11" s="232"/>
      <c r="AO11" s="232"/>
      <c r="AQ11" s="230" t="s">
        <v>342</v>
      </c>
      <c r="AR11" s="231">
        <v>0.28924525632713022</v>
      </c>
      <c r="AS11" s="232"/>
      <c r="AT11" s="232"/>
      <c r="AU11" s="232"/>
      <c r="AV11" s="232"/>
      <c r="AX11" s="230" t="s">
        <v>342</v>
      </c>
      <c r="AY11" s="231">
        <v>0.11894690013508936</v>
      </c>
      <c r="AZ11" s="232"/>
      <c r="BA11" s="232"/>
      <c r="BB11" s="232"/>
      <c r="BC11" s="232"/>
    </row>
    <row r="12" spans="1:55">
      <c r="A12" s="230" t="s">
        <v>343</v>
      </c>
      <c r="B12" s="231">
        <v>0.13481204625747786</v>
      </c>
      <c r="C12" s="232"/>
      <c r="D12" s="232"/>
      <c r="E12" s="232"/>
      <c r="F12" s="232"/>
      <c r="H12" s="230" t="s">
        <v>343</v>
      </c>
      <c r="I12" s="231">
        <v>0.13481204625747786</v>
      </c>
      <c r="J12" s="232"/>
      <c r="K12" s="232"/>
      <c r="L12" s="232"/>
      <c r="M12" s="232"/>
      <c r="O12" s="230" t="s">
        <v>343</v>
      </c>
      <c r="P12" s="231">
        <v>0.13481204625747784</v>
      </c>
      <c r="Q12" s="232"/>
      <c r="R12" s="232"/>
      <c r="S12" s="232"/>
      <c r="T12" s="232"/>
      <c r="V12" s="230" t="s">
        <v>343</v>
      </c>
      <c r="W12" s="231">
        <v>0.14205906687883191</v>
      </c>
      <c r="X12" s="232"/>
      <c r="Y12" s="232"/>
      <c r="Z12" s="232"/>
      <c r="AA12" s="232"/>
      <c r="AC12" s="230" t="s">
        <v>343</v>
      </c>
      <c r="AD12" s="231">
        <v>0.16759826605649528</v>
      </c>
      <c r="AE12" s="232"/>
      <c r="AF12" s="232"/>
      <c r="AG12" s="232"/>
      <c r="AH12" s="232"/>
      <c r="AJ12" s="230" t="s">
        <v>343</v>
      </c>
      <c r="AK12" s="231">
        <v>0.16625613929200023</v>
      </c>
      <c r="AL12" s="232"/>
      <c r="AM12" s="232"/>
      <c r="AN12" s="232"/>
      <c r="AO12" s="232"/>
      <c r="AQ12" s="230" t="s">
        <v>343</v>
      </c>
      <c r="AR12" s="231">
        <v>0.16559044978471682</v>
      </c>
      <c r="AS12" s="232"/>
      <c r="AT12" s="232"/>
      <c r="AU12" s="232"/>
      <c r="AV12" s="232"/>
      <c r="AX12" s="230" t="s">
        <v>343</v>
      </c>
      <c r="AY12" s="231">
        <v>0.16492742569792249</v>
      </c>
      <c r="AZ12" s="232"/>
      <c r="BA12" s="232"/>
      <c r="BB12" s="232"/>
      <c r="BC12" s="232"/>
    </row>
    <row r="13" spans="1:55">
      <c r="A13" s="230" t="s">
        <v>344</v>
      </c>
      <c r="B13" s="231">
        <v>6.6104639999999995</v>
      </c>
      <c r="C13" s="232"/>
      <c r="D13" s="232"/>
      <c r="E13" s="232"/>
      <c r="F13" s="232"/>
      <c r="H13" s="230" t="s">
        <v>344</v>
      </c>
      <c r="I13" s="231">
        <v>6.3347651182363842</v>
      </c>
      <c r="J13" s="232"/>
      <c r="K13" s="232"/>
      <c r="L13" s="232"/>
      <c r="M13" s="232"/>
      <c r="O13" s="230" t="s">
        <v>344</v>
      </c>
      <c r="P13" s="231">
        <v>5.897627166670409</v>
      </c>
      <c r="Q13" s="232"/>
      <c r="R13" s="232"/>
      <c r="S13" s="232"/>
      <c r="T13" s="232"/>
      <c r="V13" s="230" t="s">
        <v>344</v>
      </c>
      <c r="W13" s="231">
        <v>5.3614929090523624</v>
      </c>
      <c r="X13" s="232"/>
      <c r="Y13" s="232"/>
      <c r="Z13" s="232"/>
      <c r="AA13" s="232"/>
      <c r="AC13" s="230" t="s">
        <v>344</v>
      </c>
      <c r="AD13" s="231">
        <v>4.6886223035175387</v>
      </c>
      <c r="AE13" s="232"/>
      <c r="AF13" s="232"/>
      <c r="AG13" s="232"/>
      <c r="AH13" s="232"/>
      <c r="AJ13" s="230" t="s">
        <v>344</v>
      </c>
      <c r="AK13" s="231">
        <v>3.1063338911838834</v>
      </c>
      <c r="AL13" s="232"/>
      <c r="AM13" s="232"/>
      <c r="AN13" s="232"/>
      <c r="AO13" s="232"/>
      <c r="AQ13" s="230" t="s">
        <v>344</v>
      </c>
      <c r="AR13" s="231">
        <v>3.4593697832311805</v>
      </c>
      <c r="AS13" s="232"/>
      <c r="AT13" s="232"/>
      <c r="AU13" s="232"/>
      <c r="AV13" s="232"/>
      <c r="AX13" s="230" t="s">
        <v>344</v>
      </c>
      <c r="AY13" s="231">
        <v>2.7973323903908915</v>
      </c>
      <c r="AZ13" s="232"/>
      <c r="BA13" s="232"/>
      <c r="BB13" s="232"/>
      <c r="BC13" s="232"/>
    </row>
    <row r="14" spans="1:55">
      <c r="A14" s="230" t="s">
        <v>345</v>
      </c>
      <c r="B14" s="231">
        <v>2.64405</v>
      </c>
      <c r="C14" s="232"/>
      <c r="D14" s="232"/>
      <c r="E14" s="232"/>
      <c r="F14" s="232"/>
      <c r="H14" s="230" t="s">
        <v>345</v>
      </c>
      <c r="I14" s="231">
        <v>2.4685781785195582</v>
      </c>
      <c r="J14" s="232"/>
      <c r="K14" s="232"/>
      <c r="L14" s="232"/>
      <c r="M14" s="232"/>
      <c r="O14" s="230" t="s">
        <v>345</v>
      </c>
      <c r="P14" s="231">
        <v>2.2268405079993898</v>
      </c>
      <c r="Q14" s="232"/>
      <c r="R14" s="232"/>
      <c r="S14" s="232"/>
      <c r="T14" s="232"/>
      <c r="V14" s="230" t="s">
        <v>345</v>
      </c>
      <c r="W14" s="231">
        <v>1.7526166423768035</v>
      </c>
      <c r="X14" s="232"/>
      <c r="Y14" s="232"/>
      <c r="Z14" s="232"/>
      <c r="AA14" s="232"/>
      <c r="AC14" s="230" t="s">
        <v>345</v>
      </c>
      <c r="AD14" s="231">
        <v>1.4716866440364331</v>
      </c>
      <c r="AE14" s="232"/>
      <c r="AF14" s="232"/>
      <c r="AG14" s="232"/>
      <c r="AH14" s="232"/>
      <c r="AJ14" s="230" t="s">
        <v>345</v>
      </c>
      <c r="AK14" s="231">
        <v>0.9893851258931271</v>
      </c>
      <c r="AL14" s="232"/>
      <c r="AM14" s="232"/>
      <c r="AN14" s="232"/>
      <c r="AO14" s="232"/>
      <c r="AQ14" s="230" t="s">
        <v>345</v>
      </c>
      <c r="AR14" s="231">
        <v>1.1608293970809549</v>
      </c>
      <c r="AS14" s="232"/>
      <c r="AT14" s="232"/>
      <c r="AU14" s="232"/>
      <c r="AV14" s="232"/>
      <c r="AX14" s="230" t="s">
        <v>345</v>
      </c>
      <c r="AY14" s="231">
        <v>0.95081034395860176</v>
      </c>
      <c r="AZ14" s="232"/>
      <c r="BA14" s="232"/>
      <c r="BB14" s="232"/>
      <c r="BC14" s="232"/>
    </row>
    <row r="15" spans="1:55">
      <c r="A15" s="230" t="s">
        <v>346</v>
      </c>
      <c r="B15" s="231">
        <v>1.4897609999999999</v>
      </c>
      <c r="C15" s="232"/>
      <c r="D15" s="232"/>
      <c r="E15" s="232"/>
      <c r="F15" s="232"/>
      <c r="H15" s="230" t="s">
        <v>346</v>
      </c>
      <c r="I15" s="231">
        <v>1.3872031973794481</v>
      </c>
      <c r="J15" s="232"/>
      <c r="K15" s="232"/>
      <c r="L15" s="232"/>
      <c r="M15" s="232"/>
      <c r="O15" s="230" t="s">
        <v>346</v>
      </c>
      <c r="P15" s="231">
        <v>1.6726270894987827</v>
      </c>
      <c r="Q15" s="232"/>
      <c r="R15" s="232"/>
      <c r="S15" s="232"/>
      <c r="T15" s="232"/>
      <c r="V15" s="230" t="s">
        <v>346</v>
      </c>
      <c r="W15" s="231">
        <v>1.4281613021242721</v>
      </c>
      <c r="X15" s="232"/>
      <c r="Y15" s="232"/>
      <c r="Z15" s="232"/>
      <c r="AA15" s="232"/>
      <c r="AC15" s="230" t="s">
        <v>346</v>
      </c>
      <c r="AD15" s="231">
        <v>1.6826620402921852</v>
      </c>
      <c r="AE15" s="232"/>
      <c r="AF15" s="232"/>
      <c r="AG15" s="232"/>
      <c r="AH15" s="232"/>
      <c r="AJ15" s="230" t="s">
        <v>346</v>
      </c>
      <c r="AK15" s="231">
        <v>1.0598418460104215</v>
      </c>
      <c r="AL15" s="232"/>
      <c r="AM15" s="232"/>
      <c r="AN15" s="232"/>
      <c r="AO15" s="232"/>
      <c r="AQ15" s="230" t="s">
        <v>346</v>
      </c>
      <c r="AR15" s="231">
        <v>1.0539231137468001</v>
      </c>
      <c r="AS15" s="232"/>
      <c r="AT15" s="232"/>
      <c r="AU15" s="232"/>
      <c r="AV15" s="232"/>
      <c r="AX15" s="230" t="s">
        <v>346</v>
      </c>
      <c r="AY15" s="231">
        <v>0.94324941672669793</v>
      </c>
      <c r="AZ15" s="232"/>
      <c r="BA15" s="232"/>
      <c r="BB15" s="232"/>
      <c r="BC15" s="232"/>
    </row>
    <row r="16" spans="1:55">
      <c r="A16" s="230" t="s">
        <v>347</v>
      </c>
      <c r="B16" s="194">
        <v>0</v>
      </c>
      <c r="C16" s="232"/>
      <c r="D16" s="232"/>
      <c r="E16" s="232"/>
      <c r="F16" s="232"/>
      <c r="H16" s="230" t="s">
        <v>347</v>
      </c>
      <c r="I16" s="194">
        <v>0</v>
      </c>
      <c r="J16" s="232"/>
      <c r="K16" s="232"/>
      <c r="L16" s="232"/>
      <c r="M16" s="232"/>
      <c r="O16" s="230" t="s">
        <v>347</v>
      </c>
      <c r="P16" s="194">
        <v>0</v>
      </c>
      <c r="Q16" s="232"/>
      <c r="R16" s="232"/>
      <c r="S16" s="232"/>
      <c r="T16" s="232"/>
      <c r="V16" s="230" t="s">
        <v>347</v>
      </c>
      <c r="W16" s="194">
        <v>0</v>
      </c>
      <c r="X16" s="232"/>
      <c r="Y16" s="232"/>
      <c r="Z16" s="232"/>
      <c r="AA16" s="232"/>
      <c r="AC16" s="230" t="s">
        <v>347</v>
      </c>
      <c r="AD16" s="194">
        <v>0</v>
      </c>
      <c r="AE16" s="232"/>
      <c r="AF16" s="232"/>
      <c r="AG16" s="232"/>
      <c r="AH16" s="232"/>
      <c r="AJ16" s="230" t="s">
        <v>347</v>
      </c>
      <c r="AK16" s="194">
        <v>0</v>
      </c>
      <c r="AL16" s="232"/>
      <c r="AM16" s="232"/>
      <c r="AN16" s="232"/>
      <c r="AO16" s="232"/>
      <c r="AQ16" s="230" t="s">
        <v>347</v>
      </c>
      <c r="AR16" s="194">
        <v>0</v>
      </c>
      <c r="AS16" s="232"/>
      <c r="AT16" s="232"/>
      <c r="AU16" s="232"/>
      <c r="AV16" s="232"/>
      <c r="AX16" s="230" t="s">
        <v>347</v>
      </c>
      <c r="AY16" s="194">
        <v>0</v>
      </c>
      <c r="AZ16" s="232"/>
      <c r="BA16" s="232"/>
      <c r="BB16" s="232"/>
      <c r="BC16" s="232"/>
    </row>
    <row r="17" spans="1:55">
      <c r="A17" s="227" t="s">
        <v>348</v>
      </c>
      <c r="B17" s="228">
        <v>16.747005518706732</v>
      </c>
      <c r="C17" s="233">
        <v>0.98651442783437848</v>
      </c>
      <c r="D17" s="229"/>
      <c r="E17" s="229"/>
      <c r="F17" s="229"/>
      <c r="H17" s="227" t="s">
        <v>348</v>
      </c>
      <c r="I17" s="228">
        <v>15.767294580692914</v>
      </c>
      <c r="J17" s="233">
        <v>0.96003912090795762</v>
      </c>
      <c r="K17" s="229"/>
      <c r="L17" s="229"/>
      <c r="M17" s="229"/>
      <c r="O17" s="227" t="s">
        <v>348</v>
      </c>
      <c r="P17" s="228">
        <v>16.295826061732029</v>
      </c>
      <c r="Q17" s="233">
        <v>1.0323434701304786</v>
      </c>
      <c r="R17" s="229"/>
      <c r="S17" s="229"/>
      <c r="T17" s="229"/>
      <c r="V17" s="227" t="s">
        <v>348</v>
      </c>
      <c r="W17" s="228">
        <v>14.721443807669083</v>
      </c>
      <c r="X17" s="233">
        <v>0.97193264059839746</v>
      </c>
      <c r="Y17" s="229"/>
      <c r="Z17" s="229"/>
      <c r="AA17" s="229"/>
      <c r="AC17" s="227" t="s">
        <v>348</v>
      </c>
      <c r="AD17" s="228">
        <v>15.824680030861439</v>
      </c>
      <c r="AE17" s="233">
        <v>1.0256822103317875</v>
      </c>
      <c r="AF17" s="229"/>
      <c r="AG17" s="229"/>
      <c r="AH17" s="229"/>
      <c r="AJ17" s="227" t="s">
        <v>348</v>
      </c>
      <c r="AK17" s="228">
        <v>13.666386726043777</v>
      </c>
      <c r="AL17" s="233">
        <v>0.91819947526387913</v>
      </c>
      <c r="AM17" s="229"/>
      <c r="AN17" s="229"/>
      <c r="AO17" s="229"/>
      <c r="AQ17" s="227" t="s">
        <v>348</v>
      </c>
      <c r="AR17" s="228">
        <v>12.775776666693384</v>
      </c>
      <c r="AS17" s="233">
        <v>0.91141978087164577</v>
      </c>
      <c r="AT17" s="229"/>
      <c r="AU17" s="229"/>
      <c r="AV17" s="229"/>
      <c r="AX17" s="227" t="s">
        <v>348</v>
      </c>
      <c r="AY17" s="228">
        <v>11.827906495951888</v>
      </c>
      <c r="AZ17" s="233">
        <v>0.89870167894109976</v>
      </c>
      <c r="BA17" s="229"/>
      <c r="BB17" s="229"/>
      <c r="BC17" s="229"/>
    </row>
    <row r="18" spans="1:55">
      <c r="A18" s="230" t="s">
        <v>339</v>
      </c>
      <c r="B18" s="234">
        <v>9.3024465925549382</v>
      </c>
      <c r="C18" s="235">
        <v>0.15384367443851713</v>
      </c>
      <c r="D18" s="232"/>
      <c r="E18" s="232"/>
      <c r="F18" s="232"/>
      <c r="H18" s="230" t="s">
        <v>339</v>
      </c>
      <c r="I18" s="234">
        <v>8.7835142533315818</v>
      </c>
      <c r="J18" s="235">
        <v>0.15006282856831696</v>
      </c>
      <c r="K18" s="232"/>
      <c r="L18" s="232"/>
      <c r="M18" s="232"/>
      <c r="O18" s="230" t="s">
        <v>339</v>
      </c>
      <c r="P18" s="234">
        <v>8.1312523937558225</v>
      </c>
      <c r="Q18" s="235">
        <v>0.13861195785877689</v>
      </c>
      <c r="R18" s="232"/>
      <c r="S18" s="232"/>
      <c r="T18" s="232"/>
      <c r="V18" s="230" t="s">
        <v>339</v>
      </c>
      <c r="W18" s="234">
        <v>7.6449611959637984</v>
      </c>
      <c r="X18" s="235">
        <v>0.12351498001690116</v>
      </c>
      <c r="Y18" s="232"/>
      <c r="Z18" s="232"/>
      <c r="AA18" s="232"/>
      <c r="AC18" s="230" t="s">
        <v>339</v>
      </c>
      <c r="AD18" s="234">
        <v>7.7236160992600142</v>
      </c>
      <c r="AE18" s="235">
        <v>0.11533619822709763</v>
      </c>
      <c r="AF18" s="232"/>
      <c r="AG18" s="232"/>
      <c r="AH18" s="232"/>
      <c r="AJ18" s="230" t="s">
        <v>339</v>
      </c>
      <c r="AK18" s="234">
        <v>8.3054339196880616</v>
      </c>
      <c r="AL18" s="235">
        <v>0.13267180178824262</v>
      </c>
      <c r="AM18" s="232"/>
      <c r="AN18" s="232"/>
      <c r="AO18" s="232"/>
      <c r="AQ18" s="230" t="s">
        <v>339</v>
      </c>
      <c r="AR18" s="234">
        <v>7.3997529339412909</v>
      </c>
      <c r="AS18" s="235">
        <v>0.12384516901861599</v>
      </c>
      <c r="AT18" s="232"/>
      <c r="AU18" s="232"/>
      <c r="AV18" s="232"/>
      <c r="AX18" s="230" t="s">
        <v>339</v>
      </c>
      <c r="AY18" s="234">
        <v>6.9463286048118924</v>
      </c>
      <c r="AZ18" s="235">
        <v>0.11992010682426739</v>
      </c>
      <c r="BA18" s="232"/>
      <c r="BB18" s="232"/>
      <c r="BC18" s="232"/>
    </row>
    <row r="19" spans="1:55">
      <c r="A19" s="230" t="s">
        <v>340</v>
      </c>
      <c r="B19" s="234">
        <v>2.4530885719199996E-3</v>
      </c>
      <c r="C19" s="235">
        <v>2.3165281260000006E-4</v>
      </c>
      <c r="D19" s="232"/>
      <c r="E19" s="232"/>
      <c r="F19" s="232"/>
      <c r="H19" s="230" t="s">
        <v>340</v>
      </c>
      <c r="I19" s="234">
        <v>2.7213657181199996E-3</v>
      </c>
      <c r="J19" s="235">
        <v>2.5698706110000003E-4</v>
      </c>
      <c r="K19" s="232"/>
      <c r="L19" s="232"/>
      <c r="M19" s="232"/>
      <c r="O19" s="230" t="s">
        <v>340</v>
      </c>
      <c r="P19" s="234">
        <v>2.8700948026799998E-3</v>
      </c>
      <c r="Q19" s="235">
        <v>2.7103201290000001E-4</v>
      </c>
      <c r="R19" s="232"/>
      <c r="S19" s="232"/>
      <c r="T19" s="232"/>
      <c r="V19" s="230" t="s">
        <v>340</v>
      </c>
      <c r="W19" s="234">
        <v>3.0630660832799994E-3</v>
      </c>
      <c r="X19" s="235">
        <v>2.8925489339999999E-4</v>
      </c>
      <c r="Y19" s="232"/>
      <c r="Z19" s="232"/>
      <c r="AA19" s="232"/>
      <c r="AC19" s="230" t="s">
        <v>340</v>
      </c>
      <c r="AD19" s="234">
        <v>3.6137402254799995E-3</v>
      </c>
      <c r="AE19" s="235">
        <v>3.4125677189999999E-4</v>
      </c>
      <c r="AF19" s="232"/>
      <c r="AG19" s="232"/>
      <c r="AH19" s="232"/>
      <c r="AJ19" s="230" t="s">
        <v>340</v>
      </c>
      <c r="AK19" s="234">
        <v>4.2321896467200004E-3</v>
      </c>
      <c r="AL19" s="235">
        <v>3.9965888160000003E-4</v>
      </c>
      <c r="AM19" s="232"/>
      <c r="AN19" s="232"/>
      <c r="AO19" s="232"/>
      <c r="AQ19" s="230" t="s">
        <v>340</v>
      </c>
      <c r="AR19" s="234">
        <v>4.9297102268399994E-3</v>
      </c>
      <c r="AS19" s="235">
        <v>4.6552792770000002E-4</v>
      </c>
      <c r="AT19" s="232"/>
      <c r="AU19" s="232"/>
      <c r="AV19" s="232"/>
      <c r="AX19" s="230" t="s">
        <v>340</v>
      </c>
      <c r="AY19" s="234">
        <v>5.4662645192399993E-3</v>
      </c>
      <c r="AZ19" s="235">
        <v>5.1619642470000012E-4</v>
      </c>
      <c r="BA19" s="232"/>
      <c r="BB19" s="232"/>
      <c r="BC19" s="232"/>
    </row>
    <row r="20" spans="1:55">
      <c r="A20" s="230" t="s">
        <v>341</v>
      </c>
      <c r="B20" s="234">
        <v>6.1030106795330011E-2</v>
      </c>
      <c r="C20" s="235">
        <v>9.0183441467428568E-3</v>
      </c>
      <c r="D20" s="232"/>
      <c r="E20" s="232"/>
      <c r="F20" s="232"/>
      <c r="H20" s="230" t="s">
        <v>341</v>
      </c>
      <c r="I20" s="234">
        <v>5.9122764344755017E-2</v>
      </c>
      <c r="J20" s="235">
        <v>8.7364984884571433E-3</v>
      </c>
      <c r="K20" s="232"/>
      <c r="L20" s="232"/>
      <c r="M20" s="232"/>
      <c r="O20" s="230" t="s">
        <v>341</v>
      </c>
      <c r="P20" s="234">
        <v>5.3655276018104138E-2</v>
      </c>
      <c r="Q20" s="235">
        <v>7.9285744336395018E-3</v>
      </c>
      <c r="R20" s="232"/>
      <c r="S20" s="232"/>
      <c r="T20" s="232"/>
      <c r="V20" s="230" t="s">
        <v>341</v>
      </c>
      <c r="W20" s="234">
        <v>4.5412596932182782E-2</v>
      </c>
      <c r="X20" s="235">
        <v>6.7105638386836574E-3</v>
      </c>
      <c r="Y20" s="232"/>
      <c r="Z20" s="232"/>
      <c r="AA20" s="232"/>
      <c r="AC20" s="230" t="s">
        <v>341</v>
      </c>
      <c r="AD20" s="234">
        <v>3.8424239627828663E-2</v>
      </c>
      <c r="AE20" s="235">
        <v>5.6779028374105579E-3</v>
      </c>
      <c r="AF20" s="232"/>
      <c r="AG20" s="232"/>
      <c r="AH20" s="232"/>
      <c r="AJ20" s="230" t="s">
        <v>341</v>
      </c>
      <c r="AK20" s="234">
        <v>3.8238108436802691E-2</v>
      </c>
      <c r="AL20" s="235">
        <v>5.6503984592395579E-3</v>
      </c>
      <c r="AM20" s="232"/>
      <c r="AN20" s="232"/>
      <c r="AO20" s="232"/>
      <c r="AQ20" s="230" t="s">
        <v>341</v>
      </c>
      <c r="AR20" s="234">
        <v>4.072495216079746E-2</v>
      </c>
      <c r="AS20" s="235">
        <v>6.0178763110703597E-3</v>
      </c>
      <c r="AT20" s="232"/>
      <c r="AU20" s="232"/>
      <c r="AV20" s="232"/>
      <c r="AX20" s="230" t="s">
        <v>341</v>
      </c>
      <c r="AY20" s="234">
        <v>4.2506387326062572E-2</v>
      </c>
      <c r="AZ20" s="235">
        <v>6.2811168039855715E-3</v>
      </c>
      <c r="BA20" s="232"/>
      <c r="BB20" s="232"/>
      <c r="BC20" s="232"/>
    </row>
    <row r="21" spans="1:55">
      <c r="A21" s="230" t="s">
        <v>342</v>
      </c>
      <c r="B21" s="234">
        <v>1.0072064670719999E-2</v>
      </c>
      <c r="C21" s="235">
        <v>1.2620450907428571E-3</v>
      </c>
      <c r="D21" s="232"/>
      <c r="E21" s="232"/>
      <c r="F21" s="232"/>
      <c r="H21" s="230" t="s">
        <v>342</v>
      </c>
      <c r="I21" s="234">
        <v>8.1215146249644238E-3</v>
      </c>
      <c r="J21" s="235">
        <v>1.0176381900752797E-3</v>
      </c>
      <c r="K21" s="232"/>
      <c r="L21" s="232"/>
      <c r="M21" s="232"/>
      <c r="O21" s="230" t="s">
        <v>342</v>
      </c>
      <c r="P21" s="234">
        <v>1.5533297563304627E-3</v>
      </c>
      <c r="Q21" s="235">
        <v>1.9463459155306658E-4</v>
      </c>
      <c r="R21" s="232"/>
      <c r="S21" s="232"/>
      <c r="T21" s="232"/>
      <c r="V21" s="230" t="s">
        <v>342</v>
      </c>
      <c r="W21" s="234">
        <v>2.6715419110022723E-3</v>
      </c>
      <c r="X21" s="235">
        <v>3.3474828287149885E-4</v>
      </c>
      <c r="Y21" s="232"/>
      <c r="Z21" s="232"/>
      <c r="AA21" s="232"/>
      <c r="AC21" s="230" t="s">
        <v>342</v>
      </c>
      <c r="AD21" s="234">
        <v>1.6244892392509715E-3</v>
      </c>
      <c r="AE21" s="235">
        <v>2.0355098347623406E-4</v>
      </c>
      <c r="AF21" s="232"/>
      <c r="AG21" s="232"/>
      <c r="AH21" s="232"/>
      <c r="AJ21" s="230" t="s">
        <v>342</v>
      </c>
      <c r="AK21" s="234">
        <v>1.0527764772366472E-3</v>
      </c>
      <c r="AL21" s="235">
        <v>1.3191450096706851E-4</v>
      </c>
      <c r="AM21" s="232"/>
      <c r="AN21" s="232"/>
      <c r="AO21" s="232"/>
      <c r="AQ21" s="230" t="s">
        <v>342</v>
      </c>
      <c r="AR21" s="234">
        <v>4.3216295725180083E-3</v>
      </c>
      <c r="AS21" s="235">
        <v>5.4150678776525556E-4</v>
      </c>
      <c r="AT21" s="232"/>
      <c r="AU21" s="232"/>
      <c r="AV21" s="232"/>
      <c r="AX21" s="230" t="s">
        <v>342</v>
      </c>
      <c r="AY21" s="234">
        <v>1.7771922959447779E-3</v>
      </c>
      <c r="AZ21" s="235">
        <v>2.2268490977062012E-4</v>
      </c>
      <c r="BA21" s="232"/>
      <c r="BB21" s="232"/>
      <c r="BC21" s="232"/>
    </row>
    <row r="22" spans="1:55">
      <c r="A22" s="230" t="s">
        <v>343</v>
      </c>
      <c r="B22" s="234">
        <v>2.7210522396879577E-3</v>
      </c>
      <c r="C22" s="235">
        <v>5.779994262550298E-4</v>
      </c>
      <c r="D22" s="232"/>
      <c r="E22" s="232"/>
      <c r="F22" s="232"/>
      <c r="H22" s="230" t="s">
        <v>343</v>
      </c>
      <c r="I22" s="234">
        <v>2.7210522396879577E-3</v>
      </c>
      <c r="J22" s="235">
        <v>5.779994262550298E-4</v>
      </c>
      <c r="K22" s="232"/>
      <c r="L22" s="232"/>
      <c r="M22" s="232"/>
      <c r="O22" s="230" t="s">
        <v>343</v>
      </c>
      <c r="P22" s="234">
        <v>2.7210522396879568E-3</v>
      </c>
      <c r="Q22" s="235">
        <v>5.7799942625502969E-4</v>
      </c>
      <c r="R22" s="232"/>
      <c r="S22" s="232"/>
      <c r="T22" s="232"/>
      <c r="V22" s="230" t="s">
        <v>343</v>
      </c>
      <c r="W22" s="234">
        <v>2.8673264209665202E-3</v>
      </c>
      <c r="X22" s="235">
        <v>6.0907063893583769E-4</v>
      </c>
      <c r="Y22" s="232"/>
      <c r="Z22" s="232"/>
      <c r="AA22" s="232"/>
      <c r="AC22" s="230" t="s">
        <v>343</v>
      </c>
      <c r="AD22" s="234">
        <v>3.3828107345084419E-3</v>
      </c>
      <c r="AE22" s="235">
        <v>7.1856858723868481E-4</v>
      </c>
      <c r="AF22" s="232"/>
      <c r="AG22" s="232"/>
      <c r="AH22" s="232"/>
      <c r="AJ22" s="230" t="s">
        <v>343</v>
      </c>
      <c r="AK22" s="234">
        <v>3.3557211891758281E-3</v>
      </c>
      <c r="AL22" s="235">
        <v>7.1281429063556052E-4</v>
      </c>
      <c r="AM22" s="232"/>
      <c r="AN22" s="232"/>
      <c r="AO22" s="232"/>
      <c r="AQ22" s="230" t="s">
        <v>343</v>
      </c>
      <c r="AR22" s="234">
        <v>3.3422848830369032E-3</v>
      </c>
      <c r="AS22" s="235">
        <v>7.0996018253502067E-4</v>
      </c>
      <c r="AT22" s="232"/>
      <c r="AU22" s="232"/>
      <c r="AV22" s="232"/>
      <c r="AX22" s="230" t="s">
        <v>343</v>
      </c>
      <c r="AY22" s="234">
        <v>3.3289023758617431E-3</v>
      </c>
      <c r="AZ22" s="235">
        <v>7.0711750228203752E-4</v>
      </c>
      <c r="BA22" s="232"/>
      <c r="BB22" s="232"/>
      <c r="BC22" s="232"/>
    </row>
    <row r="23" spans="1:55">
      <c r="A23" s="230" t="s">
        <v>344</v>
      </c>
      <c r="B23" s="234">
        <v>0.43183675777536007</v>
      </c>
      <c r="C23" s="235">
        <v>4.6122382521600003E-2</v>
      </c>
      <c r="D23" s="232"/>
      <c r="E23" s="232"/>
      <c r="F23" s="232"/>
      <c r="H23" s="230" t="s">
        <v>344</v>
      </c>
      <c r="I23" s="234">
        <v>0.41382638645753844</v>
      </c>
      <c r="J23" s="235">
        <v>4.4198782410400719E-2</v>
      </c>
      <c r="K23" s="232"/>
      <c r="L23" s="232"/>
      <c r="M23" s="232"/>
      <c r="O23" s="230" t="s">
        <v>344</v>
      </c>
      <c r="P23" s="234">
        <v>0.38526980772043118</v>
      </c>
      <c r="Q23" s="235">
        <v>4.1148793208911301E-2</v>
      </c>
      <c r="R23" s="232"/>
      <c r="S23" s="232"/>
      <c r="T23" s="232"/>
      <c r="V23" s="230" t="s">
        <v>344</v>
      </c>
      <c r="W23" s="234">
        <v>0.3502461725350528</v>
      </c>
      <c r="X23" s="235">
        <v>3.7408089180753272E-2</v>
      </c>
      <c r="Y23" s="232"/>
      <c r="Z23" s="232"/>
      <c r="AA23" s="232"/>
      <c r="AC23" s="230" t="s">
        <v>344</v>
      </c>
      <c r="AD23" s="234">
        <v>0.30629006586893964</v>
      </c>
      <c r="AE23" s="235">
        <v>3.2713351344495836E-2</v>
      </c>
      <c r="AF23" s="232"/>
      <c r="AG23" s="232"/>
      <c r="AH23" s="232"/>
      <c r="AJ23" s="230" t="s">
        <v>344</v>
      </c>
      <c r="AK23" s="234">
        <v>0.2029251132956123</v>
      </c>
      <c r="AL23" s="235">
        <v>2.1673443795926166E-2</v>
      </c>
      <c r="AM23" s="232"/>
      <c r="AN23" s="232"/>
      <c r="AO23" s="232"/>
      <c r="AQ23" s="230" t="s">
        <v>344</v>
      </c>
      <c r="AR23" s="234">
        <v>0.22598762070810813</v>
      </c>
      <c r="AS23" s="235">
        <v>2.4136637976676523E-2</v>
      </c>
      <c r="AT23" s="232"/>
      <c r="AU23" s="232"/>
      <c r="AV23" s="232"/>
      <c r="AX23" s="230" t="s">
        <v>344</v>
      </c>
      <c r="AY23" s="234">
        <v>0.18273920709444907</v>
      </c>
      <c r="AZ23" s="235">
        <v>1.9517485391293325E-2</v>
      </c>
      <c r="BA23" s="232"/>
      <c r="BB23" s="232"/>
      <c r="BC23" s="232"/>
    </row>
    <row r="24" spans="1:55">
      <c r="A24" s="230" t="s">
        <v>345</v>
      </c>
      <c r="B24" s="234">
        <v>0.16982288949600002</v>
      </c>
      <c r="C24" s="235">
        <v>1.8137956367142861E-2</v>
      </c>
      <c r="D24" s="232"/>
      <c r="E24" s="232"/>
      <c r="F24" s="232"/>
      <c r="H24" s="230" t="s">
        <v>345</v>
      </c>
      <c r="I24" s="234">
        <v>0.15855262919497132</v>
      </c>
      <c r="J24" s="235">
        <v>1.6934234712228866E-2</v>
      </c>
      <c r="K24" s="232"/>
      <c r="L24" s="232"/>
      <c r="M24" s="232"/>
      <c r="O24" s="230" t="s">
        <v>345</v>
      </c>
      <c r="P24" s="234">
        <v>0.14302622473674736</v>
      </c>
      <c r="Q24" s="235">
        <v>1.5275935012832276E-2</v>
      </c>
      <c r="R24" s="232"/>
      <c r="S24" s="232"/>
      <c r="T24" s="232"/>
      <c r="V24" s="230" t="s">
        <v>345</v>
      </c>
      <c r="W24" s="234">
        <v>0.1125676225439029</v>
      </c>
      <c r="X24" s="235">
        <v>1.2022799942421242E-2</v>
      </c>
      <c r="Y24" s="232"/>
      <c r="Z24" s="232"/>
      <c r="AA24" s="232"/>
      <c r="AC24" s="230" t="s">
        <v>345</v>
      </c>
      <c r="AD24" s="234">
        <v>9.4523960712898147E-2</v>
      </c>
      <c r="AE24" s="235">
        <v>1.0095644233520443E-2</v>
      </c>
      <c r="AF24" s="232"/>
      <c r="AG24" s="232"/>
      <c r="AH24" s="232"/>
      <c r="AJ24" s="230" t="s">
        <v>345</v>
      </c>
      <c r="AK24" s="234">
        <v>6.3546544469104072E-2</v>
      </c>
      <c r="AL24" s="235">
        <v>6.7870971591874902E-3</v>
      </c>
      <c r="AM24" s="232"/>
      <c r="AN24" s="232"/>
      <c r="AO24" s="232"/>
      <c r="AQ24" s="230" t="s">
        <v>345</v>
      </c>
      <c r="AR24" s="234">
        <v>7.4558121981122646E-2</v>
      </c>
      <c r="AS24" s="235">
        <v>7.9631901643127459E-3</v>
      </c>
      <c r="AT24" s="232"/>
      <c r="AU24" s="232"/>
      <c r="AV24" s="232"/>
      <c r="AX24" s="230" t="s">
        <v>345</v>
      </c>
      <c r="AY24" s="234">
        <v>6.106895103108316E-2</v>
      </c>
      <c r="AZ24" s="235">
        <v>6.5224774615265267E-3</v>
      </c>
      <c r="BA24" s="232"/>
      <c r="BB24" s="232"/>
      <c r="BC24" s="232"/>
    </row>
    <row r="25" spans="1:55">
      <c r="A25" s="230" t="s">
        <v>346</v>
      </c>
      <c r="B25" s="234">
        <v>6.2868855803440056</v>
      </c>
      <c r="C25" s="235">
        <v>0.33777766157849998</v>
      </c>
      <c r="D25" s="232"/>
      <c r="E25" s="232"/>
      <c r="F25" s="232"/>
      <c r="H25" s="230" t="s">
        <v>346</v>
      </c>
      <c r="I25" s="234">
        <v>5.8540851711193618</v>
      </c>
      <c r="J25" s="235">
        <v>0.31452444529360651</v>
      </c>
      <c r="K25" s="232"/>
      <c r="L25" s="232"/>
      <c r="M25" s="232"/>
      <c r="O25" s="230" t="s">
        <v>346</v>
      </c>
      <c r="P25" s="234">
        <v>7.0585920360800563</v>
      </c>
      <c r="Q25" s="235">
        <v>0.37923939946323693</v>
      </c>
      <c r="R25" s="232"/>
      <c r="S25" s="232"/>
      <c r="T25" s="232"/>
      <c r="V25" s="230" t="s">
        <v>346</v>
      </c>
      <c r="W25" s="234">
        <v>6.0269309618995299</v>
      </c>
      <c r="X25" s="235">
        <v>0.32381099047997791</v>
      </c>
      <c r="Y25" s="232"/>
      <c r="Z25" s="232"/>
      <c r="AA25" s="232"/>
      <c r="AC25" s="230" t="s">
        <v>346</v>
      </c>
      <c r="AD25" s="234">
        <v>7.1009401626872783</v>
      </c>
      <c r="AE25" s="235">
        <v>0.38151465181113092</v>
      </c>
      <c r="AF25" s="232"/>
      <c r="AG25" s="232"/>
      <c r="AH25" s="232"/>
      <c r="AJ25" s="230" t="s">
        <v>346</v>
      </c>
      <c r="AK25" s="234">
        <v>4.4725995774678573</v>
      </c>
      <c r="AL25" s="235">
        <v>0.24030089416251396</v>
      </c>
      <c r="AM25" s="232"/>
      <c r="AN25" s="232"/>
      <c r="AO25" s="232"/>
      <c r="AQ25" s="230" t="s">
        <v>346</v>
      </c>
      <c r="AR25" s="234">
        <v>4.4476221532219018</v>
      </c>
      <c r="AS25" s="235">
        <v>0.23895892350848605</v>
      </c>
      <c r="AT25" s="232"/>
      <c r="AU25" s="232"/>
      <c r="AV25" s="232"/>
      <c r="AX25" s="230" t="s">
        <v>346</v>
      </c>
      <c r="AY25" s="234">
        <v>3.9805721566660499</v>
      </c>
      <c r="AZ25" s="235">
        <v>0.21386556787781943</v>
      </c>
      <c r="BA25" s="232"/>
      <c r="BB25" s="232"/>
      <c r="BC25" s="232"/>
    </row>
    <row r="26" spans="1:55">
      <c r="A26" s="230" t="s">
        <v>347</v>
      </c>
      <c r="B26" s="236">
        <v>0.47973738625877155</v>
      </c>
      <c r="C26" s="235">
        <v>0.41954271145227778</v>
      </c>
      <c r="D26" s="232"/>
      <c r="E26" s="232"/>
      <c r="F26" s="232"/>
      <c r="H26" s="230" t="s">
        <v>347</v>
      </c>
      <c r="I26" s="236">
        <v>0.48462944366193356</v>
      </c>
      <c r="J26" s="235">
        <v>0.42372970675751709</v>
      </c>
      <c r="K26" s="232"/>
      <c r="L26" s="232"/>
      <c r="M26" s="232"/>
      <c r="O26" s="230" t="s">
        <v>347</v>
      </c>
      <c r="P26" s="236">
        <v>0.51688584662216963</v>
      </c>
      <c r="Q26" s="235">
        <v>0.44909514412237372</v>
      </c>
      <c r="R26" s="232"/>
      <c r="S26" s="232"/>
      <c r="T26" s="232"/>
      <c r="V26" s="230" t="s">
        <v>347</v>
      </c>
      <c r="W26" s="236">
        <v>0.53272332337936523</v>
      </c>
      <c r="X26" s="235">
        <v>0.46723214332445279</v>
      </c>
      <c r="Y26" s="232"/>
      <c r="Z26" s="232"/>
      <c r="AA26" s="232"/>
      <c r="AC26" s="230" t="s">
        <v>347</v>
      </c>
      <c r="AD26" s="236">
        <v>0.55226446250524119</v>
      </c>
      <c r="AE26" s="235">
        <v>0.47908108553551726</v>
      </c>
      <c r="AF26" s="232"/>
      <c r="AG26" s="232"/>
      <c r="AH26" s="232"/>
      <c r="AJ26" s="230" t="s">
        <v>347</v>
      </c>
      <c r="AK26" s="236">
        <v>0.57500277537321121</v>
      </c>
      <c r="AL26" s="235">
        <v>0.50987145222556673</v>
      </c>
      <c r="AM26" s="232"/>
      <c r="AN26" s="232"/>
      <c r="AO26" s="232"/>
      <c r="AQ26" s="230" t="s">
        <v>347</v>
      </c>
      <c r="AR26" s="236">
        <v>0.57453725999776883</v>
      </c>
      <c r="AS26" s="235">
        <v>0.50878098899448376</v>
      </c>
      <c r="AT26" s="232"/>
      <c r="AU26" s="232"/>
      <c r="AV26" s="232"/>
      <c r="AX26" s="230" t="s">
        <v>347</v>
      </c>
      <c r="AY26" s="236">
        <v>0.60411882983130483</v>
      </c>
      <c r="AZ26" s="235">
        <v>0.53114892574545491</v>
      </c>
      <c r="BA26" s="232"/>
      <c r="BB26" s="232"/>
      <c r="BC26" s="232"/>
    </row>
    <row r="27" spans="1:55">
      <c r="A27" s="237" t="s">
        <v>349</v>
      </c>
      <c r="B27" s="229"/>
      <c r="C27" s="238">
        <v>0.33791824278452537</v>
      </c>
      <c r="D27" s="229"/>
      <c r="E27" s="229"/>
      <c r="F27" s="229"/>
      <c r="H27" s="237" t="s">
        <v>349</v>
      </c>
      <c r="I27" s="229"/>
      <c r="J27" s="238">
        <v>0.32707114098056533</v>
      </c>
      <c r="K27" s="229"/>
      <c r="L27" s="229"/>
      <c r="M27" s="229"/>
      <c r="O27" s="237" t="s">
        <v>349</v>
      </c>
      <c r="P27" s="229"/>
      <c r="Q27" s="238">
        <v>0.35027063272105341</v>
      </c>
      <c r="R27" s="229"/>
      <c r="S27" s="229"/>
      <c r="T27" s="229"/>
      <c r="V27" s="237" t="s">
        <v>349</v>
      </c>
      <c r="W27" s="229"/>
      <c r="X27" s="238">
        <v>0.32813772373064676</v>
      </c>
      <c r="Y27" s="229"/>
      <c r="Z27" s="229"/>
      <c r="AA27" s="229"/>
      <c r="AC27" s="237" t="s">
        <v>349</v>
      </c>
      <c r="AD27" s="229"/>
      <c r="AE27" s="238">
        <v>0.35176601971072446</v>
      </c>
      <c r="AF27" s="229"/>
      <c r="AG27" s="229"/>
      <c r="AH27" s="229"/>
      <c r="AJ27" s="237" t="s">
        <v>349</v>
      </c>
      <c r="AK27" s="229"/>
      <c r="AL27" s="238">
        <v>0.30842674202053422</v>
      </c>
      <c r="AM27" s="229"/>
      <c r="AN27" s="229"/>
      <c r="AO27" s="229"/>
      <c r="AQ27" s="237" t="s">
        <v>349</v>
      </c>
      <c r="AR27" s="229"/>
      <c r="AS27" s="238">
        <v>0.30186282785670704</v>
      </c>
      <c r="AT27" s="229"/>
      <c r="AU27" s="229"/>
      <c r="AV27" s="229"/>
      <c r="AX27" s="237" t="s">
        <v>349</v>
      </c>
      <c r="AY27" s="229"/>
      <c r="AZ27" s="238">
        <v>0.29596767489198939</v>
      </c>
      <c r="BA27" s="229"/>
      <c r="BB27" s="229"/>
      <c r="BC27" s="229"/>
    </row>
    <row r="28" spans="1:55">
      <c r="A28" s="230" t="s">
        <v>350</v>
      </c>
      <c r="B28" s="229"/>
      <c r="C28" s="239">
        <v>8.2630279369836968E-2</v>
      </c>
      <c r="D28" s="229"/>
      <c r="E28" s="229"/>
      <c r="F28" s="229"/>
      <c r="H28" s="230" t="s">
        <v>350</v>
      </c>
      <c r="I28" s="229"/>
      <c r="J28" s="239">
        <v>7.8924802392903295E-2</v>
      </c>
      <c r="K28" s="229"/>
      <c r="L28" s="229"/>
      <c r="M28" s="229"/>
      <c r="O28" s="230" t="s">
        <v>350</v>
      </c>
      <c r="P28" s="229"/>
      <c r="Q28" s="239">
        <v>7.3584361984535843E-2</v>
      </c>
      <c r="R28" s="229"/>
      <c r="S28" s="229"/>
      <c r="T28" s="229"/>
      <c r="V28" s="230" t="s">
        <v>350</v>
      </c>
      <c r="W28" s="229"/>
      <c r="X28" s="239">
        <v>6.8071793161762206E-2</v>
      </c>
      <c r="Y28" s="229"/>
      <c r="Z28" s="229"/>
      <c r="AA28" s="229"/>
      <c r="AC28" s="230" t="s">
        <v>350</v>
      </c>
      <c r="AD28" s="229"/>
      <c r="AE28" s="239">
        <v>6.7103151072852682E-2</v>
      </c>
      <c r="AF28" s="229"/>
      <c r="AG28" s="229"/>
      <c r="AH28" s="229"/>
      <c r="AJ28" s="230" t="s">
        <v>350</v>
      </c>
      <c r="AK28" s="229"/>
      <c r="AL28" s="239">
        <v>7.3547365986057933E-2</v>
      </c>
      <c r="AM28" s="229"/>
      <c r="AN28" s="229"/>
      <c r="AO28" s="229"/>
      <c r="AQ28" s="230" t="s">
        <v>350</v>
      </c>
      <c r="AR28" s="229"/>
      <c r="AS28" s="239">
        <v>6.6516855587247459E-2</v>
      </c>
      <c r="AT28" s="229"/>
      <c r="AU28" s="229"/>
      <c r="AV28" s="229"/>
      <c r="AX28" s="230" t="s">
        <v>350</v>
      </c>
      <c r="AY28" s="229"/>
      <c r="AZ28" s="239">
        <v>6.3134636751225784E-2</v>
      </c>
      <c r="BA28" s="229"/>
      <c r="BB28" s="229"/>
      <c r="BC28" s="229"/>
    </row>
    <row r="29" spans="1:55">
      <c r="A29" s="230" t="s">
        <v>340</v>
      </c>
      <c r="B29" s="229"/>
      <c r="C29" s="239">
        <v>3.8155148675325011E-5</v>
      </c>
      <c r="D29" s="229"/>
      <c r="E29" s="229"/>
      <c r="F29" s="229"/>
      <c r="H29" s="230" t="s">
        <v>340</v>
      </c>
      <c r="I29" s="229"/>
      <c r="J29" s="239">
        <v>4.23279105220125E-5</v>
      </c>
      <c r="K29" s="229"/>
      <c r="L29" s="229"/>
      <c r="M29" s="229"/>
      <c r="O29" s="230" t="s">
        <v>340</v>
      </c>
      <c r="P29" s="229"/>
      <c r="Q29" s="239">
        <v>4.4641231124737501E-5</v>
      </c>
      <c r="R29" s="229"/>
      <c r="S29" s="229"/>
      <c r="T29" s="229"/>
      <c r="V29" s="230" t="s">
        <v>340</v>
      </c>
      <c r="W29" s="229"/>
      <c r="X29" s="239">
        <v>4.7642691400424993E-5</v>
      </c>
      <c r="Y29" s="229"/>
      <c r="Z29" s="229"/>
      <c r="AA29" s="229"/>
      <c r="AC29" s="230" t="s">
        <v>340</v>
      </c>
      <c r="AD29" s="229"/>
      <c r="AE29" s="239">
        <v>5.62078341383625E-5</v>
      </c>
      <c r="AF29" s="229"/>
      <c r="AG29" s="229"/>
      <c r="AH29" s="229"/>
      <c r="AJ29" s="230" t="s">
        <v>340</v>
      </c>
      <c r="AK29" s="229"/>
      <c r="AL29" s="239">
        <v>6.5827148290200017E-5</v>
      </c>
      <c r="AM29" s="229"/>
      <c r="AN29" s="229"/>
      <c r="AO29" s="229"/>
      <c r="AQ29" s="230" t="s">
        <v>340</v>
      </c>
      <c r="AR29" s="229"/>
      <c r="AS29" s="239">
        <v>7.66763290915875E-5</v>
      </c>
      <c r="AT29" s="229"/>
      <c r="AU29" s="229"/>
      <c r="AV29" s="229"/>
      <c r="AX29" s="230" t="s">
        <v>340</v>
      </c>
      <c r="AY29" s="229"/>
      <c r="AZ29" s="239">
        <v>8.5021852784962504E-5</v>
      </c>
      <c r="BA29" s="229"/>
      <c r="BB29" s="229"/>
      <c r="BC29" s="229"/>
    </row>
    <row r="30" spans="1:55">
      <c r="A30" s="230" t="s">
        <v>341</v>
      </c>
      <c r="B30" s="229"/>
      <c r="C30" s="239">
        <v>1.3915305018424226E-3</v>
      </c>
      <c r="D30" s="229"/>
      <c r="E30" s="229"/>
      <c r="F30" s="229"/>
      <c r="H30" s="230" t="s">
        <v>341</v>
      </c>
      <c r="I30" s="229"/>
      <c r="J30" s="239">
        <v>1.3480417167689375E-3</v>
      </c>
      <c r="K30" s="229"/>
      <c r="L30" s="229"/>
      <c r="M30" s="229"/>
      <c r="O30" s="230" t="s">
        <v>341</v>
      </c>
      <c r="P30" s="229"/>
      <c r="Q30" s="239">
        <v>1.223379035110575E-3</v>
      </c>
      <c r="R30" s="229"/>
      <c r="S30" s="229"/>
      <c r="T30" s="229"/>
      <c r="V30" s="230" t="s">
        <v>341</v>
      </c>
      <c r="W30" s="229"/>
      <c r="X30" s="239">
        <v>1.0354400003088884E-3</v>
      </c>
      <c r="Y30" s="229"/>
      <c r="Z30" s="229"/>
      <c r="AA30" s="229"/>
      <c r="AC30" s="230" t="s">
        <v>341</v>
      </c>
      <c r="AD30" s="229"/>
      <c r="AE30" s="239">
        <v>8.7610040781244906E-4</v>
      </c>
      <c r="AF30" s="229"/>
      <c r="AG30" s="229"/>
      <c r="AH30" s="229"/>
      <c r="AJ30" s="230" t="s">
        <v>341</v>
      </c>
      <c r="AK30" s="229"/>
      <c r="AL30" s="239">
        <v>8.7185648226066387E-4</v>
      </c>
      <c r="AM30" s="229"/>
      <c r="AN30" s="229"/>
      <c r="AO30" s="229"/>
      <c r="AQ30" s="230" t="s">
        <v>341</v>
      </c>
      <c r="AR30" s="229"/>
      <c r="AS30" s="239">
        <v>9.2855831479815652E-4</v>
      </c>
      <c r="AT30" s="229"/>
      <c r="AU30" s="229"/>
      <c r="AV30" s="229"/>
      <c r="AX30" s="230" t="s">
        <v>341</v>
      </c>
      <c r="AY30" s="229"/>
      <c r="AZ30" s="239">
        <v>9.691763228549732E-4</v>
      </c>
      <c r="BA30" s="229"/>
      <c r="BB30" s="229"/>
      <c r="BC30" s="229"/>
    </row>
    <row r="31" spans="1:55">
      <c r="A31" s="230" t="s">
        <v>342</v>
      </c>
      <c r="B31" s="229"/>
      <c r="C31" s="239">
        <v>1.9473355750162288E-4</v>
      </c>
      <c r="D31" s="229"/>
      <c r="E31" s="229"/>
      <c r="F31" s="229"/>
      <c r="H31" s="230" t="s">
        <v>342</v>
      </c>
      <c r="I31" s="229"/>
      <c r="J31" s="239">
        <v>1.5702157272861565E-4</v>
      </c>
      <c r="K31" s="229"/>
      <c r="L31" s="229"/>
      <c r="M31" s="229"/>
      <c r="O31" s="230" t="s">
        <v>342</v>
      </c>
      <c r="P31" s="229"/>
      <c r="Q31" s="239">
        <v>3.0032117476638172E-5</v>
      </c>
      <c r="R31" s="229"/>
      <c r="S31" s="229"/>
      <c r="T31" s="229"/>
      <c r="V31" s="230" t="s">
        <v>342</v>
      </c>
      <c r="W31" s="229"/>
      <c r="X31" s="239">
        <v>5.1651660047072266E-5</v>
      </c>
      <c r="Y31" s="229"/>
      <c r="Z31" s="229"/>
      <c r="AA31" s="229"/>
      <c r="AC31" s="230" t="s">
        <v>342</v>
      </c>
      <c r="AD31" s="229"/>
      <c r="AE31" s="239">
        <v>3.1407916750382908E-5</v>
      </c>
      <c r="AF31" s="229"/>
      <c r="AG31" s="229"/>
      <c r="AH31" s="229"/>
      <c r="AJ31" s="230" t="s">
        <v>342</v>
      </c>
      <c r="AK31" s="229"/>
      <c r="AL31" s="239">
        <v>2.035440749921867E-5</v>
      </c>
      <c r="AM31" s="229"/>
      <c r="AN31" s="229"/>
      <c r="AO31" s="229"/>
      <c r="AQ31" s="230" t="s">
        <v>342</v>
      </c>
      <c r="AR31" s="229"/>
      <c r="AS31" s="239">
        <v>8.3554497352178925E-5</v>
      </c>
      <c r="AT31" s="229"/>
      <c r="AU31" s="229"/>
      <c r="AV31" s="229"/>
      <c r="AX31" s="230" t="s">
        <v>342</v>
      </c>
      <c r="AY31" s="229"/>
      <c r="AZ31" s="239">
        <v>3.4360281577606686E-5</v>
      </c>
      <c r="BA31" s="229"/>
      <c r="BB31" s="229"/>
      <c r="BC31" s="229"/>
    </row>
    <row r="32" spans="1:55">
      <c r="A32" s="230" t="s">
        <v>343</v>
      </c>
      <c r="B32" s="229"/>
      <c r="C32" s="239">
        <v>8.9185311471151097E-5</v>
      </c>
      <c r="D32" s="229"/>
      <c r="E32" s="229"/>
      <c r="F32" s="229"/>
      <c r="H32" s="230" t="s">
        <v>343</v>
      </c>
      <c r="I32" s="229"/>
      <c r="J32" s="239">
        <v>8.9185311471151097E-5</v>
      </c>
      <c r="K32" s="229"/>
      <c r="L32" s="229"/>
      <c r="M32" s="229"/>
      <c r="O32" s="230" t="s">
        <v>343</v>
      </c>
      <c r="P32" s="229"/>
      <c r="Q32" s="239">
        <v>8.918531147115107E-5</v>
      </c>
      <c r="R32" s="229"/>
      <c r="S32" s="229"/>
      <c r="T32" s="229"/>
      <c r="V32" s="230" t="s">
        <v>343</v>
      </c>
      <c r="W32" s="229"/>
      <c r="X32" s="239">
        <v>9.3979599587799755E-5</v>
      </c>
      <c r="Y32" s="229"/>
      <c r="Z32" s="229"/>
      <c r="AA32" s="229"/>
      <c r="AC32" s="230" t="s">
        <v>343</v>
      </c>
      <c r="AD32" s="229"/>
      <c r="AE32" s="239">
        <v>1.1087513301092906E-4</v>
      </c>
      <c r="AF32" s="229"/>
      <c r="AG32" s="229"/>
      <c r="AH32" s="229"/>
      <c r="AJ32" s="230" t="s">
        <v>343</v>
      </c>
      <c r="AK32" s="229"/>
      <c r="AL32" s="239">
        <v>1.0998724504506699E-4</v>
      </c>
      <c r="AM32" s="229"/>
      <c r="AN32" s="229"/>
      <c r="AO32" s="229"/>
      <c r="AQ32" s="230" t="s">
        <v>343</v>
      </c>
      <c r="AR32" s="229"/>
      <c r="AS32" s="239">
        <v>1.095468561651537E-4</v>
      </c>
      <c r="AT32" s="229"/>
      <c r="AU32" s="229"/>
      <c r="AV32" s="229"/>
      <c r="AX32" s="230" t="s">
        <v>343</v>
      </c>
      <c r="AY32" s="229"/>
      <c r="AZ32" s="239">
        <v>1.0910823060211841E-4</v>
      </c>
      <c r="BA32" s="229"/>
      <c r="BB32" s="229"/>
      <c r="BC32" s="229"/>
    </row>
    <row r="33" spans="1:55">
      <c r="A33" s="230" t="s">
        <v>344</v>
      </c>
      <c r="B33" s="229"/>
      <c r="C33" s="239">
        <v>7.1166836230828808E-3</v>
      </c>
      <c r="D33" s="229"/>
      <c r="E33" s="229"/>
      <c r="F33" s="229"/>
      <c r="H33" s="230" t="s">
        <v>344</v>
      </c>
      <c r="I33" s="229"/>
      <c r="J33" s="239">
        <v>6.8198721259248299E-3</v>
      </c>
      <c r="K33" s="229"/>
      <c r="L33" s="229"/>
      <c r="M33" s="229"/>
      <c r="O33" s="230" t="s">
        <v>344</v>
      </c>
      <c r="P33" s="229"/>
      <c r="Q33" s="239">
        <v>6.3492587921350138E-3</v>
      </c>
      <c r="R33" s="229"/>
      <c r="S33" s="229"/>
      <c r="T33" s="229"/>
      <c r="V33" s="230" t="s">
        <v>344</v>
      </c>
      <c r="W33" s="229"/>
      <c r="X33" s="239">
        <v>5.7720681605902303E-3</v>
      </c>
      <c r="Y33" s="229"/>
      <c r="Z33" s="229"/>
      <c r="AA33" s="229"/>
      <c r="AC33" s="230" t="s">
        <v>344</v>
      </c>
      <c r="AD33" s="229"/>
      <c r="AE33" s="239">
        <v>5.0476701124557068E-3</v>
      </c>
      <c r="AF33" s="229"/>
      <c r="AG33" s="229"/>
      <c r="AH33" s="229"/>
      <c r="AJ33" s="230" t="s">
        <v>344</v>
      </c>
      <c r="AK33" s="229"/>
      <c r="AL33" s="239">
        <v>3.3442123777114065E-3</v>
      </c>
      <c r="AM33" s="229"/>
      <c r="AN33" s="229"/>
      <c r="AO33" s="229"/>
      <c r="AQ33" s="230" t="s">
        <v>344</v>
      </c>
      <c r="AR33" s="229"/>
      <c r="AS33" s="239">
        <v>3.7242832398011877E-3</v>
      </c>
      <c r="AT33" s="229"/>
      <c r="AU33" s="229"/>
      <c r="AV33" s="229"/>
      <c r="AX33" s="230" t="s">
        <v>344</v>
      </c>
      <c r="AY33" s="229"/>
      <c r="AZ33" s="239">
        <v>3.0115479958765599E-3</v>
      </c>
      <c r="BA33" s="229"/>
      <c r="BB33" s="229"/>
      <c r="BC33" s="229"/>
    </row>
    <row r="34" spans="1:55">
      <c r="A34" s="230" t="s">
        <v>351</v>
      </c>
      <c r="B34" s="229"/>
      <c r="C34" s="239">
        <v>2.7986866674501436E-3</v>
      </c>
      <c r="D34" s="229"/>
      <c r="E34" s="229"/>
      <c r="F34" s="229"/>
      <c r="H34" s="230" t="s">
        <v>351</v>
      </c>
      <c r="I34" s="229"/>
      <c r="J34" s="239">
        <v>2.6129524160969139E-3</v>
      </c>
      <c r="K34" s="229"/>
      <c r="L34" s="229"/>
      <c r="M34" s="229"/>
      <c r="O34" s="230" t="s">
        <v>351</v>
      </c>
      <c r="P34" s="229"/>
      <c r="Q34" s="239">
        <v>2.3570767724800197E-3</v>
      </c>
      <c r="R34" s="229"/>
      <c r="S34" s="229"/>
      <c r="T34" s="229"/>
      <c r="V34" s="230" t="s">
        <v>351</v>
      </c>
      <c r="W34" s="229"/>
      <c r="X34" s="239">
        <v>1.8551180311155977E-3</v>
      </c>
      <c r="Y34" s="229"/>
      <c r="Z34" s="229"/>
      <c r="AA34" s="229"/>
      <c r="AC34" s="230" t="s">
        <v>351</v>
      </c>
      <c r="AD34" s="229"/>
      <c r="AE34" s="239">
        <v>1.5577579052322042E-3</v>
      </c>
      <c r="AF34" s="229"/>
      <c r="AG34" s="229"/>
      <c r="AH34" s="229"/>
      <c r="AJ34" s="230" t="s">
        <v>351</v>
      </c>
      <c r="AK34" s="229"/>
      <c r="AL34" s="239">
        <v>1.0472490916626298E-3</v>
      </c>
      <c r="AM34" s="229"/>
      <c r="AN34" s="229"/>
      <c r="AO34" s="229"/>
      <c r="AQ34" s="230" t="s">
        <v>351</v>
      </c>
      <c r="AR34" s="229"/>
      <c r="AS34" s="239">
        <v>1.2287202423534563E-3</v>
      </c>
      <c r="AT34" s="229"/>
      <c r="AU34" s="229"/>
      <c r="AV34" s="229"/>
      <c r="AX34" s="230" t="s">
        <v>351</v>
      </c>
      <c r="AY34" s="229"/>
      <c r="AZ34" s="239">
        <v>1.0064182723135431E-3</v>
      </c>
      <c r="BA34" s="229"/>
      <c r="BB34" s="229"/>
      <c r="BC34" s="229"/>
    </row>
    <row r="35" spans="1:55">
      <c r="A35" s="230" t="s">
        <v>346</v>
      </c>
      <c r="B35" s="229"/>
      <c r="C35" s="239">
        <v>0.12224173572525918</v>
      </c>
      <c r="D35" s="229"/>
      <c r="E35" s="229"/>
      <c r="F35" s="229"/>
      <c r="H35" s="230" t="s">
        <v>346</v>
      </c>
      <c r="I35" s="229"/>
      <c r="J35" s="239">
        <v>0.11382639675175617</v>
      </c>
      <c r="K35" s="229"/>
      <c r="L35" s="229"/>
      <c r="M35" s="229"/>
      <c r="O35" s="230" t="s">
        <v>346</v>
      </c>
      <c r="P35" s="229"/>
      <c r="Q35" s="239">
        <v>0.13724673866574544</v>
      </c>
      <c r="R35" s="229"/>
      <c r="S35" s="229"/>
      <c r="T35" s="229"/>
      <c r="V35" s="230" t="s">
        <v>346</v>
      </c>
      <c r="W35" s="229"/>
      <c r="X35" s="239">
        <v>0.117187197454704</v>
      </c>
      <c r="Y35" s="229"/>
      <c r="Z35" s="229"/>
      <c r="AA35" s="229"/>
      <c r="AC35" s="230" t="s">
        <v>346</v>
      </c>
      <c r="AD35" s="229"/>
      <c r="AE35" s="239">
        <v>0.13807015249044829</v>
      </c>
      <c r="AF35" s="229"/>
      <c r="AG35" s="229"/>
      <c r="AH35" s="229"/>
      <c r="AJ35" s="230" t="s">
        <v>346</v>
      </c>
      <c r="AK35" s="229"/>
      <c r="AL35" s="239">
        <v>8.6964893597413787E-2</v>
      </c>
      <c r="AM35" s="229"/>
      <c r="AN35" s="229"/>
      <c r="AO35" s="229"/>
      <c r="AQ35" s="230" t="s">
        <v>346</v>
      </c>
      <c r="AR35" s="229"/>
      <c r="AS35" s="239">
        <v>8.647923441772111E-2</v>
      </c>
      <c r="AT35" s="229"/>
      <c r="AU35" s="229"/>
      <c r="AV35" s="229"/>
      <c r="AX35" s="230" t="s">
        <v>346</v>
      </c>
      <c r="AY35" s="229"/>
      <c r="AZ35" s="239">
        <v>7.7397949014982842E-2</v>
      </c>
      <c r="BA35" s="229"/>
      <c r="BB35" s="229"/>
      <c r="BC35" s="229"/>
    </row>
    <row r="36" spans="1:55">
      <c r="A36" s="230" t="s">
        <v>347</v>
      </c>
      <c r="B36" s="229"/>
      <c r="C36" s="239">
        <v>0.12141725287940568</v>
      </c>
      <c r="D36" s="229"/>
      <c r="E36" s="229"/>
      <c r="F36" s="229"/>
      <c r="H36" s="230" t="s">
        <v>347</v>
      </c>
      <c r="I36" s="229"/>
      <c r="J36" s="239">
        <v>0.12325054078239336</v>
      </c>
      <c r="K36" s="229"/>
      <c r="L36" s="229"/>
      <c r="M36" s="229"/>
      <c r="O36" s="230" t="s">
        <v>347</v>
      </c>
      <c r="P36" s="229"/>
      <c r="Q36" s="239">
        <v>0.12934595881097397</v>
      </c>
      <c r="R36" s="229"/>
      <c r="S36" s="229"/>
      <c r="T36" s="229"/>
      <c r="V36" s="230" t="s">
        <v>347</v>
      </c>
      <c r="W36" s="229"/>
      <c r="X36" s="239">
        <v>0.13402283297113055</v>
      </c>
      <c r="Y36" s="229"/>
      <c r="Z36" s="229"/>
      <c r="AA36" s="229"/>
      <c r="AC36" s="230" t="s">
        <v>347</v>
      </c>
      <c r="AD36" s="229"/>
      <c r="AE36" s="239">
        <v>0.13891269683802346</v>
      </c>
      <c r="AF36" s="229"/>
      <c r="AG36" s="229"/>
      <c r="AH36" s="229"/>
      <c r="AJ36" s="230" t="s">
        <v>347</v>
      </c>
      <c r="AK36" s="229"/>
      <c r="AL36" s="239">
        <v>0.14245499568459333</v>
      </c>
      <c r="AM36" s="229"/>
      <c r="AN36" s="229"/>
      <c r="AO36" s="229"/>
      <c r="AQ36" s="230" t="s">
        <v>347</v>
      </c>
      <c r="AR36" s="229"/>
      <c r="AS36" s="239">
        <v>0.14271539837217678</v>
      </c>
      <c r="AT36" s="229"/>
      <c r="AU36" s="229"/>
      <c r="AV36" s="229"/>
      <c r="AX36" s="230" t="s">
        <v>347</v>
      </c>
      <c r="AY36" s="229"/>
      <c r="AZ36" s="239">
        <v>0.15021945616977098</v>
      </c>
      <c r="BA36" s="229"/>
      <c r="BB36" s="229"/>
      <c r="BC36" s="229"/>
    </row>
    <row r="37" spans="1:55">
      <c r="A37" s="237" t="s">
        <v>352</v>
      </c>
      <c r="B37" s="228">
        <v>49.205880358110733</v>
      </c>
      <c r="C37" s="229"/>
      <c r="D37" s="229"/>
      <c r="E37" s="229"/>
      <c r="F37" s="229"/>
      <c r="H37" s="237" t="s">
        <v>352</v>
      </c>
      <c r="I37" s="228">
        <v>46.456442680180778</v>
      </c>
      <c r="J37" s="229"/>
      <c r="K37" s="229"/>
      <c r="L37" s="229"/>
      <c r="M37" s="229"/>
      <c r="O37" s="237" t="s">
        <v>352</v>
      </c>
      <c r="P37" s="228">
        <v>44.324430533121799</v>
      </c>
      <c r="Q37" s="229"/>
      <c r="R37" s="229"/>
      <c r="S37" s="229"/>
      <c r="T37" s="229"/>
      <c r="V37" s="237" t="s">
        <v>352</v>
      </c>
      <c r="W37" s="228">
        <v>42.205920671541392</v>
      </c>
      <c r="X37" s="229"/>
      <c r="Y37" s="229"/>
      <c r="Z37" s="229"/>
      <c r="AA37" s="229"/>
      <c r="AC37" s="237" t="s">
        <v>352</v>
      </c>
      <c r="AD37" s="228">
        <v>37.734055555402222</v>
      </c>
      <c r="AE37" s="229"/>
      <c r="AF37" s="229"/>
      <c r="AG37" s="229"/>
      <c r="AH37" s="229"/>
      <c r="AJ37" s="237" t="s">
        <v>352</v>
      </c>
      <c r="AK37" s="228">
        <v>41.258109267869685</v>
      </c>
      <c r="AL37" s="229"/>
      <c r="AM37" s="229"/>
      <c r="AN37" s="229"/>
      <c r="AO37" s="229"/>
      <c r="AQ37" s="237" t="s">
        <v>352</v>
      </c>
      <c r="AR37" s="228">
        <v>45.979589020878294</v>
      </c>
      <c r="AS37" s="229"/>
      <c r="AT37" s="229"/>
      <c r="AU37" s="229"/>
      <c r="AV37" s="229"/>
      <c r="AX37" s="237" t="s">
        <v>352</v>
      </c>
      <c r="AY37" s="228">
        <v>44.283896931526357</v>
      </c>
      <c r="AZ37" s="229"/>
      <c r="BA37" s="229"/>
      <c r="BB37" s="229"/>
      <c r="BC37" s="229"/>
    </row>
    <row r="38" spans="1:55">
      <c r="A38" s="240" t="s">
        <v>353</v>
      </c>
      <c r="B38" s="236">
        <v>9.1454249513558743</v>
      </c>
      <c r="C38" s="232"/>
      <c r="D38" s="232"/>
      <c r="E38" s="232"/>
      <c r="F38" s="232"/>
      <c r="H38" s="240" t="s">
        <v>353</v>
      </c>
      <c r="I38" s="236">
        <v>8.6344133454473972</v>
      </c>
      <c r="J38" s="232"/>
      <c r="K38" s="232"/>
      <c r="L38" s="232"/>
      <c r="M38" s="232"/>
      <c r="O38" s="240" t="s">
        <v>353</v>
      </c>
      <c r="P38" s="236">
        <v>8.2381567000138993</v>
      </c>
      <c r="Q38" s="232"/>
      <c r="R38" s="232"/>
      <c r="S38" s="232"/>
      <c r="T38" s="232"/>
      <c r="V38" s="240" t="s">
        <v>353</v>
      </c>
      <c r="W38" s="236">
        <v>8.1427774322817417</v>
      </c>
      <c r="X38" s="232"/>
      <c r="Y38" s="232"/>
      <c r="Z38" s="232"/>
      <c r="AA38" s="232"/>
      <c r="AC38" s="240" t="s">
        <v>353</v>
      </c>
      <c r="AD38" s="236">
        <v>8.9369806116788997</v>
      </c>
      <c r="AE38" s="232"/>
      <c r="AF38" s="232"/>
      <c r="AG38" s="232"/>
      <c r="AH38" s="232"/>
      <c r="AJ38" s="240" t="s">
        <v>353</v>
      </c>
      <c r="AK38" s="236">
        <v>7.3282838968724766</v>
      </c>
      <c r="AL38" s="232"/>
      <c r="AM38" s="232"/>
      <c r="AN38" s="232"/>
      <c r="AO38" s="232"/>
      <c r="AQ38" s="240" t="s">
        <v>353</v>
      </c>
      <c r="AR38" s="236">
        <v>6.8903825181685798</v>
      </c>
      <c r="AS38" s="232"/>
      <c r="AT38" s="232"/>
      <c r="AU38" s="232"/>
      <c r="AV38" s="232"/>
      <c r="AX38" s="240" t="s">
        <v>353</v>
      </c>
      <c r="AY38" s="236">
        <v>7.2550290037757028</v>
      </c>
      <c r="AZ38" s="232"/>
      <c r="BA38" s="232"/>
      <c r="BB38" s="232"/>
      <c r="BC38" s="232"/>
    </row>
    <row r="39" spans="1:55">
      <c r="A39" s="240" t="s">
        <v>354</v>
      </c>
      <c r="B39" s="236">
        <v>38.69997896771018</v>
      </c>
      <c r="C39" s="232"/>
      <c r="D39" s="232"/>
      <c r="E39" s="232"/>
      <c r="F39" s="232"/>
      <c r="H39" s="240" t="s">
        <v>354</v>
      </c>
      <c r="I39" s="236">
        <v>36.537571151113106</v>
      </c>
      <c r="J39" s="232"/>
      <c r="K39" s="232"/>
      <c r="L39" s="232"/>
      <c r="M39" s="232"/>
      <c r="O39" s="240" t="s">
        <v>354</v>
      </c>
      <c r="P39" s="236">
        <v>34.860762919056242</v>
      </c>
      <c r="Q39" s="232"/>
      <c r="R39" s="232"/>
      <c r="S39" s="232"/>
      <c r="T39" s="232"/>
      <c r="V39" s="240" t="s">
        <v>354</v>
      </c>
      <c r="W39" s="236">
        <v>32.375367553295803</v>
      </c>
      <c r="X39" s="232"/>
      <c r="Y39" s="232"/>
      <c r="Z39" s="232"/>
      <c r="AA39" s="232"/>
      <c r="AC39" s="240" t="s">
        <v>354</v>
      </c>
      <c r="AD39" s="236">
        <v>27.856951009248007</v>
      </c>
      <c r="AE39" s="232"/>
      <c r="AF39" s="232"/>
      <c r="AG39" s="232"/>
      <c r="AH39" s="232"/>
      <c r="AJ39" s="240" t="s">
        <v>354</v>
      </c>
      <c r="AK39" s="236">
        <v>32.948683229432461</v>
      </c>
      <c r="AL39" s="232"/>
      <c r="AM39" s="232"/>
      <c r="AN39" s="232"/>
      <c r="AO39" s="232"/>
      <c r="AQ39" s="240" t="s">
        <v>354</v>
      </c>
      <c r="AR39" s="236">
        <v>37.981470365817543</v>
      </c>
      <c r="AS39" s="232"/>
      <c r="AT39" s="232"/>
      <c r="AU39" s="232"/>
      <c r="AV39" s="232"/>
      <c r="AX39" s="240" t="s">
        <v>354</v>
      </c>
      <c r="AY39" s="236">
        <v>35.881254248971587</v>
      </c>
      <c r="AZ39" s="232"/>
      <c r="BA39" s="232"/>
      <c r="BB39" s="232"/>
      <c r="BC39" s="232"/>
    </row>
    <row r="40" spans="1:55">
      <c r="A40" s="240" t="s">
        <v>355</v>
      </c>
      <c r="B40" s="236">
        <v>1.3604764390446753</v>
      </c>
      <c r="C40" s="232"/>
      <c r="D40" s="232"/>
      <c r="E40" s="232"/>
      <c r="F40" s="232"/>
      <c r="H40" s="240" t="s">
        <v>355</v>
      </c>
      <c r="I40" s="236">
        <v>1.2844581836202738</v>
      </c>
      <c r="J40" s="232"/>
      <c r="K40" s="232"/>
      <c r="L40" s="232"/>
      <c r="M40" s="232"/>
      <c r="O40" s="240" t="s">
        <v>355</v>
      </c>
      <c r="P40" s="236">
        <v>1.2255109140516542</v>
      </c>
      <c r="Q40" s="232"/>
      <c r="R40" s="232"/>
      <c r="S40" s="232"/>
      <c r="T40" s="232"/>
      <c r="V40" s="240" t="s">
        <v>355</v>
      </c>
      <c r="W40" s="236">
        <v>1.6877756859638517</v>
      </c>
      <c r="X40" s="232"/>
      <c r="Y40" s="232"/>
      <c r="Z40" s="232"/>
      <c r="AA40" s="232"/>
      <c r="AC40" s="240" t="s">
        <v>355</v>
      </c>
      <c r="AD40" s="236">
        <v>0.94012393447531306</v>
      </c>
      <c r="AE40" s="232"/>
      <c r="AF40" s="232"/>
      <c r="AG40" s="232"/>
      <c r="AH40" s="232"/>
      <c r="AJ40" s="240" t="s">
        <v>355</v>
      </c>
      <c r="AK40" s="236">
        <v>0.98114214156474477</v>
      </c>
      <c r="AL40" s="232"/>
      <c r="AM40" s="232"/>
      <c r="AN40" s="232"/>
      <c r="AO40" s="232"/>
      <c r="AQ40" s="240" t="s">
        <v>355</v>
      </c>
      <c r="AR40" s="236">
        <v>1.1077361368921737</v>
      </c>
      <c r="AS40" s="232"/>
      <c r="AT40" s="232"/>
      <c r="AU40" s="232"/>
      <c r="AV40" s="232"/>
      <c r="AX40" s="240" t="s">
        <v>355</v>
      </c>
      <c r="AY40" s="236">
        <v>1.1476136787790656</v>
      </c>
      <c r="AZ40" s="232"/>
      <c r="BA40" s="232"/>
      <c r="BB40" s="232"/>
      <c r="BC40" s="232"/>
    </row>
    <row r="41" spans="1:55">
      <c r="A41" s="240" t="s">
        <v>356</v>
      </c>
      <c r="B41" s="232"/>
      <c r="C41" s="232"/>
      <c r="D41" s="232"/>
      <c r="E41" s="232"/>
      <c r="F41" s="232"/>
      <c r="H41" s="240" t="s">
        <v>356</v>
      </c>
      <c r="I41" s="232"/>
      <c r="J41" s="232"/>
      <c r="K41" s="232"/>
      <c r="L41" s="232"/>
      <c r="M41" s="232"/>
      <c r="O41" s="240" t="s">
        <v>356</v>
      </c>
      <c r="P41" s="232"/>
      <c r="Q41" s="232"/>
      <c r="R41" s="232"/>
      <c r="S41" s="232"/>
      <c r="T41" s="232"/>
      <c r="V41" s="240" t="s">
        <v>356</v>
      </c>
      <c r="W41" s="232"/>
      <c r="X41" s="232"/>
      <c r="Y41" s="232"/>
      <c r="Z41" s="232"/>
      <c r="AA41" s="232"/>
      <c r="AC41" s="240" t="s">
        <v>356</v>
      </c>
      <c r="AD41" s="232"/>
      <c r="AE41" s="232"/>
      <c r="AF41" s="232"/>
      <c r="AG41" s="232"/>
      <c r="AH41" s="232"/>
      <c r="AJ41" s="240" t="s">
        <v>356</v>
      </c>
      <c r="AK41" s="232"/>
      <c r="AL41" s="232"/>
      <c r="AM41" s="232"/>
      <c r="AN41" s="232"/>
      <c r="AO41" s="232"/>
      <c r="AQ41" s="240" t="s">
        <v>356</v>
      </c>
      <c r="AR41" s="232"/>
      <c r="AS41" s="232"/>
      <c r="AT41" s="232"/>
      <c r="AU41" s="232"/>
      <c r="AV41" s="232"/>
      <c r="AX41" s="240" t="s">
        <v>356</v>
      </c>
      <c r="AY41" s="232"/>
      <c r="AZ41" s="232"/>
      <c r="BA41" s="232"/>
      <c r="BB41" s="232"/>
      <c r="BC41" s="232"/>
    </row>
    <row r="42" spans="1:55">
      <c r="A42" s="241" t="s">
        <v>357</v>
      </c>
      <c r="B42" s="229"/>
      <c r="C42" s="233">
        <v>8.6554192563030359</v>
      </c>
      <c r="D42" s="229"/>
      <c r="E42" s="229"/>
      <c r="F42" s="229"/>
      <c r="H42" s="241" t="s">
        <v>357</v>
      </c>
      <c r="I42" s="229"/>
      <c r="J42" s="233">
        <v>8.8425023373127942</v>
      </c>
      <c r="K42" s="229"/>
      <c r="L42" s="229"/>
      <c r="M42" s="229"/>
      <c r="O42" s="241" t="s">
        <v>357</v>
      </c>
      <c r="P42" s="229"/>
      <c r="Q42" s="233">
        <v>9.1399658899692486</v>
      </c>
      <c r="R42" s="229"/>
      <c r="S42" s="229"/>
      <c r="T42" s="229"/>
      <c r="V42" s="241" t="s">
        <v>357</v>
      </c>
      <c r="W42" s="229"/>
      <c r="X42" s="233">
        <v>8.697137796845551</v>
      </c>
      <c r="Y42" s="229"/>
      <c r="Z42" s="229"/>
      <c r="AA42" s="229"/>
      <c r="AC42" s="241" t="s">
        <v>357</v>
      </c>
      <c r="AD42" s="229"/>
      <c r="AE42" s="233">
        <v>8.8173839676353012</v>
      </c>
      <c r="AF42" s="229"/>
      <c r="AG42" s="229"/>
      <c r="AH42" s="229"/>
      <c r="AJ42" s="241" t="s">
        <v>357</v>
      </c>
      <c r="AK42" s="229"/>
      <c r="AL42" s="233">
        <v>10.368284688405698</v>
      </c>
      <c r="AM42" s="229"/>
      <c r="AN42" s="229"/>
      <c r="AO42" s="229"/>
      <c r="AQ42" s="241" t="s">
        <v>357</v>
      </c>
      <c r="AR42" s="229"/>
      <c r="AS42" s="233">
        <v>10.7335726862909</v>
      </c>
      <c r="AT42" s="229"/>
      <c r="AU42" s="229"/>
      <c r="AV42" s="229"/>
      <c r="AX42" s="241" t="s">
        <v>357</v>
      </c>
      <c r="AY42" s="229"/>
      <c r="AZ42" s="233">
        <v>8.2776009527687826</v>
      </c>
      <c r="BA42" s="229"/>
      <c r="BB42" s="229"/>
      <c r="BC42" s="229"/>
    </row>
    <row r="43" spans="1:55">
      <c r="A43" s="242" t="s">
        <v>358</v>
      </c>
      <c r="B43" s="229"/>
      <c r="C43" s="236">
        <v>4.5004213558225983</v>
      </c>
      <c r="D43" s="229"/>
      <c r="E43" s="229"/>
      <c r="F43" s="229"/>
      <c r="H43" s="242" t="s">
        <v>358</v>
      </c>
      <c r="I43" s="229"/>
      <c r="J43" s="236">
        <v>4.6604449953818268</v>
      </c>
      <c r="K43" s="229"/>
      <c r="L43" s="229"/>
      <c r="M43" s="229"/>
      <c r="O43" s="242" t="s">
        <v>358</v>
      </c>
      <c r="P43" s="229"/>
      <c r="Q43" s="236">
        <v>5.0863707930865747</v>
      </c>
      <c r="R43" s="229"/>
      <c r="S43" s="229"/>
      <c r="T43" s="229"/>
      <c r="V43" s="242" t="s">
        <v>358</v>
      </c>
      <c r="W43" s="229"/>
      <c r="X43" s="236">
        <v>4.8915272561004075</v>
      </c>
      <c r="Y43" s="229"/>
      <c r="Z43" s="229"/>
      <c r="AA43" s="229"/>
      <c r="AC43" s="242" t="s">
        <v>358</v>
      </c>
      <c r="AD43" s="229"/>
      <c r="AE43" s="236">
        <v>5.0134305028313584</v>
      </c>
      <c r="AF43" s="229"/>
      <c r="AG43" s="229"/>
      <c r="AH43" s="229"/>
      <c r="AJ43" s="242" t="s">
        <v>358</v>
      </c>
      <c r="AK43" s="229"/>
      <c r="AL43" s="236">
        <v>6.0782106855659581</v>
      </c>
      <c r="AM43" s="229"/>
      <c r="AN43" s="229"/>
      <c r="AO43" s="229"/>
      <c r="AQ43" s="242" t="s">
        <v>358</v>
      </c>
      <c r="AR43" s="229"/>
      <c r="AS43" s="236">
        <v>6.4702676883893071</v>
      </c>
      <c r="AT43" s="229"/>
      <c r="AU43" s="229"/>
      <c r="AV43" s="229"/>
      <c r="AX43" s="242" t="s">
        <v>358</v>
      </c>
      <c r="AY43" s="229"/>
      <c r="AZ43" s="236">
        <v>4.7166172832580111</v>
      </c>
      <c r="BA43" s="229"/>
      <c r="BB43" s="229"/>
      <c r="BC43" s="229"/>
    </row>
    <row r="44" spans="1:55">
      <c r="A44" s="242" t="s">
        <v>359</v>
      </c>
      <c r="B44" s="229"/>
      <c r="C44" s="236">
        <v>1.1697057818853398</v>
      </c>
      <c r="D44" s="229"/>
      <c r="E44" s="229"/>
      <c r="F44" s="229"/>
      <c r="H44" s="242" t="s">
        <v>359</v>
      </c>
      <c r="I44" s="229"/>
      <c r="J44" s="236">
        <v>1.1489321369559864</v>
      </c>
      <c r="K44" s="229"/>
      <c r="L44" s="229"/>
      <c r="M44" s="229"/>
      <c r="O44" s="242" t="s">
        <v>359</v>
      </c>
      <c r="P44" s="229"/>
      <c r="Q44" s="236">
        <v>1.029427363181233</v>
      </c>
      <c r="R44" s="229"/>
      <c r="S44" s="229"/>
      <c r="T44" s="229"/>
      <c r="V44" s="242" t="s">
        <v>359</v>
      </c>
      <c r="W44" s="229"/>
      <c r="X44" s="236">
        <v>0.93179560957629726</v>
      </c>
      <c r="Y44" s="229"/>
      <c r="Z44" s="229"/>
      <c r="AA44" s="229"/>
      <c r="AC44" s="242" t="s">
        <v>359</v>
      </c>
      <c r="AD44" s="229"/>
      <c r="AE44" s="236">
        <v>0.90996458700477445</v>
      </c>
      <c r="AF44" s="229"/>
      <c r="AG44" s="229"/>
      <c r="AH44" s="229"/>
      <c r="AJ44" s="242" t="s">
        <v>359</v>
      </c>
      <c r="AK44" s="229"/>
      <c r="AL44" s="236">
        <v>0.97229117251538721</v>
      </c>
      <c r="AM44" s="229"/>
      <c r="AN44" s="229"/>
      <c r="AO44" s="229"/>
      <c r="AQ44" s="242" t="s">
        <v>359</v>
      </c>
      <c r="AR44" s="229"/>
      <c r="AS44" s="236">
        <v>0.89570268411549103</v>
      </c>
      <c r="AT44" s="229"/>
      <c r="AU44" s="229"/>
      <c r="AV44" s="229"/>
      <c r="AX44" s="242" t="s">
        <v>359</v>
      </c>
      <c r="AY44" s="229"/>
      <c r="AZ44" s="236">
        <v>0.85079046633515887</v>
      </c>
      <c r="BA44" s="229"/>
      <c r="BB44" s="229"/>
      <c r="BC44" s="229"/>
    </row>
    <row r="45" spans="1:55">
      <c r="A45" s="242" t="s">
        <v>360</v>
      </c>
      <c r="B45" s="229" t="s">
        <v>361</v>
      </c>
      <c r="C45" s="236">
        <v>0.97694702657343635</v>
      </c>
      <c r="D45" s="229"/>
      <c r="E45" s="229"/>
      <c r="F45" s="229"/>
      <c r="H45" s="242" t="s">
        <v>360</v>
      </c>
      <c r="I45" s="229" t="s">
        <v>361</v>
      </c>
      <c r="J45" s="236">
        <v>1.0017127690298069</v>
      </c>
      <c r="K45" s="229"/>
      <c r="L45" s="229"/>
      <c r="M45" s="229"/>
      <c r="O45" s="242" t="s">
        <v>360</v>
      </c>
      <c r="P45" s="229" t="s">
        <v>361</v>
      </c>
      <c r="Q45" s="236">
        <v>0.96681099304646834</v>
      </c>
      <c r="R45" s="229"/>
      <c r="S45" s="229"/>
      <c r="T45" s="229"/>
      <c r="V45" s="242" t="s">
        <v>360</v>
      </c>
      <c r="W45" s="229" t="s">
        <v>361</v>
      </c>
      <c r="X45" s="236">
        <v>0.89892380638741254</v>
      </c>
      <c r="Y45" s="229"/>
      <c r="Z45" s="229"/>
      <c r="AA45" s="229"/>
      <c r="AC45" s="242" t="s">
        <v>360</v>
      </c>
      <c r="AD45" s="229" t="s">
        <v>361</v>
      </c>
      <c r="AE45" s="236">
        <v>0.91302442242823101</v>
      </c>
      <c r="AF45" s="229"/>
      <c r="AG45" s="229"/>
      <c r="AH45" s="229"/>
      <c r="AJ45" s="242" t="s">
        <v>360</v>
      </c>
      <c r="AK45" s="229" t="s">
        <v>361</v>
      </c>
      <c r="AL45" s="236">
        <v>1.0287261858831152</v>
      </c>
      <c r="AM45" s="229"/>
      <c r="AN45" s="229"/>
      <c r="AO45" s="229"/>
      <c r="AQ45" s="242" t="s">
        <v>360</v>
      </c>
      <c r="AR45" s="229" t="s">
        <v>361</v>
      </c>
      <c r="AS45" s="236">
        <v>1.0177073604924285</v>
      </c>
      <c r="AT45" s="229"/>
      <c r="AU45" s="229"/>
      <c r="AV45" s="229"/>
      <c r="AX45" s="242" t="s">
        <v>360</v>
      </c>
      <c r="AY45" s="229" t="s">
        <v>361</v>
      </c>
      <c r="AZ45" s="236">
        <v>0.85277355732226867</v>
      </c>
      <c r="BA45" s="229"/>
      <c r="BB45" s="229"/>
      <c r="BC45" s="229"/>
    </row>
    <row r="46" spans="1:55">
      <c r="A46" s="242" t="s">
        <v>362</v>
      </c>
      <c r="B46" s="229" t="s">
        <v>361</v>
      </c>
      <c r="C46" s="236">
        <v>2.0083450920216621</v>
      </c>
      <c r="D46" s="229"/>
      <c r="E46" s="229"/>
      <c r="F46" s="229"/>
      <c r="H46" s="242" t="s">
        <v>362</v>
      </c>
      <c r="I46" s="229" t="s">
        <v>361</v>
      </c>
      <c r="J46" s="236">
        <v>2.0314124359451742</v>
      </c>
      <c r="K46" s="229"/>
      <c r="L46" s="229"/>
      <c r="M46" s="229"/>
      <c r="O46" s="242" t="s">
        <v>362</v>
      </c>
      <c r="P46" s="229" t="s">
        <v>361</v>
      </c>
      <c r="Q46" s="236">
        <v>2.057356740654972</v>
      </c>
      <c r="R46" s="229"/>
      <c r="S46" s="229"/>
      <c r="T46" s="229"/>
      <c r="V46" s="242" t="s">
        <v>362</v>
      </c>
      <c r="W46" s="229" t="s">
        <v>361</v>
      </c>
      <c r="X46" s="236">
        <v>1.9748911247814336</v>
      </c>
      <c r="Y46" s="229"/>
      <c r="Z46" s="229"/>
      <c r="AA46" s="229"/>
      <c r="AC46" s="242" t="s">
        <v>362</v>
      </c>
      <c r="AD46" s="229" t="s">
        <v>361</v>
      </c>
      <c r="AE46" s="236">
        <v>1.9809644553709378</v>
      </c>
      <c r="AF46" s="229"/>
      <c r="AG46" s="229"/>
      <c r="AH46" s="229"/>
      <c r="AJ46" s="242" t="s">
        <v>362</v>
      </c>
      <c r="AK46" s="229" t="s">
        <v>361</v>
      </c>
      <c r="AL46" s="236">
        <v>2.2890566444412359</v>
      </c>
      <c r="AM46" s="229"/>
      <c r="AN46" s="229"/>
      <c r="AO46" s="229"/>
      <c r="AQ46" s="242" t="s">
        <v>362</v>
      </c>
      <c r="AR46" s="229" t="s">
        <v>361</v>
      </c>
      <c r="AS46" s="236">
        <v>2.3498949532936728</v>
      </c>
      <c r="AT46" s="229"/>
      <c r="AU46" s="229"/>
      <c r="AV46" s="229"/>
      <c r="AX46" s="242" t="s">
        <v>362</v>
      </c>
      <c r="AY46" s="229" t="s">
        <v>361</v>
      </c>
      <c r="AZ46" s="236">
        <v>1.8574196458533434</v>
      </c>
      <c r="BA46" s="229"/>
      <c r="BB46" s="229"/>
      <c r="BC46" s="229"/>
    </row>
    <row r="47" spans="1:55">
      <c r="A47" s="241" t="s">
        <v>363</v>
      </c>
      <c r="B47" s="229"/>
      <c r="C47" s="236"/>
      <c r="D47" s="229"/>
      <c r="E47" s="229">
        <v>202.62199613333337</v>
      </c>
      <c r="F47" s="229"/>
      <c r="H47" s="241" t="s">
        <v>363</v>
      </c>
      <c r="I47" s="229"/>
      <c r="J47" s="236"/>
      <c r="K47" s="229"/>
      <c r="L47" s="229">
        <v>216.53591153333335</v>
      </c>
      <c r="M47" s="229"/>
      <c r="O47" s="241" t="s">
        <v>363</v>
      </c>
      <c r="P47" s="229"/>
      <c r="Q47" s="236"/>
      <c r="R47" s="229"/>
      <c r="S47" s="229">
        <v>215.79233133333335</v>
      </c>
      <c r="T47" s="229"/>
      <c r="V47" s="241" t="s">
        <v>363</v>
      </c>
      <c r="W47" s="229"/>
      <c r="X47" s="236"/>
      <c r="Y47" s="229"/>
      <c r="Z47" s="229">
        <v>213.94765333333331</v>
      </c>
      <c r="AA47" s="229"/>
      <c r="AC47" s="241" t="s">
        <v>363</v>
      </c>
      <c r="AD47" s="229"/>
      <c r="AE47" s="236"/>
      <c r="AF47" s="229"/>
      <c r="AG47" s="229">
        <v>208.83837333333335</v>
      </c>
      <c r="AH47" s="229"/>
      <c r="AJ47" s="241" t="s">
        <v>363</v>
      </c>
      <c r="AK47" s="229"/>
      <c r="AL47" s="236"/>
      <c r="AM47" s="229"/>
      <c r="AN47" s="229">
        <v>211.95870666666667</v>
      </c>
      <c r="AO47" s="229"/>
      <c r="AQ47" s="241" t="s">
        <v>363</v>
      </c>
      <c r="AR47" s="229"/>
      <c r="AS47" s="236"/>
      <c r="AT47" s="229"/>
      <c r="AU47" s="229">
        <v>219.92857333333333</v>
      </c>
      <c r="AV47" s="229"/>
      <c r="AX47" s="241" t="s">
        <v>363</v>
      </c>
      <c r="AY47" s="229"/>
      <c r="AZ47" s="236"/>
      <c r="BA47" s="229"/>
      <c r="BB47" s="229">
        <v>159.22309333333334</v>
      </c>
      <c r="BC47" s="229"/>
    </row>
    <row r="48" spans="1:55">
      <c r="A48" s="241" t="s">
        <v>364</v>
      </c>
      <c r="B48" s="229"/>
      <c r="C48" s="236"/>
      <c r="D48" s="229"/>
      <c r="E48" s="229">
        <v>16.28444286021718</v>
      </c>
      <c r="F48" s="229"/>
      <c r="H48" s="241" t="s">
        <v>364</v>
      </c>
      <c r="I48" s="229"/>
      <c r="J48" s="236"/>
      <c r="K48" s="229"/>
      <c r="L48" s="229">
        <v>19.217904958014852</v>
      </c>
      <c r="M48" s="229"/>
      <c r="O48" s="241" t="s">
        <v>364</v>
      </c>
      <c r="P48" s="229"/>
      <c r="Q48" s="236"/>
      <c r="R48" s="229"/>
      <c r="S48" s="229">
        <v>21.012671899999997</v>
      </c>
      <c r="T48" s="229"/>
      <c r="V48" s="241" t="s">
        <v>364</v>
      </c>
      <c r="W48" s="229"/>
      <c r="X48" s="236"/>
      <c r="Y48" s="229"/>
      <c r="Z48" s="229">
        <v>20.389442276433609</v>
      </c>
      <c r="AA48" s="229"/>
      <c r="AC48" s="241" t="s">
        <v>364</v>
      </c>
      <c r="AD48" s="229"/>
      <c r="AE48" s="236"/>
      <c r="AF48" s="229"/>
      <c r="AG48" s="229">
        <v>21.429287431628282</v>
      </c>
      <c r="AH48" s="229"/>
      <c r="AJ48" s="241" t="s">
        <v>364</v>
      </c>
      <c r="AK48" s="229"/>
      <c r="AL48" s="236"/>
      <c r="AM48" s="229"/>
      <c r="AN48" s="229">
        <v>18.856775653097348</v>
      </c>
      <c r="AO48" s="229"/>
      <c r="AQ48" s="241" t="s">
        <v>364</v>
      </c>
      <c r="AR48" s="229"/>
      <c r="AS48" s="236"/>
      <c r="AT48" s="229"/>
      <c r="AU48" s="229">
        <v>21.386856263613883</v>
      </c>
      <c r="AV48" s="229"/>
      <c r="AX48" s="241" t="s">
        <v>364</v>
      </c>
      <c r="AY48" s="229"/>
      <c r="AZ48" s="236"/>
      <c r="BA48" s="229"/>
      <c r="BB48" s="229">
        <v>23.786345382842473</v>
      </c>
      <c r="BC48" s="229"/>
    </row>
    <row r="49" spans="1:55">
      <c r="A49" s="237" t="s">
        <v>365</v>
      </c>
      <c r="B49" s="236">
        <v>0</v>
      </c>
      <c r="C49" s="236">
        <v>0</v>
      </c>
      <c r="D49" s="236">
        <v>0</v>
      </c>
      <c r="E49" s="236">
        <v>0</v>
      </c>
      <c r="F49" s="229"/>
      <c r="H49" s="237" t="s">
        <v>365</v>
      </c>
      <c r="I49" s="236">
        <v>0</v>
      </c>
      <c r="J49" s="236">
        <v>0</v>
      </c>
      <c r="K49" s="236">
        <v>0</v>
      </c>
      <c r="L49" s="236">
        <v>0</v>
      </c>
      <c r="M49" s="229"/>
      <c r="O49" s="237" t="s">
        <v>365</v>
      </c>
      <c r="P49" s="236">
        <v>0</v>
      </c>
      <c r="Q49" s="236">
        <v>0</v>
      </c>
      <c r="R49" s="236">
        <v>0</v>
      </c>
      <c r="S49" s="236">
        <v>0</v>
      </c>
      <c r="T49" s="229"/>
      <c r="V49" s="237" t="s">
        <v>365</v>
      </c>
      <c r="W49" s="236">
        <v>0</v>
      </c>
      <c r="X49" s="236">
        <v>0</v>
      </c>
      <c r="Y49" s="236">
        <v>0</v>
      </c>
      <c r="Z49" s="236">
        <v>0</v>
      </c>
      <c r="AA49" s="229"/>
      <c r="AC49" s="237" t="s">
        <v>365</v>
      </c>
      <c r="AD49" s="236">
        <v>0</v>
      </c>
      <c r="AE49" s="236">
        <v>0</v>
      </c>
      <c r="AF49" s="236">
        <v>0</v>
      </c>
      <c r="AG49" s="236">
        <v>0</v>
      </c>
      <c r="AH49" s="229"/>
      <c r="AJ49" s="237" t="s">
        <v>365</v>
      </c>
      <c r="AK49" s="236">
        <v>0</v>
      </c>
      <c r="AL49" s="236">
        <v>0</v>
      </c>
      <c r="AM49" s="236">
        <v>0</v>
      </c>
      <c r="AN49" s="236">
        <v>0</v>
      </c>
      <c r="AO49" s="229"/>
      <c r="AQ49" s="237" t="s">
        <v>365</v>
      </c>
      <c r="AR49" s="236">
        <v>0</v>
      </c>
      <c r="AS49" s="236">
        <v>0</v>
      </c>
      <c r="AT49" s="236">
        <v>0</v>
      </c>
      <c r="AU49" s="236">
        <v>0</v>
      </c>
      <c r="AV49" s="229"/>
      <c r="AX49" s="237" t="s">
        <v>365</v>
      </c>
      <c r="AY49" s="236">
        <v>0</v>
      </c>
      <c r="AZ49" s="236">
        <v>0</v>
      </c>
      <c r="BA49" s="236">
        <v>0</v>
      </c>
      <c r="BB49" s="236">
        <v>0</v>
      </c>
      <c r="BC49" s="229"/>
    </row>
    <row r="50" spans="1:55">
      <c r="A50" s="237" t="s">
        <v>366</v>
      </c>
      <c r="B50" s="232">
        <v>1.6183083488756045</v>
      </c>
      <c r="C50" s="232">
        <v>4.1956142378256407E-2</v>
      </c>
      <c r="D50" s="232">
        <v>1.4984336563663003</v>
      </c>
      <c r="E50" s="232"/>
      <c r="F50" s="232">
        <v>55.142358554279852</v>
      </c>
      <c r="H50" s="237" t="s">
        <v>366</v>
      </c>
      <c r="I50" s="232">
        <v>1.8313082586841014</v>
      </c>
      <c r="J50" s="232">
        <v>4.7478362262180419E-2</v>
      </c>
      <c r="K50" s="232">
        <v>1.6956557950778717</v>
      </c>
      <c r="L50" s="232"/>
      <c r="M50" s="232">
        <v>62.400133258865672</v>
      </c>
      <c r="O50" s="237" t="s">
        <v>366</v>
      </c>
      <c r="P50" s="232">
        <v>1.7508827820384292</v>
      </c>
      <c r="Q50" s="232">
        <v>4.5393257312107423E-2</v>
      </c>
      <c r="R50" s="232">
        <v>1.6211877611466934</v>
      </c>
      <c r="S50" s="232"/>
      <c r="T50" s="232">
        <v>59.65970961019832</v>
      </c>
      <c r="V50" s="237" t="s">
        <v>366</v>
      </c>
      <c r="W50" s="232">
        <v>1.5888024829994924</v>
      </c>
      <c r="X50" s="232">
        <v>4.1191175485172031E-2</v>
      </c>
      <c r="Y50" s="232">
        <v>1.471113410184715</v>
      </c>
      <c r="Z50" s="232"/>
      <c r="AA50" s="232">
        <v>54.136973494797523</v>
      </c>
      <c r="AC50" s="237" t="s">
        <v>366</v>
      </c>
      <c r="AD50" s="232">
        <v>1.5669567644563007</v>
      </c>
      <c r="AE50" s="232">
        <v>4.0624805004422615E-2</v>
      </c>
      <c r="AF50" s="232">
        <v>1.450885893015093</v>
      </c>
      <c r="AG50" s="232"/>
      <c r="AH50" s="232">
        <v>53.392600862955433</v>
      </c>
      <c r="AJ50" s="237" t="s">
        <v>366</v>
      </c>
      <c r="AK50" s="232">
        <v>1.5635800859290452</v>
      </c>
      <c r="AL50" s="232">
        <v>4.0537261487049329E-2</v>
      </c>
      <c r="AM50" s="232">
        <v>1.4477593388231902</v>
      </c>
      <c r="AN50" s="232"/>
      <c r="AO50" s="232">
        <v>53.27754366869339</v>
      </c>
      <c r="AQ50" s="237" t="s">
        <v>366</v>
      </c>
      <c r="AR50" s="232">
        <v>1.5997331022542232</v>
      </c>
      <c r="AS50" s="232">
        <v>4.1474561910294673E-2</v>
      </c>
      <c r="AT50" s="232">
        <v>1.4812343539390953</v>
      </c>
      <c r="AU50" s="232"/>
      <c r="AV50" s="232">
        <v>54.509424224958707</v>
      </c>
      <c r="AX50" s="237" t="s">
        <v>366</v>
      </c>
      <c r="AY50" s="232">
        <v>1.5534462680932826</v>
      </c>
      <c r="AZ50" s="232">
        <v>4.061309225667642E-2</v>
      </c>
      <c r="BA50" s="232">
        <v>1.4504675805955862</v>
      </c>
      <c r="BB50" s="232"/>
      <c r="BC50" s="232">
        <v>53.377206965917551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A87D-3AEC-425F-9BD7-08C73988DF5B}">
  <sheetPr>
    <tabColor theme="0"/>
  </sheetPr>
  <dimension ref="A1:AV50"/>
  <sheetViews>
    <sheetView workbookViewId="0"/>
  </sheetViews>
  <sheetFormatPr defaultRowHeight="14.5"/>
  <cols>
    <col min="1" max="1" width="46.36328125" bestFit="1" customWidth="1"/>
    <col min="2" max="2" width="6.36328125" bestFit="1" customWidth="1"/>
    <col min="3" max="3" width="6.1796875" bestFit="1" customWidth="1"/>
    <col min="4" max="4" width="3.90625" bestFit="1" customWidth="1"/>
    <col min="5" max="5" width="5.36328125" bestFit="1" customWidth="1"/>
    <col min="6" max="6" width="4.54296875" bestFit="1" customWidth="1"/>
    <col min="8" max="8" width="6.36328125" bestFit="1" customWidth="1"/>
    <col min="9" max="9" width="6.1796875" bestFit="1" customWidth="1"/>
    <col min="10" max="10" width="3.90625" bestFit="1" customWidth="1"/>
    <col min="11" max="11" width="5.36328125" bestFit="1" customWidth="1"/>
    <col min="12" max="12" width="4.54296875" bestFit="1" customWidth="1"/>
    <col min="14" max="14" width="6.36328125" bestFit="1" customWidth="1"/>
    <col min="15" max="15" width="6.1796875" bestFit="1" customWidth="1"/>
    <col min="16" max="16" width="3.90625" bestFit="1" customWidth="1"/>
    <col min="17" max="17" width="5.36328125" bestFit="1" customWidth="1"/>
    <col min="18" max="18" width="4.54296875" bestFit="1" customWidth="1"/>
    <col min="20" max="20" width="6.36328125" bestFit="1" customWidth="1"/>
    <col min="21" max="21" width="6.1796875" bestFit="1" customWidth="1"/>
    <col min="22" max="22" width="3.90625" bestFit="1" customWidth="1"/>
    <col min="23" max="23" width="5.36328125" bestFit="1" customWidth="1"/>
    <col min="24" max="24" width="4.54296875" bestFit="1" customWidth="1"/>
    <col min="26" max="26" width="6.36328125" bestFit="1" customWidth="1"/>
    <col min="27" max="27" width="6.1796875" bestFit="1" customWidth="1"/>
    <col min="28" max="28" width="3.90625" bestFit="1" customWidth="1"/>
    <col min="29" max="29" width="5.36328125" bestFit="1" customWidth="1"/>
    <col min="30" max="30" width="4.54296875" bestFit="1" customWidth="1"/>
    <col min="32" max="32" width="6.36328125" bestFit="1" customWidth="1"/>
    <col min="33" max="33" width="6.1796875" bestFit="1" customWidth="1"/>
    <col min="34" max="34" width="3.90625" bestFit="1" customWidth="1"/>
    <col min="35" max="35" width="5.36328125" bestFit="1" customWidth="1"/>
    <col min="36" max="36" width="4.54296875" bestFit="1" customWidth="1"/>
    <col min="38" max="38" width="6.36328125" bestFit="1" customWidth="1"/>
    <col min="39" max="39" width="6.1796875" bestFit="1" customWidth="1"/>
    <col min="40" max="40" width="3.90625" bestFit="1" customWidth="1"/>
    <col min="41" max="41" width="5.36328125" bestFit="1" customWidth="1"/>
    <col min="42" max="42" width="4.54296875" bestFit="1" customWidth="1"/>
    <col min="44" max="44" width="6.36328125" bestFit="1" customWidth="1"/>
    <col min="45" max="45" width="6.1796875" bestFit="1" customWidth="1"/>
    <col min="46" max="46" width="3.90625" bestFit="1" customWidth="1"/>
    <col min="47" max="47" width="5.36328125" bestFit="1" customWidth="1"/>
    <col min="48" max="48" width="4.54296875" bestFit="1" customWidth="1"/>
  </cols>
  <sheetData>
    <row r="1" spans="1:48">
      <c r="A1" s="243">
        <v>2010</v>
      </c>
      <c r="B1" s="243"/>
      <c r="C1" s="243"/>
      <c r="D1" s="243"/>
      <c r="E1" s="243"/>
      <c r="F1" s="243"/>
      <c r="G1" s="243"/>
      <c r="H1" s="243">
        <v>2012</v>
      </c>
      <c r="I1" s="243"/>
      <c r="J1" s="243"/>
      <c r="K1" s="243"/>
      <c r="L1" s="243"/>
      <c r="M1" s="243"/>
      <c r="N1" s="243">
        <v>2014</v>
      </c>
      <c r="O1" s="243"/>
      <c r="P1" s="243"/>
      <c r="Q1" s="243"/>
      <c r="R1" s="243"/>
      <c r="S1" s="243"/>
      <c r="T1" s="243">
        <v>2016</v>
      </c>
      <c r="U1" s="243"/>
      <c r="V1" s="243"/>
      <c r="W1" s="243"/>
      <c r="X1" s="243"/>
      <c r="Y1" s="243"/>
      <c r="Z1" s="243">
        <v>2018</v>
      </c>
      <c r="AA1" s="243"/>
      <c r="AB1" s="243"/>
      <c r="AC1" s="243"/>
      <c r="AD1" s="243"/>
      <c r="AE1" s="243"/>
      <c r="AF1" s="243">
        <v>2020</v>
      </c>
      <c r="AG1" s="243"/>
      <c r="AH1" s="243"/>
      <c r="AI1" s="243"/>
      <c r="AJ1" s="243"/>
      <c r="AK1" s="243"/>
      <c r="AL1" s="243">
        <v>2021</v>
      </c>
      <c r="AM1" s="243"/>
      <c r="AN1" s="243"/>
      <c r="AO1" s="243"/>
      <c r="AP1" s="243"/>
      <c r="AQ1" s="243"/>
      <c r="AR1" s="243">
        <v>2022</v>
      </c>
    </row>
    <row r="3" spans="1:48" ht="24">
      <c r="A3" s="214" t="s">
        <v>333</v>
      </c>
      <c r="B3" s="215"/>
      <c r="C3" s="215"/>
      <c r="D3" s="215"/>
      <c r="E3" s="215"/>
      <c r="F3" s="216"/>
      <c r="H3" s="215"/>
      <c r="I3" s="215"/>
      <c r="J3" s="215"/>
      <c r="K3" s="215"/>
      <c r="L3" s="216"/>
      <c r="N3" s="215"/>
      <c r="O3" s="215"/>
      <c r="P3" s="215"/>
      <c r="Q3" s="215"/>
      <c r="R3" s="216"/>
      <c r="T3" s="215"/>
      <c r="U3" s="215"/>
      <c r="V3" s="215"/>
      <c r="W3" s="215"/>
      <c r="X3" s="216"/>
      <c r="Z3" s="215"/>
      <c r="AA3" s="215"/>
      <c r="AB3" s="215"/>
      <c r="AC3" s="215"/>
      <c r="AD3" s="216"/>
      <c r="AF3" s="215"/>
      <c r="AG3" s="215"/>
      <c r="AH3" s="215"/>
      <c r="AI3" s="215"/>
      <c r="AJ3" s="216"/>
      <c r="AL3" s="215"/>
      <c r="AM3" s="215"/>
      <c r="AN3" s="215"/>
      <c r="AO3" s="215"/>
      <c r="AP3" s="216"/>
      <c r="AR3" s="215"/>
      <c r="AS3" s="215"/>
      <c r="AT3" s="215"/>
      <c r="AU3" s="215"/>
      <c r="AV3" s="216"/>
    </row>
    <row r="4" spans="1:48" ht="15" thickBot="1">
      <c r="A4" s="217" t="s">
        <v>334</v>
      </c>
      <c r="B4" s="218"/>
      <c r="C4" s="218"/>
      <c r="D4" s="218"/>
      <c r="E4" s="218"/>
      <c r="F4" s="219"/>
      <c r="H4" s="218"/>
      <c r="I4" s="218"/>
      <c r="J4" s="218"/>
      <c r="K4" s="218"/>
      <c r="L4" s="219"/>
      <c r="N4" s="218"/>
      <c r="O4" s="218"/>
      <c r="P4" s="218"/>
      <c r="Q4" s="218"/>
      <c r="R4" s="219"/>
      <c r="T4" s="218"/>
      <c r="U4" s="218"/>
      <c r="V4" s="218"/>
      <c r="W4" s="218"/>
      <c r="X4" s="219"/>
      <c r="Z4" s="218"/>
      <c r="AA4" s="218"/>
      <c r="AB4" s="218"/>
      <c r="AC4" s="218"/>
      <c r="AD4" s="219"/>
      <c r="AF4" s="218"/>
      <c r="AG4" s="218"/>
      <c r="AH4" s="218"/>
      <c r="AI4" s="218"/>
      <c r="AJ4" s="219"/>
      <c r="AL4" s="218"/>
      <c r="AM4" s="218"/>
      <c r="AN4" s="218"/>
      <c r="AO4" s="218"/>
      <c r="AP4" s="219"/>
      <c r="AR4" s="218"/>
      <c r="AS4" s="218"/>
      <c r="AT4" s="218"/>
      <c r="AU4" s="218"/>
      <c r="AV4" s="219"/>
    </row>
    <row r="5" spans="1:48" ht="15" thickBot="1">
      <c r="A5" s="220" t="s">
        <v>335</v>
      </c>
      <c r="B5" s="221" t="s">
        <v>367</v>
      </c>
      <c r="C5" s="221" t="s">
        <v>368</v>
      </c>
      <c r="D5" s="221" t="s">
        <v>369</v>
      </c>
      <c r="E5" s="222" t="s">
        <v>370</v>
      </c>
      <c r="F5" s="223" t="s">
        <v>336</v>
      </c>
      <c r="H5" s="221" t="s">
        <v>367</v>
      </c>
      <c r="I5" s="221" t="s">
        <v>368</v>
      </c>
      <c r="J5" s="221" t="s">
        <v>369</v>
      </c>
      <c r="K5" s="222" t="s">
        <v>370</v>
      </c>
      <c r="L5" s="223" t="s">
        <v>336</v>
      </c>
      <c r="N5" s="221" t="s">
        <v>367</v>
      </c>
      <c r="O5" s="221" t="s">
        <v>368</v>
      </c>
      <c r="P5" s="221" t="s">
        <v>369</v>
      </c>
      <c r="Q5" s="222" t="s">
        <v>370</v>
      </c>
      <c r="R5" s="223" t="s">
        <v>336</v>
      </c>
      <c r="T5" s="221" t="s">
        <v>367</v>
      </c>
      <c r="U5" s="221" t="s">
        <v>368</v>
      </c>
      <c r="V5" s="221" t="s">
        <v>369</v>
      </c>
      <c r="W5" s="222" t="s">
        <v>370</v>
      </c>
      <c r="X5" s="223" t="s">
        <v>336</v>
      </c>
      <c r="Z5" s="221" t="s">
        <v>367</v>
      </c>
      <c r="AA5" s="221" t="s">
        <v>368</v>
      </c>
      <c r="AB5" s="221" t="s">
        <v>369</v>
      </c>
      <c r="AC5" s="222" t="s">
        <v>370</v>
      </c>
      <c r="AD5" s="223" t="s">
        <v>336</v>
      </c>
      <c r="AF5" s="221" t="s">
        <v>367</v>
      </c>
      <c r="AG5" s="221" t="s">
        <v>368</v>
      </c>
      <c r="AH5" s="221" t="s">
        <v>369</v>
      </c>
      <c r="AI5" s="222" t="s">
        <v>370</v>
      </c>
      <c r="AJ5" s="223" t="s">
        <v>336</v>
      </c>
      <c r="AL5" s="221" t="s">
        <v>367</v>
      </c>
      <c r="AM5" s="221" t="s">
        <v>368</v>
      </c>
      <c r="AN5" s="221" t="s">
        <v>369</v>
      </c>
      <c r="AO5" s="222" t="s">
        <v>370</v>
      </c>
      <c r="AP5" s="223" t="s">
        <v>336</v>
      </c>
      <c r="AR5" s="221" t="s">
        <v>367</v>
      </c>
      <c r="AS5" s="221" t="s">
        <v>368</v>
      </c>
      <c r="AT5" s="221" t="s">
        <v>369</v>
      </c>
      <c r="AU5" s="222" t="s">
        <v>370</v>
      </c>
      <c r="AV5" s="223" t="s">
        <v>336</v>
      </c>
    </row>
    <row r="6" spans="1:48" ht="15" thickBot="1">
      <c r="A6" s="224" t="s">
        <v>337</v>
      </c>
      <c r="B6" s="225">
        <v>433.23122496304325</v>
      </c>
      <c r="C6" s="226">
        <v>10.021808069300196</v>
      </c>
      <c r="D6" s="225">
        <v>1.4984336563663003</v>
      </c>
      <c r="E6" s="225">
        <v>218.90643899355055</v>
      </c>
      <c r="F6" s="225">
        <v>55.142358554279852</v>
      </c>
      <c r="H6" s="225">
        <v>424.22108487100502</v>
      </c>
      <c r="I6" s="226">
        <v>10.177090961463499</v>
      </c>
      <c r="J6" s="225">
        <v>1.6956557950778717</v>
      </c>
      <c r="K6" s="225">
        <v>235.7538164913482</v>
      </c>
      <c r="L6" s="225">
        <v>62.400133258865672</v>
      </c>
      <c r="N6" s="225">
        <v>378.52185992434335</v>
      </c>
      <c r="O6" s="226">
        <v>10.567973250132889</v>
      </c>
      <c r="P6" s="225">
        <v>1.6211877611466934</v>
      </c>
      <c r="Q6" s="225">
        <v>236.80500323333334</v>
      </c>
      <c r="R6" s="225">
        <v>59.65970961019832</v>
      </c>
      <c r="T6" s="225">
        <v>345.56507420975225</v>
      </c>
      <c r="U6" s="226">
        <v>10.038399336659767</v>
      </c>
      <c r="V6" s="225">
        <v>1.471113410184715</v>
      </c>
      <c r="W6" s="225">
        <v>234.33709560976692</v>
      </c>
      <c r="X6" s="225">
        <v>54.136973494797523</v>
      </c>
      <c r="Z6" s="225">
        <v>336.9694079293501</v>
      </c>
      <c r="AA6" s="226">
        <v>10.235457002682237</v>
      </c>
      <c r="AB6" s="225">
        <v>1.450885893015093</v>
      </c>
      <c r="AC6" s="225">
        <v>230.26766076496165</v>
      </c>
      <c r="AD6" s="225">
        <v>53.392600862955433</v>
      </c>
      <c r="AF6" s="225">
        <v>359.3959447987778</v>
      </c>
      <c r="AG6" s="226">
        <v>11.635448167177161</v>
      </c>
      <c r="AH6" s="225">
        <v>1.4477593388231902</v>
      </c>
      <c r="AI6" s="225">
        <v>230.81548231976402</v>
      </c>
      <c r="AJ6" s="225">
        <v>53.27754366869339</v>
      </c>
      <c r="AL6" s="225">
        <v>339.72740464455245</v>
      </c>
      <c r="AM6" s="226">
        <v>11.988329856929548</v>
      </c>
      <c r="AN6" s="225">
        <v>1.4812343539390953</v>
      </c>
      <c r="AO6" s="225">
        <v>241.31542959694721</v>
      </c>
      <c r="AP6" s="225">
        <v>54.509424224958707</v>
      </c>
      <c r="AR6" s="225">
        <v>322.2983440312517</v>
      </c>
      <c r="AS6" s="226">
        <v>9.5128833988585466</v>
      </c>
      <c r="AT6" s="225">
        <v>1.4504675805955862</v>
      </c>
      <c r="AU6" s="225">
        <v>183.00943871617582</v>
      </c>
      <c r="AV6" s="225">
        <v>53.377206965917551</v>
      </c>
    </row>
    <row r="7" spans="1:48">
      <c r="A7" s="227" t="s">
        <v>338</v>
      </c>
      <c r="B7" s="228">
        <v>365.66003073735021</v>
      </c>
      <c r="C7" s="229"/>
      <c r="D7" s="229"/>
      <c r="E7" s="229"/>
      <c r="F7" s="229"/>
      <c r="H7" s="228">
        <v>360.16603935144724</v>
      </c>
      <c r="I7" s="229"/>
      <c r="J7" s="229"/>
      <c r="K7" s="229"/>
      <c r="L7" s="229"/>
      <c r="N7" s="228">
        <v>316.15072054745104</v>
      </c>
      <c r="O7" s="229"/>
      <c r="P7" s="229"/>
      <c r="Q7" s="229"/>
      <c r="R7" s="229"/>
      <c r="T7" s="228">
        <v>287.04890724754233</v>
      </c>
      <c r="U7" s="229"/>
      <c r="V7" s="229"/>
      <c r="W7" s="229"/>
      <c r="X7" s="229"/>
      <c r="Z7" s="228">
        <v>281.84371557863017</v>
      </c>
      <c r="AA7" s="229"/>
      <c r="AB7" s="229"/>
      <c r="AC7" s="229"/>
      <c r="AD7" s="229"/>
      <c r="AF7" s="228">
        <v>302.90786871893533</v>
      </c>
      <c r="AG7" s="229"/>
      <c r="AH7" s="229"/>
      <c r="AI7" s="229"/>
      <c r="AJ7" s="229"/>
      <c r="AL7" s="228">
        <v>279.37230585472656</v>
      </c>
      <c r="AM7" s="229"/>
      <c r="AN7" s="229"/>
      <c r="AO7" s="229"/>
      <c r="AP7" s="229"/>
      <c r="AR7" s="228">
        <v>264.6330943356802</v>
      </c>
      <c r="AS7" s="229"/>
      <c r="AT7" s="229"/>
      <c r="AU7" s="229"/>
      <c r="AV7" s="229"/>
    </row>
    <row r="8" spans="1:48">
      <c r="A8" s="230" t="s">
        <v>339</v>
      </c>
      <c r="B8" s="231">
        <v>349.96713069109273</v>
      </c>
      <c r="C8" s="232"/>
      <c r="D8" s="232"/>
      <c r="E8" s="232"/>
      <c r="F8" s="232"/>
      <c r="H8" s="231">
        <v>345.261874988785</v>
      </c>
      <c r="I8" s="232"/>
      <c r="J8" s="232"/>
      <c r="K8" s="232"/>
      <c r="L8" s="232"/>
      <c r="N8" s="231">
        <v>302.4238564981307</v>
      </c>
      <c r="O8" s="232"/>
      <c r="P8" s="232"/>
      <c r="Q8" s="232"/>
      <c r="R8" s="232"/>
      <c r="T8" s="231">
        <v>275.01600867738017</v>
      </c>
      <c r="U8" s="232"/>
      <c r="V8" s="232"/>
      <c r="W8" s="232"/>
      <c r="X8" s="232"/>
      <c r="Z8" s="231">
        <v>270.96860772587826</v>
      </c>
      <c r="AA8" s="232"/>
      <c r="AB8" s="232"/>
      <c r="AC8" s="232"/>
      <c r="AD8" s="232"/>
      <c r="AF8" s="231">
        <v>294.72718655498448</v>
      </c>
      <c r="AG8" s="232"/>
      <c r="AH8" s="232"/>
      <c r="AI8" s="232"/>
      <c r="AJ8" s="232"/>
      <c r="AL8" s="231">
        <v>270.24309405869627</v>
      </c>
      <c r="AM8" s="232"/>
      <c r="AN8" s="232"/>
      <c r="AO8" s="232"/>
      <c r="AP8" s="232"/>
      <c r="AR8" s="231">
        <v>256.50315131068152</v>
      </c>
      <c r="AS8" s="232"/>
      <c r="AT8" s="232"/>
      <c r="AU8" s="232"/>
      <c r="AV8" s="232"/>
    </row>
    <row r="9" spans="1:48">
      <c r="A9" s="230" t="s">
        <v>340</v>
      </c>
      <c r="B9" s="231">
        <v>0.177208</v>
      </c>
      <c r="C9" s="232"/>
      <c r="D9" s="232"/>
      <c r="E9" s="232"/>
      <c r="F9" s="232"/>
      <c r="H9" s="231">
        <v>0.19658799999999998</v>
      </c>
      <c r="I9" s="232"/>
      <c r="J9" s="232"/>
      <c r="K9" s="232"/>
      <c r="L9" s="232"/>
      <c r="N9" s="231">
        <v>0.20733199999999999</v>
      </c>
      <c r="O9" s="232"/>
      <c r="P9" s="232"/>
      <c r="Q9" s="232"/>
      <c r="R9" s="232"/>
      <c r="T9" s="231">
        <v>0.221272</v>
      </c>
      <c r="U9" s="232"/>
      <c r="V9" s="232"/>
      <c r="W9" s="232"/>
      <c r="X9" s="232"/>
      <c r="Z9" s="231">
        <v>0.26105200000000001</v>
      </c>
      <c r="AA9" s="232"/>
      <c r="AB9" s="232"/>
      <c r="AC9" s="232"/>
      <c r="AD9" s="232"/>
      <c r="AF9" s="231">
        <v>0.305728</v>
      </c>
      <c r="AG9" s="232"/>
      <c r="AH9" s="232"/>
      <c r="AI9" s="232"/>
      <c r="AJ9" s="232"/>
      <c r="AL9" s="231">
        <v>0.35611599999999999</v>
      </c>
      <c r="AM9" s="232"/>
      <c r="AN9" s="232"/>
      <c r="AO9" s="232"/>
      <c r="AP9" s="232"/>
      <c r="AR9" s="231">
        <v>0.394876</v>
      </c>
      <c r="AS9" s="232"/>
      <c r="AT9" s="232"/>
      <c r="AU9" s="232"/>
      <c r="AV9" s="232"/>
    </row>
    <row r="10" spans="1:48">
      <c r="A10" s="230" t="s">
        <v>341</v>
      </c>
      <c r="B10" s="231">
        <v>3.962485</v>
      </c>
      <c r="C10" s="232"/>
      <c r="D10" s="232"/>
      <c r="E10" s="232"/>
      <c r="F10" s="232"/>
      <c r="H10" s="231">
        <v>3.8386475</v>
      </c>
      <c r="I10" s="232"/>
      <c r="J10" s="232"/>
      <c r="K10" s="232"/>
      <c r="L10" s="232"/>
      <c r="N10" s="231">
        <v>3.4836613854469944</v>
      </c>
      <c r="O10" s="232"/>
      <c r="P10" s="232"/>
      <c r="Q10" s="232"/>
      <c r="R10" s="232"/>
      <c r="T10" s="231">
        <v>2.9484912218536334</v>
      </c>
      <c r="U10" s="232"/>
      <c r="V10" s="232"/>
      <c r="W10" s="232"/>
      <c r="X10" s="232"/>
      <c r="Z10" s="231">
        <v>2.4947600644429349</v>
      </c>
      <c r="AA10" s="232"/>
      <c r="AB10" s="232"/>
      <c r="AC10" s="232"/>
      <c r="AD10" s="232"/>
      <c r="AF10" s="231">
        <v>2.4826751756691703</v>
      </c>
      <c r="AG10" s="232"/>
      <c r="AH10" s="232"/>
      <c r="AI10" s="232"/>
      <c r="AJ10" s="232"/>
      <c r="AL10" s="231">
        <v>2.6441377958595611</v>
      </c>
      <c r="AM10" s="232"/>
      <c r="AN10" s="232"/>
      <c r="AO10" s="232"/>
      <c r="AP10" s="232"/>
      <c r="AR10" s="231">
        <v>2.7598005480895096</v>
      </c>
      <c r="AS10" s="232"/>
      <c r="AT10" s="232"/>
      <c r="AU10" s="232"/>
      <c r="AV10" s="232"/>
    </row>
    <row r="11" spans="1:48">
      <c r="A11" s="230" t="s">
        <v>342</v>
      </c>
      <c r="B11" s="231">
        <v>0.67411999999999994</v>
      </c>
      <c r="C11" s="232"/>
      <c r="D11" s="232"/>
      <c r="E11" s="232"/>
      <c r="F11" s="232"/>
      <c r="H11" s="231">
        <v>0.5435703222693512</v>
      </c>
      <c r="I11" s="232"/>
      <c r="J11" s="232"/>
      <c r="K11" s="232"/>
      <c r="L11" s="232"/>
      <c r="N11" s="231">
        <v>0.10396385344720363</v>
      </c>
      <c r="O11" s="232"/>
      <c r="P11" s="232"/>
      <c r="Q11" s="232"/>
      <c r="R11" s="232"/>
      <c r="T11" s="231">
        <v>0.17880542787620046</v>
      </c>
      <c r="U11" s="232"/>
      <c r="V11" s="232"/>
      <c r="W11" s="232"/>
      <c r="X11" s="232"/>
      <c r="Z11" s="231">
        <v>0.10872653440633455</v>
      </c>
      <c r="AA11" s="232"/>
      <c r="AB11" s="232"/>
      <c r="AC11" s="232"/>
      <c r="AD11" s="232"/>
      <c r="AF11" s="231">
        <v>7.0461985902244617E-2</v>
      </c>
      <c r="AG11" s="232"/>
      <c r="AH11" s="232"/>
      <c r="AI11" s="232"/>
      <c r="AJ11" s="232"/>
      <c r="AL11" s="231">
        <v>0.28924525632713022</v>
      </c>
      <c r="AM11" s="232"/>
      <c r="AN11" s="232"/>
      <c r="AO11" s="232"/>
      <c r="AP11" s="232"/>
      <c r="AR11" s="231">
        <v>0.11894690013508936</v>
      </c>
      <c r="AS11" s="232"/>
      <c r="AT11" s="232"/>
      <c r="AU11" s="232"/>
      <c r="AV11" s="232"/>
    </row>
    <row r="12" spans="1:48">
      <c r="A12" s="230" t="s">
        <v>343</v>
      </c>
      <c r="B12" s="231">
        <v>0.13481204625747786</v>
      </c>
      <c r="C12" s="232"/>
      <c r="D12" s="232"/>
      <c r="E12" s="232"/>
      <c r="F12" s="232"/>
      <c r="H12" s="231">
        <v>0.13481204625747786</v>
      </c>
      <c r="I12" s="232"/>
      <c r="J12" s="232"/>
      <c r="K12" s="232"/>
      <c r="L12" s="232"/>
      <c r="N12" s="231">
        <v>0.13481204625747784</v>
      </c>
      <c r="O12" s="232"/>
      <c r="P12" s="232"/>
      <c r="Q12" s="232"/>
      <c r="R12" s="232"/>
      <c r="T12" s="231">
        <v>0.14205906687883191</v>
      </c>
      <c r="U12" s="232"/>
      <c r="V12" s="232"/>
      <c r="W12" s="232"/>
      <c r="X12" s="232"/>
      <c r="Z12" s="231">
        <v>0.16759826605649528</v>
      </c>
      <c r="AA12" s="232"/>
      <c r="AB12" s="232"/>
      <c r="AC12" s="232"/>
      <c r="AD12" s="232"/>
      <c r="AF12" s="231">
        <v>0.16625613929200023</v>
      </c>
      <c r="AG12" s="232"/>
      <c r="AH12" s="232"/>
      <c r="AI12" s="232"/>
      <c r="AJ12" s="232"/>
      <c r="AL12" s="231">
        <v>0.16559044978471682</v>
      </c>
      <c r="AM12" s="232"/>
      <c r="AN12" s="232"/>
      <c r="AO12" s="232"/>
      <c r="AP12" s="232"/>
      <c r="AR12" s="231">
        <v>0.16492742569792249</v>
      </c>
      <c r="AS12" s="232"/>
      <c r="AT12" s="232"/>
      <c r="AU12" s="232"/>
      <c r="AV12" s="232"/>
    </row>
    <row r="13" spans="1:48">
      <c r="A13" s="230" t="s">
        <v>344</v>
      </c>
      <c r="B13" s="231">
        <v>6.6104639999999995</v>
      </c>
      <c r="C13" s="232"/>
      <c r="D13" s="232"/>
      <c r="E13" s="232"/>
      <c r="F13" s="232"/>
      <c r="H13" s="231">
        <v>6.3347651182363842</v>
      </c>
      <c r="I13" s="232"/>
      <c r="J13" s="232"/>
      <c r="K13" s="232"/>
      <c r="L13" s="232"/>
      <c r="N13" s="231">
        <v>5.897627166670409</v>
      </c>
      <c r="O13" s="232"/>
      <c r="P13" s="232"/>
      <c r="Q13" s="232"/>
      <c r="R13" s="232"/>
      <c r="T13" s="231">
        <v>5.3614929090523624</v>
      </c>
      <c r="U13" s="232"/>
      <c r="V13" s="232"/>
      <c r="W13" s="232"/>
      <c r="X13" s="232"/>
      <c r="Z13" s="231">
        <v>4.6886223035175387</v>
      </c>
      <c r="AA13" s="232"/>
      <c r="AB13" s="232"/>
      <c r="AC13" s="232"/>
      <c r="AD13" s="232"/>
      <c r="AF13" s="231">
        <v>3.1063338911838834</v>
      </c>
      <c r="AG13" s="232"/>
      <c r="AH13" s="232"/>
      <c r="AI13" s="232"/>
      <c r="AJ13" s="232"/>
      <c r="AL13" s="231">
        <v>3.4593697832311805</v>
      </c>
      <c r="AM13" s="232"/>
      <c r="AN13" s="232"/>
      <c r="AO13" s="232"/>
      <c r="AP13" s="232"/>
      <c r="AR13" s="231">
        <v>2.7973323903908915</v>
      </c>
      <c r="AS13" s="232"/>
      <c r="AT13" s="232"/>
      <c r="AU13" s="232"/>
      <c r="AV13" s="232"/>
    </row>
    <row r="14" spans="1:48">
      <c r="A14" s="230" t="s">
        <v>345</v>
      </c>
      <c r="B14" s="231">
        <v>2.64405</v>
      </c>
      <c r="C14" s="232"/>
      <c r="D14" s="232"/>
      <c r="E14" s="232"/>
      <c r="F14" s="232"/>
      <c r="H14" s="231">
        <v>2.4685781785195582</v>
      </c>
      <c r="I14" s="232"/>
      <c r="J14" s="232"/>
      <c r="K14" s="232"/>
      <c r="L14" s="232"/>
      <c r="N14" s="231">
        <v>2.2268405079993898</v>
      </c>
      <c r="O14" s="232"/>
      <c r="P14" s="232"/>
      <c r="Q14" s="232"/>
      <c r="R14" s="232"/>
      <c r="T14" s="231">
        <v>1.7526166423768035</v>
      </c>
      <c r="U14" s="232"/>
      <c r="V14" s="232"/>
      <c r="W14" s="232"/>
      <c r="X14" s="232"/>
      <c r="Z14" s="231">
        <v>1.4716866440364331</v>
      </c>
      <c r="AA14" s="232"/>
      <c r="AB14" s="232"/>
      <c r="AC14" s="232"/>
      <c r="AD14" s="232"/>
      <c r="AF14" s="231">
        <v>0.9893851258931271</v>
      </c>
      <c r="AG14" s="232"/>
      <c r="AH14" s="232"/>
      <c r="AI14" s="232"/>
      <c r="AJ14" s="232"/>
      <c r="AL14" s="231">
        <v>1.1608293970809549</v>
      </c>
      <c r="AM14" s="232"/>
      <c r="AN14" s="232"/>
      <c r="AO14" s="232"/>
      <c r="AP14" s="232"/>
      <c r="AR14" s="231">
        <v>0.95081034395860176</v>
      </c>
      <c r="AS14" s="232"/>
      <c r="AT14" s="232"/>
      <c r="AU14" s="232"/>
      <c r="AV14" s="232"/>
    </row>
    <row r="15" spans="1:48">
      <c r="A15" s="230" t="s">
        <v>346</v>
      </c>
      <c r="B15" s="231">
        <v>1.4897609999999999</v>
      </c>
      <c r="C15" s="232"/>
      <c r="D15" s="232"/>
      <c r="E15" s="232"/>
      <c r="F15" s="232"/>
      <c r="H15" s="231">
        <v>1.3872031973794481</v>
      </c>
      <c r="I15" s="232"/>
      <c r="J15" s="232"/>
      <c r="K15" s="232"/>
      <c r="L15" s="232"/>
      <c r="N15" s="231">
        <v>1.6726270894987827</v>
      </c>
      <c r="O15" s="232"/>
      <c r="P15" s="232"/>
      <c r="Q15" s="232"/>
      <c r="R15" s="232"/>
      <c r="T15" s="231">
        <v>1.4281613021242721</v>
      </c>
      <c r="U15" s="232"/>
      <c r="V15" s="232"/>
      <c r="W15" s="232"/>
      <c r="X15" s="232"/>
      <c r="Z15" s="231">
        <v>1.6826620402921852</v>
      </c>
      <c r="AA15" s="232"/>
      <c r="AB15" s="232"/>
      <c r="AC15" s="232"/>
      <c r="AD15" s="232"/>
      <c r="AF15" s="231">
        <v>1.0598418460104215</v>
      </c>
      <c r="AG15" s="232"/>
      <c r="AH15" s="232"/>
      <c r="AI15" s="232"/>
      <c r="AJ15" s="232"/>
      <c r="AL15" s="231">
        <v>1.0539231137468001</v>
      </c>
      <c r="AM15" s="232"/>
      <c r="AN15" s="232"/>
      <c r="AO15" s="232"/>
      <c r="AP15" s="232"/>
      <c r="AR15" s="231">
        <v>0.94324941672669793</v>
      </c>
      <c r="AS15" s="232"/>
      <c r="AT15" s="232"/>
      <c r="AU15" s="232"/>
      <c r="AV15" s="232"/>
    </row>
    <row r="16" spans="1:48">
      <c r="A16" s="230" t="s">
        <v>347</v>
      </c>
      <c r="B16" s="194">
        <v>0</v>
      </c>
      <c r="C16" s="232"/>
      <c r="D16" s="232"/>
      <c r="E16" s="232"/>
      <c r="F16" s="232"/>
      <c r="H16" s="194">
        <v>0</v>
      </c>
      <c r="I16" s="232"/>
      <c r="J16" s="232"/>
      <c r="K16" s="232"/>
      <c r="L16" s="232"/>
      <c r="N16" s="194">
        <v>0</v>
      </c>
      <c r="O16" s="232"/>
      <c r="P16" s="232"/>
      <c r="Q16" s="232"/>
      <c r="R16" s="232"/>
      <c r="T16" s="194">
        <v>0</v>
      </c>
      <c r="U16" s="232"/>
      <c r="V16" s="232"/>
      <c r="W16" s="232"/>
      <c r="X16" s="232"/>
      <c r="Z16" s="194">
        <v>0</v>
      </c>
      <c r="AA16" s="232"/>
      <c r="AB16" s="232"/>
      <c r="AC16" s="232"/>
      <c r="AD16" s="232"/>
      <c r="AF16" s="194">
        <v>0</v>
      </c>
      <c r="AG16" s="232"/>
      <c r="AH16" s="232"/>
      <c r="AI16" s="232"/>
      <c r="AJ16" s="232"/>
      <c r="AL16" s="194">
        <v>0</v>
      </c>
      <c r="AM16" s="232"/>
      <c r="AN16" s="232"/>
      <c r="AO16" s="232"/>
      <c r="AP16" s="232"/>
      <c r="AR16" s="194">
        <v>0</v>
      </c>
      <c r="AS16" s="232"/>
      <c r="AT16" s="232"/>
      <c r="AU16" s="232"/>
      <c r="AV16" s="232"/>
    </row>
    <row r="17" spans="1:48">
      <c r="A17" s="227" t="s">
        <v>348</v>
      </c>
      <c r="B17" s="228">
        <v>16.747005518706732</v>
      </c>
      <c r="C17" s="233">
        <v>0.98651442783437848</v>
      </c>
      <c r="D17" s="229"/>
      <c r="E17" s="229"/>
      <c r="F17" s="229"/>
      <c r="H17" s="228">
        <v>15.767294580692914</v>
      </c>
      <c r="I17" s="233">
        <v>0.96003912090795762</v>
      </c>
      <c r="J17" s="229"/>
      <c r="K17" s="229"/>
      <c r="L17" s="229"/>
      <c r="N17" s="228">
        <v>16.295826061732029</v>
      </c>
      <c r="O17" s="233">
        <v>1.0323434701304786</v>
      </c>
      <c r="P17" s="229"/>
      <c r="Q17" s="229"/>
      <c r="R17" s="229"/>
      <c r="T17" s="228">
        <v>14.721443807669083</v>
      </c>
      <c r="U17" s="233">
        <v>0.97193264059839746</v>
      </c>
      <c r="V17" s="229"/>
      <c r="W17" s="229"/>
      <c r="X17" s="229"/>
      <c r="Z17" s="228">
        <v>15.824680030861439</v>
      </c>
      <c r="AA17" s="233">
        <v>1.0256822103317875</v>
      </c>
      <c r="AB17" s="229"/>
      <c r="AC17" s="229"/>
      <c r="AD17" s="229"/>
      <c r="AF17" s="228">
        <v>13.666386726043777</v>
      </c>
      <c r="AG17" s="233">
        <v>0.91819947526387913</v>
      </c>
      <c r="AH17" s="229"/>
      <c r="AI17" s="229"/>
      <c r="AJ17" s="229"/>
      <c r="AL17" s="228">
        <v>12.775776666693384</v>
      </c>
      <c r="AM17" s="233">
        <v>0.91141978087164577</v>
      </c>
      <c r="AN17" s="229"/>
      <c r="AO17" s="229"/>
      <c r="AP17" s="229"/>
      <c r="AR17" s="228">
        <v>11.827906495951888</v>
      </c>
      <c r="AS17" s="233">
        <v>0.89870167894109976</v>
      </c>
      <c r="AT17" s="229"/>
      <c r="AU17" s="229"/>
      <c r="AV17" s="229"/>
    </row>
    <row r="18" spans="1:48">
      <c r="A18" s="230" t="s">
        <v>339</v>
      </c>
      <c r="B18" s="234">
        <v>9.3024465925549382</v>
      </c>
      <c r="C18" s="235">
        <v>0.15384367443851713</v>
      </c>
      <c r="D18" s="232"/>
      <c r="E18" s="232"/>
      <c r="F18" s="232"/>
      <c r="H18" s="234">
        <v>8.7835142533315818</v>
      </c>
      <c r="I18" s="235">
        <v>0.15006282856831696</v>
      </c>
      <c r="J18" s="232"/>
      <c r="K18" s="232"/>
      <c r="L18" s="232"/>
      <c r="N18" s="234">
        <v>8.1312523937558225</v>
      </c>
      <c r="O18" s="235">
        <v>0.13861195785877689</v>
      </c>
      <c r="P18" s="232"/>
      <c r="Q18" s="232"/>
      <c r="R18" s="232"/>
      <c r="T18" s="234">
        <v>7.6449611959637984</v>
      </c>
      <c r="U18" s="235">
        <v>0.12351498001690116</v>
      </c>
      <c r="V18" s="232"/>
      <c r="W18" s="232"/>
      <c r="X18" s="232"/>
      <c r="Z18" s="234">
        <v>7.7236160992600142</v>
      </c>
      <c r="AA18" s="235">
        <v>0.11533619822709763</v>
      </c>
      <c r="AB18" s="232"/>
      <c r="AC18" s="232"/>
      <c r="AD18" s="232"/>
      <c r="AF18" s="234">
        <v>8.3054339196880616</v>
      </c>
      <c r="AG18" s="235">
        <v>0.13267180178824262</v>
      </c>
      <c r="AH18" s="232"/>
      <c r="AI18" s="232"/>
      <c r="AJ18" s="232"/>
      <c r="AL18" s="234">
        <v>7.3997529339412909</v>
      </c>
      <c r="AM18" s="235">
        <v>0.12384516901861599</v>
      </c>
      <c r="AN18" s="232"/>
      <c r="AO18" s="232"/>
      <c r="AP18" s="232"/>
      <c r="AR18" s="234">
        <v>6.9463286048118924</v>
      </c>
      <c r="AS18" s="235">
        <v>0.11992010682426739</v>
      </c>
      <c r="AT18" s="232"/>
      <c r="AU18" s="232"/>
      <c r="AV18" s="232"/>
    </row>
    <row r="19" spans="1:48">
      <c r="A19" s="230" t="s">
        <v>340</v>
      </c>
      <c r="B19" s="234">
        <v>2.4530885719199996E-3</v>
      </c>
      <c r="C19" s="235">
        <v>2.3165281260000006E-4</v>
      </c>
      <c r="D19" s="232"/>
      <c r="E19" s="232"/>
      <c r="F19" s="232"/>
      <c r="H19" s="234">
        <v>2.7213657181199996E-3</v>
      </c>
      <c r="I19" s="235">
        <v>2.5698706110000003E-4</v>
      </c>
      <c r="J19" s="232"/>
      <c r="K19" s="232"/>
      <c r="L19" s="232"/>
      <c r="N19" s="234">
        <v>2.8700948026799998E-3</v>
      </c>
      <c r="O19" s="235">
        <v>2.7103201290000001E-4</v>
      </c>
      <c r="P19" s="232"/>
      <c r="Q19" s="232"/>
      <c r="R19" s="232"/>
      <c r="T19" s="234">
        <v>3.0630660832799994E-3</v>
      </c>
      <c r="U19" s="235">
        <v>2.8925489339999999E-4</v>
      </c>
      <c r="V19" s="232"/>
      <c r="W19" s="232"/>
      <c r="X19" s="232"/>
      <c r="Z19" s="234">
        <v>3.6137402254799995E-3</v>
      </c>
      <c r="AA19" s="235">
        <v>3.4125677189999999E-4</v>
      </c>
      <c r="AB19" s="232"/>
      <c r="AC19" s="232"/>
      <c r="AD19" s="232"/>
      <c r="AF19" s="234">
        <v>4.2321896467200004E-3</v>
      </c>
      <c r="AG19" s="235">
        <v>3.9965888160000003E-4</v>
      </c>
      <c r="AH19" s="232"/>
      <c r="AI19" s="232"/>
      <c r="AJ19" s="232"/>
      <c r="AL19" s="234">
        <v>4.9297102268399994E-3</v>
      </c>
      <c r="AM19" s="235">
        <v>4.6552792770000002E-4</v>
      </c>
      <c r="AN19" s="232"/>
      <c r="AO19" s="232"/>
      <c r="AP19" s="232"/>
      <c r="AR19" s="234">
        <v>5.4662645192399993E-3</v>
      </c>
      <c r="AS19" s="235">
        <v>5.1619642470000012E-4</v>
      </c>
      <c r="AT19" s="232"/>
      <c r="AU19" s="232"/>
      <c r="AV19" s="232"/>
    </row>
    <row r="20" spans="1:48">
      <c r="A20" s="230" t="s">
        <v>341</v>
      </c>
      <c r="B20" s="234">
        <v>6.1030106795330011E-2</v>
      </c>
      <c r="C20" s="235">
        <v>9.0183441467428568E-3</v>
      </c>
      <c r="D20" s="232"/>
      <c r="E20" s="232"/>
      <c r="F20" s="232"/>
      <c r="H20" s="234">
        <v>5.9122764344755017E-2</v>
      </c>
      <c r="I20" s="235">
        <v>8.7364984884571433E-3</v>
      </c>
      <c r="J20" s="232"/>
      <c r="K20" s="232"/>
      <c r="L20" s="232"/>
      <c r="N20" s="234">
        <v>5.3655276018104138E-2</v>
      </c>
      <c r="O20" s="235">
        <v>7.9285744336395018E-3</v>
      </c>
      <c r="P20" s="232"/>
      <c r="Q20" s="232"/>
      <c r="R20" s="232"/>
      <c r="T20" s="234">
        <v>4.5412596932182782E-2</v>
      </c>
      <c r="U20" s="235">
        <v>6.7105638386836574E-3</v>
      </c>
      <c r="V20" s="232"/>
      <c r="W20" s="232"/>
      <c r="X20" s="232"/>
      <c r="Z20" s="234">
        <v>3.8424239627828663E-2</v>
      </c>
      <c r="AA20" s="235">
        <v>5.6779028374105579E-3</v>
      </c>
      <c r="AB20" s="232"/>
      <c r="AC20" s="232"/>
      <c r="AD20" s="232"/>
      <c r="AF20" s="234">
        <v>3.8238108436802691E-2</v>
      </c>
      <c r="AG20" s="235">
        <v>5.6503984592395579E-3</v>
      </c>
      <c r="AH20" s="232"/>
      <c r="AI20" s="232"/>
      <c r="AJ20" s="232"/>
      <c r="AL20" s="234">
        <v>4.072495216079746E-2</v>
      </c>
      <c r="AM20" s="235">
        <v>6.0178763110703597E-3</v>
      </c>
      <c r="AN20" s="232"/>
      <c r="AO20" s="232"/>
      <c r="AP20" s="232"/>
      <c r="AR20" s="234">
        <v>4.2506387326062572E-2</v>
      </c>
      <c r="AS20" s="235">
        <v>6.2811168039855715E-3</v>
      </c>
      <c r="AT20" s="232"/>
      <c r="AU20" s="232"/>
      <c r="AV20" s="232"/>
    </row>
    <row r="21" spans="1:48">
      <c r="A21" s="230" t="s">
        <v>342</v>
      </c>
      <c r="B21" s="234">
        <v>1.0072064670719999E-2</v>
      </c>
      <c r="C21" s="235">
        <v>1.2620450907428571E-3</v>
      </c>
      <c r="D21" s="232"/>
      <c r="E21" s="232"/>
      <c r="F21" s="232"/>
      <c r="H21" s="234">
        <v>8.1215146249644238E-3</v>
      </c>
      <c r="I21" s="235">
        <v>1.0176381900752797E-3</v>
      </c>
      <c r="J21" s="232"/>
      <c r="K21" s="232"/>
      <c r="L21" s="232"/>
      <c r="N21" s="234">
        <v>1.5533297563304627E-3</v>
      </c>
      <c r="O21" s="235">
        <v>1.9463459155306658E-4</v>
      </c>
      <c r="P21" s="232"/>
      <c r="Q21" s="232"/>
      <c r="R21" s="232"/>
      <c r="T21" s="234">
        <v>2.6715419110022723E-3</v>
      </c>
      <c r="U21" s="235">
        <v>3.3474828287149885E-4</v>
      </c>
      <c r="V21" s="232"/>
      <c r="W21" s="232"/>
      <c r="X21" s="232"/>
      <c r="Z21" s="234">
        <v>1.6244892392509715E-3</v>
      </c>
      <c r="AA21" s="235">
        <v>2.0355098347623406E-4</v>
      </c>
      <c r="AB21" s="232"/>
      <c r="AC21" s="232"/>
      <c r="AD21" s="232"/>
      <c r="AF21" s="234">
        <v>1.0527764772366472E-3</v>
      </c>
      <c r="AG21" s="235">
        <v>1.3191450096706851E-4</v>
      </c>
      <c r="AH21" s="232"/>
      <c r="AI21" s="232"/>
      <c r="AJ21" s="232"/>
      <c r="AL21" s="234">
        <v>4.3216295725180083E-3</v>
      </c>
      <c r="AM21" s="235">
        <v>5.4150678776525556E-4</v>
      </c>
      <c r="AN21" s="232"/>
      <c r="AO21" s="232"/>
      <c r="AP21" s="232"/>
      <c r="AR21" s="234">
        <v>1.7771922959447779E-3</v>
      </c>
      <c r="AS21" s="235">
        <v>2.2268490977062012E-4</v>
      </c>
      <c r="AT21" s="232"/>
      <c r="AU21" s="232"/>
      <c r="AV21" s="232"/>
    </row>
    <row r="22" spans="1:48">
      <c r="A22" s="230" t="s">
        <v>343</v>
      </c>
      <c r="B22" s="234">
        <v>2.7210522396879577E-3</v>
      </c>
      <c r="C22" s="235">
        <v>5.779994262550298E-4</v>
      </c>
      <c r="D22" s="232"/>
      <c r="E22" s="232"/>
      <c r="F22" s="232"/>
      <c r="H22" s="234">
        <v>2.7210522396879577E-3</v>
      </c>
      <c r="I22" s="235">
        <v>5.779994262550298E-4</v>
      </c>
      <c r="J22" s="232"/>
      <c r="K22" s="232"/>
      <c r="L22" s="232"/>
      <c r="N22" s="234">
        <v>2.7210522396879568E-3</v>
      </c>
      <c r="O22" s="235">
        <v>5.7799942625502969E-4</v>
      </c>
      <c r="P22" s="232"/>
      <c r="Q22" s="232"/>
      <c r="R22" s="232"/>
      <c r="T22" s="234">
        <v>2.8673264209665202E-3</v>
      </c>
      <c r="U22" s="235">
        <v>6.0907063893583769E-4</v>
      </c>
      <c r="V22" s="232"/>
      <c r="W22" s="232"/>
      <c r="X22" s="232"/>
      <c r="Z22" s="234">
        <v>3.3828107345084419E-3</v>
      </c>
      <c r="AA22" s="235">
        <v>7.1856858723868481E-4</v>
      </c>
      <c r="AB22" s="232"/>
      <c r="AC22" s="232"/>
      <c r="AD22" s="232"/>
      <c r="AF22" s="234">
        <v>3.3557211891758281E-3</v>
      </c>
      <c r="AG22" s="235">
        <v>7.1281429063556052E-4</v>
      </c>
      <c r="AH22" s="232"/>
      <c r="AI22" s="232"/>
      <c r="AJ22" s="232"/>
      <c r="AL22" s="234">
        <v>3.3422848830369032E-3</v>
      </c>
      <c r="AM22" s="235">
        <v>7.0996018253502067E-4</v>
      </c>
      <c r="AN22" s="232"/>
      <c r="AO22" s="232"/>
      <c r="AP22" s="232"/>
      <c r="AR22" s="234">
        <v>3.3289023758617431E-3</v>
      </c>
      <c r="AS22" s="235">
        <v>7.0711750228203752E-4</v>
      </c>
      <c r="AT22" s="232"/>
      <c r="AU22" s="232"/>
      <c r="AV22" s="232"/>
    </row>
    <row r="23" spans="1:48">
      <c r="A23" s="230" t="s">
        <v>344</v>
      </c>
      <c r="B23" s="234">
        <v>0.43183675777536007</v>
      </c>
      <c r="C23" s="235">
        <v>4.6122382521600003E-2</v>
      </c>
      <c r="D23" s="232"/>
      <c r="E23" s="232"/>
      <c r="F23" s="232"/>
      <c r="H23" s="234">
        <v>0.41382638645753844</v>
      </c>
      <c r="I23" s="235">
        <v>4.4198782410400719E-2</v>
      </c>
      <c r="J23" s="232"/>
      <c r="K23" s="232"/>
      <c r="L23" s="232"/>
      <c r="N23" s="234">
        <v>0.38526980772043118</v>
      </c>
      <c r="O23" s="235">
        <v>4.1148793208911301E-2</v>
      </c>
      <c r="P23" s="232"/>
      <c r="Q23" s="232"/>
      <c r="R23" s="232"/>
      <c r="T23" s="234">
        <v>0.3502461725350528</v>
      </c>
      <c r="U23" s="235">
        <v>3.7408089180753272E-2</v>
      </c>
      <c r="V23" s="232"/>
      <c r="W23" s="232"/>
      <c r="X23" s="232"/>
      <c r="Z23" s="234">
        <v>0.30629006586893964</v>
      </c>
      <c r="AA23" s="235">
        <v>3.2713351344495836E-2</v>
      </c>
      <c r="AB23" s="232"/>
      <c r="AC23" s="232"/>
      <c r="AD23" s="232"/>
      <c r="AF23" s="234">
        <v>0.2029251132956123</v>
      </c>
      <c r="AG23" s="235">
        <v>2.1673443795926166E-2</v>
      </c>
      <c r="AH23" s="232"/>
      <c r="AI23" s="232"/>
      <c r="AJ23" s="232"/>
      <c r="AL23" s="234">
        <v>0.22598762070810813</v>
      </c>
      <c r="AM23" s="235">
        <v>2.4136637976676523E-2</v>
      </c>
      <c r="AN23" s="232"/>
      <c r="AO23" s="232"/>
      <c r="AP23" s="232"/>
      <c r="AR23" s="234">
        <v>0.18273920709444907</v>
      </c>
      <c r="AS23" s="235">
        <v>1.9517485391293325E-2</v>
      </c>
      <c r="AT23" s="232"/>
      <c r="AU23" s="232"/>
      <c r="AV23" s="232"/>
    </row>
    <row r="24" spans="1:48">
      <c r="A24" s="230" t="s">
        <v>345</v>
      </c>
      <c r="B24" s="234">
        <v>0.16982288949600002</v>
      </c>
      <c r="C24" s="235">
        <v>1.8137956367142861E-2</v>
      </c>
      <c r="D24" s="232"/>
      <c r="E24" s="232"/>
      <c r="F24" s="232"/>
      <c r="H24" s="234">
        <v>0.15855262919497132</v>
      </c>
      <c r="I24" s="235">
        <v>1.6934234712228866E-2</v>
      </c>
      <c r="J24" s="232"/>
      <c r="K24" s="232"/>
      <c r="L24" s="232"/>
      <c r="N24" s="234">
        <v>0.14302622473674736</v>
      </c>
      <c r="O24" s="235">
        <v>1.5275935012832276E-2</v>
      </c>
      <c r="P24" s="232"/>
      <c r="Q24" s="232"/>
      <c r="R24" s="232"/>
      <c r="T24" s="234">
        <v>0.1125676225439029</v>
      </c>
      <c r="U24" s="235">
        <v>1.2022799942421242E-2</v>
      </c>
      <c r="V24" s="232"/>
      <c r="W24" s="232"/>
      <c r="X24" s="232"/>
      <c r="Z24" s="234">
        <v>9.4523960712898147E-2</v>
      </c>
      <c r="AA24" s="235">
        <v>1.0095644233520443E-2</v>
      </c>
      <c r="AB24" s="232"/>
      <c r="AC24" s="232"/>
      <c r="AD24" s="232"/>
      <c r="AF24" s="234">
        <v>6.3546544469104072E-2</v>
      </c>
      <c r="AG24" s="235">
        <v>6.7870971591874902E-3</v>
      </c>
      <c r="AH24" s="232"/>
      <c r="AI24" s="232"/>
      <c r="AJ24" s="232"/>
      <c r="AL24" s="234">
        <v>7.4558121981122646E-2</v>
      </c>
      <c r="AM24" s="235">
        <v>7.9631901643127459E-3</v>
      </c>
      <c r="AN24" s="232"/>
      <c r="AO24" s="232"/>
      <c r="AP24" s="232"/>
      <c r="AR24" s="234">
        <v>6.106895103108316E-2</v>
      </c>
      <c r="AS24" s="235">
        <v>6.5224774615265267E-3</v>
      </c>
      <c r="AT24" s="232"/>
      <c r="AU24" s="232"/>
      <c r="AV24" s="232"/>
    </row>
    <row r="25" spans="1:48">
      <c r="A25" s="230" t="s">
        <v>346</v>
      </c>
      <c r="B25" s="234">
        <v>6.2868855803440056</v>
      </c>
      <c r="C25" s="235">
        <v>0.33777766157849998</v>
      </c>
      <c r="D25" s="232"/>
      <c r="E25" s="232"/>
      <c r="F25" s="232"/>
      <c r="H25" s="234">
        <v>5.8540851711193618</v>
      </c>
      <c r="I25" s="235">
        <v>0.31452444529360651</v>
      </c>
      <c r="J25" s="232"/>
      <c r="K25" s="232"/>
      <c r="L25" s="232"/>
      <c r="N25" s="234">
        <v>7.0585920360800563</v>
      </c>
      <c r="O25" s="235">
        <v>0.37923939946323693</v>
      </c>
      <c r="P25" s="232"/>
      <c r="Q25" s="232"/>
      <c r="R25" s="232"/>
      <c r="T25" s="234">
        <v>6.0269309618995299</v>
      </c>
      <c r="U25" s="235">
        <v>0.32381099047997791</v>
      </c>
      <c r="V25" s="232"/>
      <c r="W25" s="232"/>
      <c r="X25" s="232"/>
      <c r="Z25" s="234">
        <v>7.1009401626872783</v>
      </c>
      <c r="AA25" s="235">
        <v>0.38151465181113092</v>
      </c>
      <c r="AB25" s="232"/>
      <c r="AC25" s="232"/>
      <c r="AD25" s="232"/>
      <c r="AF25" s="234">
        <v>4.4725995774678573</v>
      </c>
      <c r="AG25" s="235">
        <v>0.24030089416251396</v>
      </c>
      <c r="AH25" s="232"/>
      <c r="AI25" s="232"/>
      <c r="AJ25" s="232"/>
      <c r="AL25" s="234">
        <v>4.4476221532219018</v>
      </c>
      <c r="AM25" s="235">
        <v>0.23895892350848605</v>
      </c>
      <c r="AN25" s="232"/>
      <c r="AO25" s="232"/>
      <c r="AP25" s="232"/>
      <c r="AR25" s="234">
        <v>3.9805721566660499</v>
      </c>
      <c r="AS25" s="235">
        <v>0.21386556787781943</v>
      </c>
      <c r="AT25" s="232"/>
      <c r="AU25" s="232"/>
      <c r="AV25" s="232"/>
    </row>
    <row r="26" spans="1:48">
      <c r="A26" s="230" t="s">
        <v>347</v>
      </c>
      <c r="B26" s="236">
        <v>0.47973738625877155</v>
      </c>
      <c r="C26" s="235">
        <v>0.41954271145227778</v>
      </c>
      <c r="D26" s="232"/>
      <c r="E26" s="232"/>
      <c r="F26" s="232"/>
      <c r="H26" s="236">
        <v>0.48462944366193356</v>
      </c>
      <c r="I26" s="235">
        <v>0.42372970675751709</v>
      </c>
      <c r="J26" s="232"/>
      <c r="K26" s="232"/>
      <c r="L26" s="232"/>
      <c r="N26" s="236">
        <v>0.51688584662216963</v>
      </c>
      <c r="O26" s="235">
        <v>0.44909514412237372</v>
      </c>
      <c r="P26" s="232"/>
      <c r="Q26" s="232"/>
      <c r="R26" s="232"/>
      <c r="T26" s="236">
        <v>0.53272332337936523</v>
      </c>
      <c r="U26" s="235">
        <v>0.46723214332445279</v>
      </c>
      <c r="V26" s="232"/>
      <c r="W26" s="232"/>
      <c r="X26" s="232"/>
      <c r="Z26" s="236">
        <v>0.55226446250524119</v>
      </c>
      <c r="AA26" s="235">
        <v>0.47908108553551726</v>
      </c>
      <c r="AB26" s="232"/>
      <c r="AC26" s="232"/>
      <c r="AD26" s="232"/>
      <c r="AF26" s="236">
        <v>0.57500277537321121</v>
      </c>
      <c r="AG26" s="235">
        <v>0.50987145222556673</v>
      </c>
      <c r="AH26" s="232"/>
      <c r="AI26" s="232"/>
      <c r="AJ26" s="232"/>
      <c r="AL26" s="236">
        <v>0.57453725999776883</v>
      </c>
      <c r="AM26" s="235">
        <v>0.50878098899448376</v>
      </c>
      <c r="AN26" s="232"/>
      <c r="AO26" s="232"/>
      <c r="AP26" s="232"/>
      <c r="AR26" s="236">
        <v>0.60411882983130483</v>
      </c>
      <c r="AS26" s="235">
        <v>0.53114892574545491</v>
      </c>
      <c r="AT26" s="232"/>
      <c r="AU26" s="232"/>
      <c r="AV26" s="232"/>
    </row>
    <row r="27" spans="1:48">
      <c r="A27" s="237" t="s">
        <v>349</v>
      </c>
      <c r="B27" s="229"/>
      <c r="C27" s="238">
        <v>0.33791824278452537</v>
      </c>
      <c r="D27" s="229"/>
      <c r="E27" s="229"/>
      <c r="F27" s="229"/>
      <c r="H27" s="229"/>
      <c r="I27" s="238">
        <v>0.32707114098056533</v>
      </c>
      <c r="J27" s="229"/>
      <c r="K27" s="229"/>
      <c r="L27" s="229"/>
      <c r="N27" s="229"/>
      <c r="O27" s="238">
        <v>0.35027063272105341</v>
      </c>
      <c r="P27" s="229"/>
      <c r="Q27" s="229"/>
      <c r="R27" s="229"/>
      <c r="T27" s="229"/>
      <c r="U27" s="238">
        <v>0.32813772373064676</v>
      </c>
      <c r="V27" s="229"/>
      <c r="W27" s="229"/>
      <c r="X27" s="229"/>
      <c r="Z27" s="229"/>
      <c r="AA27" s="238">
        <v>0.35176601971072446</v>
      </c>
      <c r="AB27" s="229"/>
      <c r="AC27" s="229"/>
      <c r="AD27" s="229"/>
      <c r="AF27" s="229"/>
      <c r="AG27" s="238">
        <v>0.30842674202053422</v>
      </c>
      <c r="AH27" s="229"/>
      <c r="AI27" s="229"/>
      <c r="AJ27" s="229"/>
      <c r="AL27" s="229"/>
      <c r="AM27" s="238">
        <v>0.30186282785670704</v>
      </c>
      <c r="AN27" s="229"/>
      <c r="AO27" s="229"/>
      <c r="AP27" s="229"/>
      <c r="AR27" s="229"/>
      <c r="AS27" s="238">
        <v>0.29596767489198939</v>
      </c>
      <c r="AT27" s="229"/>
      <c r="AU27" s="229"/>
      <c r="AV27" s="229"/>
    </row>
    <row r="28" spans="1:48">
      <c r="A28" s="230" t="s">
        <v>350</v>
      </c>
      <c r="B28" s="229"/>
      <c r="C28" s="239">
        <v>8.2630279369836968E-2</v>
      </c>
      <c r="D28" s="229"/>
      <c r="E28" s="229"/>
      <c r="F28" s="229"/>
      <c r="H28" s="229"/>
      <c r="I28" s="239">
        <v>7.8924802392903295E-2</v>
      </c>
      <c r="J28" s="229"/>
      <c r="K28" s="229"/>
      <c r="L28" s="229"/>
      <c r="N28" s="229"/>
      <c r="O28" s="239">
        <v>7.3584361984535843E-2</v>
      </c>
      <c r="P28" s="229"/>
      <c r="Q28" s="229"/>
      <c r="R28" s="229"/>
      <c r="T28" s="229"/>
      <c r="U28" s="239">
        <v>6.8071793161762206E-2</v>
      </c>
      <c r="V28" s="229"/>
      <c r="W28" s="229"/>
      <c r="X28" s="229"/>
      <c r="Z28" s="229"/>
      <c r="AA28" s="239">
        <v>6.7103151072852682E-2</v>
      </c>
      <c r="AB28" s="229"/>
      <c r="AC28" s="229"/>
      <c r="AD28" s="229"/>
      <c r="AF28" s="229"/>
      <c r="AG28" s="239">
        <v>7.3547365986057933E-2</v>
      </c>
      <c r="AH28" s="229"/>
      <c r="AI28" s="229"/>
      <c r="AJ28" s="229"/>
      <c r="AL28" s="229"/>
      <c r="AM28" s="239">
        <v>6.6516855587247459E-2</v>
      </c>
      <c r="AN28" s="229"/>
      <c r="AO28" s="229"/>
      <c r="AP28" s="229"/>
      <c r="AR28" s="229"/>
      <c r="AS28" s="239">
        <v>6.3134636751225784E-2</v>
      </c>
      <c r="AT28" s="229"/>
      <c r="AU28" s="229"/>
      <c r="AV28" s="229"/>
    </row>
    <row r="29" spans="1:48">
      <c r="A29" s="230" t="s">
        <v>340</v>
      </c>
      <c r="B29" s="229"/>
      <c r="C29" s="239">
        <v>3.8155148675325011E-5</v>
      </c>
      <c r="D29" s="229"/>
      <c r="E29" s="229"/>
      <c r="F29" s="229"/>
      <c r="H29" s="229"/>
      <c r="I29" s="239">
        <v>4.23279105220125E-5</v>
      </c>
      <c r="J29" s="229"/>
      <c r="K29" s="229"/>
      <c r="L29" s="229"/>
      <c r="N29" s="229"/>
      <c r="O29" s="239">
        <v>4.4641231124737501E-5</v>
      </c>
      <c r="P29" s="229"/>
      <c r="Q29" s="229"/>
      <c r="R29" s="229"/>
      <c r="T29" s="229"/>
      <c r="U29" s="239">
        <v>4.7642691400424993E-5</v>
      </c>
      <c r="V29" s="229"/>
      <c r="W29" s="229"/>
      <c r="X29" s="229"/>
      <c r="Z29" s="229"/>
      <c r="AA29" s="239">
        <v>5.62078341383625E-5</v>
      </c>
      <c r="AB29" s="229"/>
      <c r="AC29" s="229"/>
      <c r="AD29" s="229"/>
      <c r="AF29" s="229"/>
      <c r="AG29" s="239">
        <v>6.5827148290200017E-5</v>
      </c>
      <c r="AH29" s="229"/>
      <c r="AI29" s="229"/>
      <c r="AJ29" s="229"/>
      <c r="AL29" s="229"/>
      <c r="AM29" s="239">
        <v>7.66763290915875E-5</v>
      </c>
      <c r="AN29" s="229"/>
      <c r="AO29" s="229"/>
      <c r="AP29" s="229"/>
      <c r="AR29" s="229"/>
      <c r="AS29" s="239">
        <v>8.5021852784962504E-5</v>
      </c>
      <c r="AT29" s="229"/>
      <c r="AU29" s="229"/>
      <c r="AV29" s="229"/>
    </row>
    <row r="30" spans="1:48">
      <c r="A30" s="230" t="s">
        <v>341</v>
      </c>
      <c r="B30" s="229"/>
      <c r="C30" s="239">
        <v>1.3915305018424226E-3</v>
      </c>
      <c r="D30" s="229"/>
      <c r="E30" s="229"/>
      <c r="F30" s="229"/>
      <c r="H30" s="229"/>
      <c r="I30" s="239">
        <v>1.3480417167689375E-3</v>
      </c>
      <c r="J30" s="229"/>
      <c r="K30" s="229"/>
      <c r="L30" s="229"/>
      <c r="N30" s="229"/>
      <c r="O30" s="239">
        <v>1.223379035110575E-3</v>
      </c>
      <c r="P30" s="229"/>
      <c r="Q30" s="229"/>
      <c r="R30" s="229"/>
      <c r="T30" s="229"/>
      <c r="U30" s="239">
        <v>1.0354400003088884E-3</v>
      </c>
      <c r="V30" s="229"/>
      <c r="W30" s="229"/>
      <c r="X30" s="229"/>
      <c r="Z30" s="229"/>
      <c r="AA30" s="239">
        <v>8.7610040781244906E-4</v>
      </c>
      <c r="AB30" s="229"/>
      <c r="AC30" s="229"/>
      <c r="AD30" s="229"/>
      <c r="AF30" s="229"/>
      <c r="AG30" s="239">
        <v>8.7185648226066387E-4</v>
      </c>
      <c r="AH30" s="229"/>
      <c r="AI30" s="229"/>
      <c r="AJ30" s="229"/>
      <c r="AL30" s="229"/>
      <c r="AM30" s="239">
        <v>9.2855831479815652E-4</v>
      </c>
      <c r="AN30" s="229"/>
      <c r="AO30" s="229"/>
      <c r="AP30" s="229"/>
      <c r="AR30" s="229"/>
      <c r="AS30" s="239">
        <v>9.691763228549732E-4</v>
      </c>
      <c r="AT30" s="229"/>
      <c r="AU30" s="229"/>
      <c r="AV30" s="229"/>
    </row>
    <row r="31" spans="1:48">
      <c r="A31" s="230" t="s">
        <v>342</v>
      </c>
      <c r="B31" s="229"/>
      <c r="C31" s="239">
        <v>1.9473355750162288E-4</v>
      </c>
      <c r="D31" s="229"/>
      <c r="E31" s="229"/>
      <c r="F31" s="229"/>
      <c r="H31" s="229"/>
      <c r="I31" s="239">
        <v>1.5702157272861565E-4</v>
      </c>
      <c r="J31" s="229"/>
      <c r="K31" s="229"/>
      <c r="L31" s="229"/>
      <c r="N31" s="229"/>
      <c r="O31" s="239">
        <v>3.0032117476638172E-5</v>
      </c>
      <c r="P31" s="229"/>
      <c r="Q31" s="229"/>
      <c r="R31" s="229"/>
      <c r="T31" s="229"/>
      <c r="U31" s="239">
        <v>5.1651660047072266E-5</v>
      </c>
      <c r="V31" s="229"/>
      <c r="W31" s="229"/>
      <c r="X31" s="229"/>
      <c r="Z31" s="229"/>
      <c r="AA31" s="239">
        <v>3.1407916750382908E-5</v>
      </c>
      <c r="AB31" s="229"/>
      <c r="AC31" s="229"/>
      <c r="AD31" s="229"/>
      <c r="AF31" s="229"/>
      <c r="AG31" s="239">
        <v>2.035440749921867E-5</v>
      </c>
      <c r="AH31" s="229"/>
      <c r="AI31" s="229"/>
      <c r="AJ31" s="229"/>
      <c r="AL31" s="229"/>
      <c r="AM31" s="239">
        <v>8.3554497352178925E-5</v>
      </c>
      <c r="AN31" s="229"/>
      <c r="AO31" s="229"/>
      <c r="AP31" s="229"/>
      <c r="AR31" s="229"/>
      <c r="AS31" s="239">
        <v>3.4360281577606686E-5</v>
      </c>
      <c r="AT31" s="229"/>
      <c r="AU31" s="229"/>
      <c r="AV31" s="229"/>
    </row>
    <row r="32" spans="1:48">
      <c r="A32" s="230" t="s">
        <v>343</v>
      </c>
      <c r="B32" s="229"/>
      <c r="C32" s="239">
        <v>8.9185311471151097E-5</v>
      </c>
      <c r="D32" s="229"/>
      <c r="E32" s="229"/>
      <c r="F32" s="229"/>
      <c r="H32" s="229"/>
      <c r="I32" s="239">
        <v>8.9185311471151097E-5</v>
      </c>
      <c r="J32" s="229"/>
      <c r="K32" s="229"/>
      <c r="L32" s="229"/>
      <c r="N32" s="229"/>
      <c r="O32" s="239">
        <v>8.918531147115107E-5</v>
      </c>
      <c r="P32" s="229"/>
      <c r="Q32" s="229"/>
      <c r="R32" s="229"/>
      <c r="T32" s="229"/>
      <c r="U32" s="239">
        <v>9.3979599587799755E-5</v>
      </c>
      <c r="V32" s="229"/>
      <c r="W32" s="229"/>
      <c r="X32" s="229"/>
      <c r="Z32" s="229"/>
      <c r="AA32" s="239">
        <v>1.1087513301092906E-4</v>
      </c>
      <c r="AB32" s="229"/>
      <c r="AC32" s="229"/>
      <c r="AD32" s="229"/>
      <c r="AF32" s="229"/>
      <c r="AG32" s="239">
        <v>1.0998724504506699E-4</v>
      </c>
      <c r="AH32" s="229"/>
      <c r="AI32" s="229"/>
      <c r="AJ32" s="229"/>
      <c r="AL32" s="229"/>
      <c r="AM32" s="239">
        <v>1.095468561651537E-4</v>
      </c>
      <c r="AN32" s="229"/>
      <c r="AO32" s="229"/>
      <c r="AP32" s="229"/>
      <c r="AR32" s="229"/>
      <c r="AS32" s="239">
        <v>1.0910823060211841E-4</v>
      </c>
      <c r="AT32" s="229"/>
      <c r="AU32" s="229"/>
      <c r="AV32" s="229"/>
    </row>
    <row r="33" spans="1:48">
      <c r="A33" s="230" t="s">
        <v>344</v>
      </c>
      <c r="B33" s="229"/>
      <c r="C33" s="239">
        <v>7.1166836230828808E-3</v>
      </c>
      <c r="D33" s="229"/>
      <c r="E33" s="229"/>
      <c r="F33" s="229"/>
      <c r="H33" s="229"/>
      <c r="I33" s="239">
        <v>6.8198721259248299E-3</v>
      </c>
      <c r="J33" s="229"/>
      <c r="K33" s="229"/>
      <c r="L33" s="229"/>
      <c r="N33" s="229"/>
      <c r="O33" s="239">
        <v>6.3492587921350138E-3</v>
      </c>
      <c r="P33" s="229"/>
      <c r="Q33" s="229"/>
      <c r="R33" s="229"/>
      <c r="T33" s="229"/>
      <c r="U33" s="239">
        <v>5.7720681605902303E-3</v>
      </c>
      <c r="V33" s="229"/>
      <c r="W33" s="229"/>
      <c r="X33" s="229"/>
      <c r="Z33" s="229"/>
      <c r="AA33" s="239">
        <v>5.0476701124557068E-3</v>
      </c>
      <c r="AB33" s="229"/>
      <c r="AC33" s="229"/>
      <c r="AD33" s="229"/>
      <c r="AF33" s="229"/>
      <c r="AG33" s="239">
        <v>3.3442123777114065E-3</v>
      </c>
      <c r="AH33" s="229"/>
      <c r="AI33" s="229"/>
      <c r="AJ33" s="229"/>
      <c r="AL33" s="229"/>
      <c r="AM33" s="239">
        <v>3.7242832398011877E-3</v>
      </c>
      <c r="AN33" s="229"/>
      <c r="AO33" s="229"/>
      <c r="AP33" s="229"/>
      <c r="AR33" s="229"/>
      <c r="AS33" s="239">
        <v>3.0115479958765599E-3</v>
      </c>
      <c r="AT33" s="229"/>
      <c r="AU33" s="229"/>
      <c r="AV33" s="229"/>
    </row>
    <row r="34" spans="1:48">
      <c r="A34" s="230" t="s">
        <v>351</v>
      </c>
      <c r="B34" s="229"/>
      <c r="C34" s="239">
        <v>2.7986866674501436E-3</v>
      </c>
      <c r="D34" s="229"/>
      <c r="E34" s="229"/>
      <c r="F34" s="229"/>
      <c r="H34" s="229"/>
      <c r="I34" s="239">
        <v>2.6129524160969139E-3</v>
      </c>
      <c r="J34" s="229"/>
      <c r="K34" s="229"/>
      <c r="L34" s="229"/>
      <c r="N34" s="229"/>
      <c r="O34" s="239">
        <v>2.3570767724800197E-3</v>
      </c>
      <c r="P34" s="229"/>
      <c r="Q34" s="229"/>
      <c r="R34" s="229"/>
      <c r="T34" s="229"/>
      <c r="U34" s="239">
        <v>1.8551180311155977E-3</v>
      </c>
      <c r="V34" s="229"/>
      <c r="W34" s="229"/>
      <c r="X34" s="229"/>
      <c r="Z34" s="229"/>
      <c r="AA34" s="239">
        <v>1.5577579052322042E-3</v>
      </c>
      <c r="AB34" s="229"/>
      <c r="AC34" s="229"/>
      <c r="AD34" s="229"/>
      <c r="AF34" s="229"/>
      <c r="AG34" s="239">
        <v>1.0472490916626298E-3</v>
      </c>
      <c r="AH34" s="229"/>
      <c r="AI34" s="229"/>
      <c r="AJ34" s="229"/>
      <c r="AL34" s="229"/>
      <c r="AM34" s="239">
        <v>1.2287202423534563E-3</v>
      </c>
      <c r="AN34" s="229"/>
      <c r="AO34" s="229"/>
      <c r="AP34" s="229"/>
      <c r="AR34" s="229"/>
      <c r="AS34" s="239">
        <v>1.0064182723135431E-3</v>
      </c>
      <c r="AT34" s="229"/>
      <c r="AU34" s="229"/>
      <c r="AV34" s="229"/>
    </row>
    <row r="35" spans="1:48">
      <c r="A35" s="230" t="s">
        <v>346</v>
      </c>
      <c r="B35" s="229"/>
      <c r="C35" s="239">
        <v>0.12224173572525918</v>
      </c>
      <c r="D35" s="229"/>
      <c r="E35" s="229"/>
      <c r="F35" s="229"/>
      <c r="H35" s="229"/>
      <c r="I35" s="239">
        <v>0.11382639675175617</v>
      </c>
      <c r="J35" s="229"/>
      <c r="K35" s="229"/>
      <c r="L35" s="229"/>
      <c r="N35" s="229"/>
      <c r="O35" s="239">
        <v>0.13724673866574544</v>
      </c>
      <c r="P35" s="229"/>
      <c r="Q35" s="229"/>
      <c r="R35" s="229"/>
      <c r="T35" s="229"/>
      <c r="U35" s="239">
        <v>0.117187197454704</v>
      </c>
      <c r="V35" s="229"/>
      <c r="W35" s="229"/>
      <c r="X35" s="229"/>
      <c r="Z35" s="229"/>
      <c r="AA35" s="239">
        <v>0.13807015249044829</v>
      </c>
      <c r="AB35" s="229"/>
      <c r="AC35" s="229"/>
      <c r="AD35" s="229"/>
      <c r="AF35" s="229"/>
      <c r="AG35" s="239">
        <v>8.6964893597413787E-2</v>
      </c>
      <c r="AH35" s="229"/>
      <c r="AI35" s="229"/>
      <c r="AJ35" s="229"/>
      <c r="AL35" s="229"/>
      <c r="AM35" s="239">
        <v>8.647923441772111E-2</v>
      </c>
      <c r="AN35" s="229"/>
      <c r="AO35" s="229"/>
      <c r="AP35" s="229"/>
      <c r="AR35" s="229"/>
      <c r="AS35" s="239">
        <v>7.7397949014982842E-2</v>
      </c>
      <c r="AT35" s="229"/>
      <c r="AU35" s="229"/>
      <c r="AV35" s="229"/>
    </row>
    <row r="36" spans="1:48">
      <c r="A36" s="230" t="s">
        <v>347</v>
      </c>
      <c r="B36" s="229"/>
      <c r="C36" s="239">
        <v>0.12141725287940568</v>
      </c>
      <c r="D36" s="229"/>
      <c r="E36" s="229"/>
      <c r="F36" s="229"/>
      <c r="H36" s="229"/>
      <c r="I36" s="239">
        <v>0.12325054078239336</v>
      </c>
      <c r="J36" s="229"/>
      <c r="K36" s="229"/>
      <c r="L36" s="229"/>
      <c r="N36" s="229"/>
      <c r="O36" s="239">
        <v>0.12934595881097397</v>
      </c>
      <c r="P36" s="229"/>
      <c r="Q36" s="229"/>
      <c r="R36" s="229"/>
      <c r="T36" s="229"/>
      <c r="U36" s="239">
        <v>0.13402283297113055</v>
      </c>
      <c r="V36" s="229"/>
      <c r="W36" s="229"/>
      <c r="X36" s="229"/>
      <c r="Z36" s="229"/>
      <c r="AA36" s="239">
        <v>0.13891269683802346</v>
      </c>
      <c r="AB36" s="229"/>
      <c r="AC36" s="229"/>
      <c r="AD36" s="229"/>
      <c r="AF36" s="229"/>
      <c r="AG36" s="239">
        <v>0.14245499568459333</v>
      </c>
      <c r="AH36" s="229"/>
      <c r="AI36" s="229"/>
      <c r="AJ36" s="229"/>
      <c r="AL36" s="229"/>
      <c r="AM36" s="239">
        <v>0.14271539837217678</v>
      </c>
      <c r="AN36" s="229"/>
      <c r="AO36" s="229"/>
      <c r="AP36" s="229"/>
      <c r="AR36" s="229"/>
      <c r="AS36" s="239">
        <v>0.15021945616977098</v>
      </c>
      <c r="AT36" s="229"/>
      <c r="AU36" s="229"/>
      <c r="AV36" s="229"/>
    </row>
    <row r="37" spans="1:48">
      <c r="A37" s="237" t="s">
        <v>352</v>
      </c>
      <c r="B37" s="228">
        <v>49.205880358110733</v>
      </c>
      <c r="C37" s="229"/>
      <c r="D37" s="229"/>
      <c r="E37" s="229"/>
      <c r="F37" s="229"/>
      <c r="H37" s="228">
        <v>46.456442680180778</v>
      </c>
      <c r="I37" s="229"/>
      <c r="J37" s="229"/>
      <c r="K37" s="229"/>
      <c r="L37" s="229"/>
      <c r="N37" s="228">
        <v>44.324430533121799</v>
      </c>
      <c r="O37" s="229"/>
      <c r="P37" s="229"/>
      <c r="Q37" s="229"/>
      <c r="R37" s="229"/>
      <c r="T37" s="228">
        <v>42.205920671541392</v>
      </c>
      <c r="U37" s="229"/>
      <c r="V37" s="229"/>
      <c r="W37" s="229"/>
      <c r="X37" s="229"/>
      <c r="Z37" s="228">
        <v>37.734055555402222</v>
      </c>
      <c r="AA37" s="229"/>
      <c r="AB37" s="229"/>
      <c r="AC37" s="229"/>
      <c r="AD37" s="229"/>
      <c r="AF37" s="228">
        <v>41.258109267869685</v>
      </c>
      <c r="AG37" s="229"/>
      <c r="AH37" s="229"/>
      <c r="AI37" s="229"/>
      <c r="AJ37" s="229"/>
      <c r="AL37" s="228">
        <v>45.979589020878294</v>
      </c>
      <c r="AM37" s="229"/>
      <c r="AN37" s="229"/>
      <c r="AO37" s="229"/>
      <c r="AP37" s="229"/>
      <c r="AR37" s="228">
        <v>44.283896931526357</v>
      </c>
      <c r="AS37" s="229"/>
      <c r="AT37" s="229"/>
      <c r="AU37" s="229"/>
      <c r="AV37" s="229"/>
    </row>
    <row r="38" spans="1:48">
      <c r="A38" s="240" t="s">
        <v>353</v>
      </c>
      <c r="B38" s="236">
        <v>9.1454249513558743</v>
      </c>
      <c r="C38" s="232"/>
      <c r="D38" s="232"/>
      <c r="E38" s="232"/>
      <c r="F38" s="232"/>
      <c r="H38" s="236">
        <v>8.6344133454473972</v>
      </c>
      <c r="I38" s="232"/>
      <c r="J38" s="232"/>
      <c r="K38" s="232"/>
      <c r="L38" s="232"/>
      <c r="N38" s="236">
        <v>8.2381567000138993</v>
      </c>
      <c r="O38" s="232"/>
      <c r="P38" s="232"/>
      <c r="Q38" s="232"/>
      <c r="R38" s="232"/>
      <c r="T38" s="236">
        <v>8.1427774322817417</v>
      </c>
      <c r="U38" s="232"/>
      <c r="V38" s="232"/>
      <c r="W38" s="232"/>
      <c r="X38" s="232"/>
      <c r="Z38" s="236">
        <v>8.9369806116788997</v>
      </c>
      <c r="AA38" s="232"/>
      <c r="AB38" s="232"/>
      <c r="AC38" s="232"/>
      <c r="AD38" s="232"/>
      <c r="AF38" s="236">
        <v>7.3282838968724766</v>
      </c>
      <c r="AG38" s="232"/>
      <c r="AH38" s="232"/>
      <c r="AI38" s="232"/>
      <c r="AJ38" s="232"/>
      <c r="AL38" s="236">
        <v>6.8903825181685798</v>
      </c>
      <c r="AM38" s="232"/>
      <c r="AN38" s="232"/>
      <c r="AO38" s="232"/>
      <c r="AP38" s="232"/>
      <c r="AR38" s="236">
        <v>7.2550290037757028</v>
      </c>
      <c r="AS38" s="232"/>
      <c r="AT38" s="232"/>
      <c r="AU38" s="232"/>
      <c r="AV38" s="232"/>
    </row>
    <row r="39" spans="1:48">
      <c r="A39" s="240" t="s">
        <v>354</v>
      </c>
      <c r="B39" s="236">
        <v>38.69997896771018</v>
      </c>
      <c r="C39" s="232"/>
      <c r="D39" s="232"/>
      <c r="E39" s="232"/>
      <c r="F39" s="232"/>
      <c r="H39" s="236">
        <v>36.537571151113106</v>
      </c>
      <c r="I39" s="232"/>
      <c r="J39" s="232"/>
      <c r="K39" s="232"/>
      <c r="L39" s="232"/>
      <c r="N39" s="236">
        <v>34.860762919056242</v>
      </c>
      <c r="O39" s="232"/>
      <c r="P39" s="232"/>
      <c r="Q39" s="232"/>
      <c r="R39" s="232"/>
      <c r="T39" s="236">
        <v>32.375367553295803</v>
      </c>
      <c r="U39" s="232"/>
      <c r="V39" s="232"/>
      <c r="W39" s="232"/>
      <c r="X39" s="232"/>
      <c r="Z39" s="236">
        <v>27.856951009248007</v>
      </c>
      <c r="AA39" s="232"/>
      <c r="AB39" s="232"/>
      <c r="AC39" s="232"/>
      <c r="AD39" s="232"/>
      <c r="AF39" s="236">
        <v>32.948683229432461</v>
      </c>
      <c r="AG39" s="232"/>
      <c r="AH39" s="232"/>
      <c r="AI39" s="232"/>
      <c r="AJ39" s="232"/>
      <c r="AL39" s="236">
        <v>37.981470365817543</v>
      </c>
      <c r="AM39" s="232"/>
      <c r="AN39" s="232"/>
      <c r="AO39" s="232"/>
      <c r="AP39" s="232"/>
      <c r="AR39" s="236">
        <v>35.881254248971587</v>
      </c>
      <c r="AS39" s="232"/>
      <c r="AT39" s="232"/>
      <c r="AU39" s="232"/>
      <c r="AV39" s="232"/>
    </row>
    <row r="40" spans="1:48">
      <c r="A40" s="240" t="s">
        <v>355</v>
      </c>
      <c r="B40" s="236">
        <v>1.3604764390446753</v>
      </c>
      <c r="C40" s="232"/>
      <c r="D40" s="232"/>
      <c r="E40" s="232"/>
      <c r="F40" s="232"/>
      <c r="H40" s="236">
        <v>1.2844581836202738</v>
      </c>
      <c r="I40" s="232"/>
      <c r="J40" s="232"/>
      <c r="K40" s="232"/>
      <c r="L40" s="232"/>
      <c r="N40" s="236">
        <v>1.2255109140516542</v>
      </c>
      <c r="O40" s="232"/>
      <c r="P40" s="232"/>
      <c r="Q40" s="232"/>
      <c r="R40" s="232"/>
      <c r="T40" s="236">
        <v>1.6877756859638517</v>
      </c>
      <c r="U40" s="232"/>
      <c r="V40" s="232"/>
      <c r="W40" s="232"/>
      <c r="X40" s="232"/>
      <c r="Z40" s="236">
        <v>0.94012393447531306</v>
      </c>
      <c r="AA40" s="232"/>
      <c r="AB40" s="232"/>
      <c r="AC40" s="232"/>
      <c r="AD40" s="232"/>
      <c r="AF40" s="236">
        <v>0.98114214156474477</v>
      </c>
      <c r="AG40" s="232"/>
      <c r="AH40" s="232"/>
      <c r="AI40" s="232"/>
      <c r="AJ40" s="232"/>
      <c r="AL40" s="236">
        <v>1.1077361368921737</v>
      </c>
      <c r="AM40" s="232"/>
      <c r="AN40" s="232"/>
      <c r="AO40" s="232"/>
      <c r="AP40" s="232"/>
      <c r="AR40" s="236">
        <v>1.1476136787790656</v>
      </c>
      <c r="AS40" s="232"/>
      <c r="AT40" s="232"/>
      <c r="AU40" s="232"/>
      <c r="AV40" s="232"/>
    </row>
    <row r="41" spans="1:48">
      <c r="A41" s="240" t="s">
        <v>356</v>
      </c>
      <c r="B41" s="232"/>
      <c r="C41" s="232"/>
      <c r="D41" s="232"/>
      <c r="E41" s="232"/>
      <c r="F41" s="232"/>
      <c r="H41" s="232"/>
      <c r="I41" s="232"/>
      <c r="J41" s="232"/>
      <c r="K41" s="232"/>
      <c r="L41" s="232"/>
      <c r="N41" s="232"/>
      <c r="O41" s="232"/>
      <c r="P41" s="232"/>
      <c r="Q41" s="232"/>
      <c r="R41" s="232"/>
      <c r="T41" s="232"/>
      <c r="U41" s="232"/>
      <c r="V41" s="232"/>
      <c r="W41" s="232"/>
      <c r="X41" s="232"/>
      <c r="Z41" s="232"/>
      <c r="AA41" s="232"/>
      <c r="AB41" s="232"/>
      <c r="AC41" s="232"/>
      <c r="AD41" s="232"/>
      <c r="AF41" s="232"/>
      <c r="AG41" s="232"/>
      <c r="AH41" s="232"/>
      <c r="AI41" s="232"/>
      <c r="AJ41" s="232"/>
      <c r="AL41" s="232"/>
      <c r="AM41" s="232"/>
      <c r="AN41" s="232"/>
      <c r="AO41" s="232"/>
      <c r="AP41" s="232"/>
      <c r="AR41" s="232"/>
      <c r="AS41" s="232"/>
      <c r="AT41" s="232"/>
      <c r="AU41" s="232"/>
      <c r="AV41" s="232"/>
    </row>
    <row r="42" spans="1:48">
      <c r="A42" s="241" t="s">
        <v>357</v>
      </c>
      <c r="B42" s="229"/>
      <c r="C42" s="233">
        <v>8.6554192563030359</v>
      </c>
      <c r="D42" s="229"/>
      <c r="E42" s="229"/>
      <c r="F42" s="229"/>
      <c r="H42" s="229"/>
      <c r="I42" s="233">
        <v>8.8425023373127942</v>
      </c>
      <c r="J42" s="229"/>
      <c r="K42" s="229"/>
      <c r="L42" s="229"/>
      <c r="N42" s="229"/>
      <c r="O42" s="233">
        <v>9.1399658899692486</v>
      </c>
      <c r="P42" s="229"/>
      <c r="Q42" s="229"/>
      <c r="R42" s="229"/>
      <c r="T42" s="229"/>
      <c r="U42" s="233">
        <v>8.697137796845551</v>
      </c>
      <c r="V42" s="229"/>
      <c r="W42" s="229"/>
      <c r="X42" s="229"/>
      <c r="Z42" s="229"/>
      <c r="AA42" s="233">
        <v>8.8173839676353012</v>
      </c>
      <c r="AB42" s="229"/>
      <c r="AC42" s="229"/>
      <c r="AD42" s="229"/>
      <c r="AF42" s="229"/>
      <c r="AG42" s="233">
        <v>10.368284688405698</v>
      </c>
      <c r="AH42" s="229"/>
      <c r="AI42" s="229"/>
      <c r="AJ42" s="229"/>
      <c r="AL42" s="229"/>
      <c r="AM42" s="233">
        <v>10.7335726862909</v>
      </c>
      <c r="AN42" s="229"/>
      <c r="AO42" s="229"/>
      <c r="AP42" s="229"/>
      <c r="AR42" s="229"/>
      <c r="AS42" s="233">
        <v>8.2776009527687826</v>
      </c>
      <c r="AT42" s="229"/>
      <c r="AU42" s="229"/>
      <c r="AV42" s="229"/>
    </row>
    <row r="43" spans="1:48">
      <c r="A43" s="242" t="s">
        <v>358</v>
      </c>
      <c r="B43" s="229"/>
      <c r="C43" s="236">
        <v>4.5004213558225983</v>
      </c>
      <c r="D43" s="229"/>
      <c r="E43" s="229"/>
      <c r="F43" s="229"/>
      <c r="H43" s="229"/>
      <c r="I43" s="236">
        <v>4.6604449953818268</v>
      </c>
      <c r="J43" s="229"/>
      <c r="K43" s="229"/>
      <c r="L43" s="229"/>
      <c r="N43" s="229"/>
      <c r="O43" s="236">
        <v>5.0863707930865747</v>
      </c>
      <c r="P43" s="229"/>
      <c r="Q43" s="229"/>
      <c r="R43" s="229"/>
      <c r="T43" s="229"/>
      <c r="U43" s="236">
        <v>4.8915272561004075</v>
      </c>
      <c r="V43" s="229"/>
      <c r="W43" s="229"/>
      <c r="X43" s="229"/>
      <c r="Z43" s="229"/>
      <c r="AA43" s="236">
        <v>5.0134305028313584</v>
      </c>
      <c r="AB43" s="229"/>
      <c r="AC43" s="229"/>
      <c r="AD43" s="229"/>
      <c r="AF43" s="229"/>
      <c r="AG43" s="236">
        <v>6.0782106855659581</v>
      </c>
      <c r="AH43" s="229"/>
      <c r="AI43" s="229"/>
      <c r="AJ43" s="229"/>
      <c r="AL43" s="229"/>
      <c r="AM43" s="236">
        <v>6.4702676883893071</v>
      </c>
      <c r="AN43" s="229"/>
      <c r="AO43" s="229"/>
      <c r="AP43" s="229"/>
      <c r="AR43" s="229"/>
      <c r="AS43" s="236">
        <v>4.7166172832580111</v>
      </c>
      <c r="AT43" s="229"/>
      <c r="AU43" s="229"/>
      <c r="AV43" s="229"/>
    </row>
    <row r="44" spans="1:48">
      <c r="A44" s="242" t="s">
        <v>359</v>
      </c>
      <c r="B44" s="229"/>
      <c r="C44" s="236">
        <v>1.1697057818853398</v>
      </c>
      <c r="D44" s="229"/>
      <c r="E44" s="229"/>
      <c r="F44" s="229"/>
      <c r="H44" s="229"/>
      <c r="I44" s="236">
        <v>1.1489321369559864</v>
      </c>
      <c r="J44" s="229"/>
      <c r="K44" s="229"/>
      <c r="L44" s="229"/>
      <c r="N44" s="229"/>
      <c r="O44" s="236">
        <v>1.029427363181233</v>
      </c>
      <c r="P44" s="229"/>
      <c r="Q44" s="229"/>
      <c r="R44" s="229"/>
      <c r="T44" s="229"/>
      <c r="U44" s="236">
        <v>0.93179560957629726</v>
      </c>
      <c r="V44" s="229"/>
      <c r="W44" s="229"/>
      <c r="X44" s="229"/>
      <c r="Z44" s="229"/>
      <c r="AA44" s="236">
        <v>0.90996458700477445</v>
      </c>
      <c r="AB44" s="229"/>
      <c r="AC44" s="229"/>
      <c r="AD44" s="229"/>
      <c r="AF44" s="229"/>
      <c r="AG44" s="236">
        <v>0.97229117251538721</v>
      </c>
      <c r="AH44" s="229"/>
      <c r="AI44" s="229"/>
      <c r="AJ44" s="229"/>
      <c r="AL44" s="229"/>
      <c r="AM44" s="236">
        <v>0.89570268411549103</v>
      </c>
      <c r="AN44" s="229"/>
      <c r="AO44" s="229"/>
      <c r="AP44" s="229"/>
      <c r="AR44" s="229"/>
      <c r="AS44" s="236">
        <v>0.85079046633515887</v>
      </c>
      <c r="AT44" s="229"/>
      <c r="AU44" s="229"/>
      <c r="AV44" s="229"/>
    </row>
    <row r="45" spans="1:48">
      <c r="A45" s="242" t="s">
        <v>360</v>
      </c>
      <c r="B45" s="229" t="s">
        <v>361</v>
      </c>
      <c r="C45" s="236">
        <v>0.97694702657343635</v>
      </c>
      <c r="D45" s="229"/>
      <c r="E45" s="229"/>
      <c r="F45" s="229"/>
      <c r="H45" s="229" t="s">
        <v>361</v>
      </c>
      <c r="I45" s="236">
        <v>1.0017127690298069</v>
      </c>
      <c r="J45" s="229"/>
      <c r="K45" s="229"/>
      <c r="L45" s="229"/>
      <c r="N45" s="229" t="s">
        <v>361</v>
      </c>
      <c r="O45" s="236">
        <v>0.96681099304646834</v>
      </c>
      <c r="P45" s="229"/>
      <c r="Q45" s="229"/>
      <c r="R45" s="229"/>
      <c r="T45" s="229" t="s">
        <v>361</v>
      </c>
      <c r="U45" s="236">
        <v>0.89892380638741254</v>
      </c>
      <c r="V45" s="229"/>
      <c r="W45" s="229"/>
      <c r="X45" s="229"/>
      <c r="Z45" s="229" t="s">
        <v>361</v>
      </c>
      <c r="AA45" s="236">
        <v>0.91302442242823101</v>
      </c>
      <c r="AB45" s="229"/>
      <c r="AC45" s="229"/>
      <c r="AD45" s="229"/>
      <c r="AF45" s="229" t="s">
        <v>361</v>
      </c>
      <c r="AG45" s="236">
        <v>1.0287261858831152</v>
      </c>
      <c r="AH45" s="229"/>
      <c r="AI45" s="229"/>
      <c r="AJ45" s="229"/>
      <c r="AL45" s="229" t="s">
        <v>361</v>
      </c>
      <c r="AM45" s="236">
        <v>1.0177073604924285</v>
      </c>
      <c r="AN45" s="229"/>
      <c r="AO45" s="229"/>
      <c r="AP45" s="229"/>
      <c r="AR45" s="229" t="s">
        <v>361</v>
      </c>
      <c r="AS45" s="236">
        <v>0.85277355732226867</v>
      </c>
      <c r="AT45" s="229"/>
      <c r="AU45" s="229"/>
      <c r="AV45" s="229"/>
    </row>
    <row r="46" spans="1:48">
      <c r="A46" s="242" t="s">
        <v>362</v>
      </c>
      <c r="B46" s="229" t="s">
        <v>361</v>
      </c>
      <c r="C46" s="236">
        <v>2.0083450920216621</v>
      </c>
      <c r="D46" s="229"/>
      <c r="E46" s="229"/>
      <c r="F46" s="229"/>
      <c r="H46" s="229" t="s">
        <v>361</v>
      </c>
      <c r="I46" s="236">
        <v>2.0314124359451742</v>
      </c>
      <c r="J46" s="229"/>
      <c r="K46" s="229"/>
      <c r="L46" s="229"/>
      <c r="N46" s="229" t="s">
        <v>361</v>
      </c>
      <c r="O46" s="236">
        <v>2.057356740654972</v>
      </c>
      <c r="P46" s="229"/>
      <c r="Q46" s="229"/>
      <c r="R46" s="229"/>
      <c r="T46" s="229" t="s">
        <v>361</v>
      </c>
      <c r="U46" s="236">
        <v>1.9748911247814336</v>
      </c>
      <c r="V46" s="229"/>
      <c r="W46" s="229"/>
      <c r="X46" s="229"/>
      <c r="Z46" s="229" t="s">
        <v>361</v>
      </c>
      <c r="AA46" s="236">
        <v>1.9809644553709378</v>
      </c>
      <c r="AB46" s="229"/>
      <c r="AC46" s="229"/>
      <c r="AD46" s="229"/>
      <c r="AF46" s="229" t="s">
        <v>361</v>
      </c>
      <c r="AG46" s="236">
        <v>2.2890566444412359</v>
      </c>
      <c r="AH46" s="229"/>
      <c r="AI46" s="229"/>
      <c r="AJ46" s="229"/>
      <c r="AL46" s="229" t="s">
        <v>361</v>
      </c>
      <c r="AM46" s="236">
        <v>2.3498949532936728</v>
      </c>
      <c r="AN46" s="229"/>
      <c r="AO46" s="229"/>
      <c r="AP46" s="229"/>
      <c r="AR46" s="229" t="s">
        <v>361</v>
      </c>
      <c r="AS46" s="236">
        <v>1.8574196458533434</v>
      </c>
      <c r="AT46" s="229"/>
      <c r="AU46" s="229"/>
      <c r="AV46" s="229"/>
    </row>
    <row r="47" spans="1:48">
      <c r="A47" s="241" t="s">
        <v>363</v>
      </c>
      <c r="B47" s="229"/>
      <c r="C47" s="236"/>
      <c r="D47" s="229"/>
      <c r="E47" s="229">
        <v>202.62199613333337</v>
      </c>
      <c r="F47" s="229"/>
      <c r="H47" s="229"/>
      <c r="I47" s="236"/>
      <c r="J47" s="229"/>
      <c r="K47" s="229">
        <v>216.53591153333335</v>
      </c>
      <c r="L47" s="229"/>
      <c r="N47" s="229"/>
      <c r="O47" s="236"/>
      <c r="P47" s="229"/>
      <c r="Q47" s="229">
        <v>215.79233133333335</v>
      </c>
      <c r="R47" s="229"/>
      <c r="T47" s="229"/>
      <c r="U47" s="236"/>
      <c r="V47" s="229"/>
      <c r="W47" s="229">
        <v>213.94765333333331</v>
      </c>
      <c r="X47" s="229"/>
      <c r="Z47" s="229"/>
      <c r="AA47" s="236"/>
      <c r="AB47" s="229"/>
      <c r="AC47" s="229">
        <v>208.83837333333335</v>
      </c>
      <c r="AD47" s="229"/>
      <c r="AF47" s="229"/>
      <c r="AG47" s="236"/>
      <c r="AH47" s="229"/>
      <c r="AI47" s="229">
        <v>211.95870666666667</v>
      </c>
      <c r="AJ47" s="229"/>
      <c r="AL47" s="229"/>
      <c r="AM47" s="236"/>
      <c r="AN47" s="229"/>
      <c r="AO47" s="229">
        <v>219.92857333333333</v>
      </c>
      <c r="AP47" s="229"/>
      <c r="AR47" s="229"/>
      <c r="AS47" s="236"/>
      <c r="AT47" s="229"/>
      <c r="AU47" s="229">
        <v>159.22309333333334</v>
      </c>
      <c r="AV47" s="229"/>
    </row>
    <row r="48" spans="1:48">
      <c r="A48" s="241" t="s">
        <v>364</v>
      </c>
      <c r="B48" s="229"/>
      <c r="C48" s="236"/>
      <c r="D48" s="229"/>
      <c r="E48" s="229">
        <v>16.28444286021718</v>
      </c>
      <c r="F48" s="229"/>
      <c r="H48" s="229"/>
      <c r="I48" s="236"/>
      <c r="J48" s="229"/>
      <c r="K48" s="229">
        <v>19.217904958014852</v>
      </c>
      <c r="L48" s="229"/>
      <c r="N48" s="229"/>
      <c r="O48" s="236"/>
      <c r="P48" s="229"/>
      <c r="Q48" s="229">
        <v>21.012671899999997</v>
      </c>
      <c r="R48" s="229"/>
      <c r="T48" s="229"/>
      <c r="U48" s="236"/>
      <c r="V48" s="229"/>
      <c r="W48" s="229">
        <v>20.389442276433609</v>
      </c>
      <c r="X48" s="229"/>
      <c r="Z48" s="229"/>
      <c r="AA48" s="236"/>
      <c r="AB48" s="229"/>
      <c r="AC48" s="229">
        <v>21.429287431628282</v>
      </c>
      <c r="AD48" s="229"/>
      <c r="AF48" s="229"/>
      <c r="AG48" s="236"/>
      <c r="AH48" s="229"/>
      <c r="AI48" s="229">
        <v>18.856775653097348</v>
      </c>
      <c r="AJ48" s="229"/>
      <c r="AL48" s="229"/>
      <c r="AM48" s="236"/>
      <c r="AN48" s="229"/>
      <c r="AO48" s="229">
        <v>21.386856263613883</v>
      </c>
      <c r="AP48" s="229"/>
      <c r="AR48" s="229"/>
      <c r="AS48" s="236"/>
      <c r="AT48" s="229"/>
      <c r="AU48" s="229">
        <v>23.786345382842473</v>
      </c>
      <c r="AV48" s="229"/>
    </row>
    <row r="49" spans="1:48">
      <c r="A49" s="237" t="s">
        <v>365</v>
      </c>
      <c r="B49" s="236">
        <v>0</v>
      </c>
      <c r="C49" s="236">
        <v>0</v>
      </c>
      <c r="D49" s="236">
        <v>0</v>
      </c>
      <c r="E49" s="236">
        <v>0</v>
      </c>
      <c r="F49" s="229"/>
      <c r="H49" s="236">
        <v>0</v>
      </c>
      <c r="I49" s="236">
        <v>0</v>
      </c>
      <c r="J49" s="236">
        <v>0</v>
      </c>
      <c r="K49" s="236">
        <v>0</v>
      </c>
      <c r="L49" s="229"/>
      <c r="N49" s="236">
        <v>0</v>
      </c>
      <c r="O49" s="236">
        <v>0</v>
      </c>
      <c r="P49" s="236">
        <v>0</v>
      </c>
      <c r="Q49" s="236">
        <v>0</v>
      </c>
      <c r="R49" s="229"/>
      <c r="T49" s="236">
        <v>0</v>
      </c>
      <c r="U49" s="236">
        <v>0</v>
      </c>
      <c r="V49" s="236">
        <v>0</v>
      </c>
      <c r="W49" s="236">
        <v>0</v>
      </c>
      <c r="X49" s="229"/>
      <c r="Z49" s="236">
        <v>0</v>
      </c>
      <c r="AA49" s="236">
        <v>0</v>
      </c>
      <c r="AB49" s="236">
        <v>0</v>
      </c>
      <c r="AC49" s="236">
        <v>0</v>
      </c>
      <c r="AD49" s="229"/>
      <c r="AF49" s="236">
        <v>0</v>
      </c>
      <c r="AG49" s="236">
        <v>0</v>
      </c>
      <c r="AH49" s="236">
        <v>0</v>
      </c>
      <c r="AI49" s="236">
        <v>0</v>
      </c>
      <c r="AJ49" s="229"/>
      <c r="AL49" s="236">
        <v>0</v>
      </c>
      <c r="AM49" s="236">
        <v>0</v>
      </c>
      <c r="AN49" s="236">
        <v>0</v>
      </c>
      <c r="AO49" s="236">
        <v>0</v>
      </c>
      <c r="AP49" s="229"/>
      <c r="AR49" s="236">
        <v>0</v>
      </c>
      <c r="AS49" s="236">
        <v>0</v>
      </c>
      <c r="AT49" s="236">
        <v>0</v>
      </c>
      <c r="AU49" s="236">
        <v>0</v>
      </c>
      <c r="AV49" s="229"/>
    </row>
    <row r="50" spans="1:48">
      <c r="A50" s="237" t="s">
        <v>366</v>
      </c>
      <c r="B50" s="232">
        <v>1.6183083488756045</v>
      </c>
      <c r="C50" s="232">
        <v>4.1956142378256407E-2</v>
      </c>
      <c r="D50" s="232">
        <v>1.4984336563663003</v>
      </c>
      <c r="E50" s="232"/>
      <c r="F50" s="232">
        <v>55.142358554279852</v>
      </c>
      <c r="H50" s="232">
        <v>1.8313082586841014</v>
      </c>
      <c r="I50" s="232">
        <v>4.7478362262180419E-2</v>
      </c>
      <c r="J50" s="232">
        <v>1.6956557950778717</v>
      </c>
      <c r="K50" s="232"/>
      <c r="L50" s="232">
        <v>62.400133258865672</v>
      </c>
      <c r="N50" s="232">
        <v>1.7508827820384292</v>
      </c>
      <c r="O50" s="232">
        <v>4.5393257312107423E-2</v>
      </c>
      <c r="P50" s="232">
        <v>1.6211877611466934</v>
      </c>
      <c r="Q50" s="232"/>
      <c r="R50" s="232">
        <v>59.65970961019832</v>
      </c>
      <c r="T50" s="232">
        <v>1.5888024829994924</v>
      </c>
      <c r="U50" s="232">
        <v>4.1191175485172031E-2</v>
      </c>
      <c r="V50" s="232">
        <v>1.471113410184715</v>
      </c>
      <c r="W50" s="232"/>
      <c r="X50" s="232">
        <v>54.136973494797523</v>
      </c>
      <c r="Z50" s="232">
        <v>1.5669567644563007</v>
      </c>
      <c r="AA50" s="232">
        <v>4.0624805004422615E-2</v>
      </c>
      <c r="AB50" s="232">
        <v>1.450885893015093</v>
      </c>
      <c r="AC50" s="232"/>
      <c r="AD50" s="232">
        <v>53.392600862955433</v>
      </c>
      <c r="AF50" s="232">
        <v>1.5635800859290452</v>
      </c>
      <c r="AG50" s="232">
        <v>4.0537261487049329E-2</v>
      </c>
      <c r="AH50" s="232">
        <v>1.4477593388231902</v>
      </c>
      <c r="AI50" s="232"/>
      <c r="AJ50" s="232">
        <v>53.27754366869339</v>
      </c>
      <c r="AL50" s="232">
        <v>1.5997331022542232</v>
      </c>
      <c r="AM50" s="232">
        <v>4.1474561910294673E-2</v>
      </c>
      <c r="AN50" s="232">
        <v>1.4812343539390953</v>
      </c>
      <c r="AO50" s="232"/>
      <c r="AP50" s="232">
        <v>54.509424224958707</v>
      </c>
      <c r="AR50" s="232">
        <v>1.5534462680932826</v>
      </c>
      <c r="AS50" s="232">
        <v>4.061309225667642E-2</v>
      </c>
      <c r="AT50" s="232">
        <v>1.4504675805955862</v>
      </c>
      <c r="AU50" s="232"/>
      <c r="AV50" s="232">
        <v>53.377206965917551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3128-8174-479A-BF16-0D8415AC4538}">
  <sheetPr>
    <tabColor rgb="FFFFFF00"/>
  </sheetPr>
  <dimension ref="A1:BB14"/>
  <sheetViews>
    <sheetView workbookViewId="0"/>
  </sheetViews>
  <sheetFormatPr defaultRowHeight="14.5"/>
  <cols>
    <col min="1" max="1" width="5" bestFit="1" customWidth="1"/>
    <col min="2" max="2" width="9.26953125" bestFit="1" customWidth="1"/>
    <col min="3" max="3" width="46" bestFit="1" customWidth="1"/>
    <col min="4" max="4" width="9" bestFit="1" customWidth="1"/>
    <col min="5" max="5" width="8.90625" bestFit="1" customWidth="1"/>
    <col min="10" max="10" width="57.08984375" bestFit="1" customWidth="1"/>
    <col min="17" max="17" width="57.08984375" bestFit="1" customWidth="1"/>
    <col min="24" max="24" width="57.08984375" bestFit="1" customWidth="1"/>
    <col min="30" max="30" width="8.7265625" customWidth="1"/>
    <col min="38" max="38" width="57.08984375" bestFit="1" customWidth="1"/>
    <col min="45" max="45" width="57.08984375" bestFit="1" customWidth="1"/>
    <col min="52" max="52" width="57.08984375" bestFit="1" customWidth="1"/>
  </cols>
  <sheetData>
    <row r="1" spans="1:54">
      <c r="A1" s="243">
        <v>2010</v>
      </c>
      <c r="H1" s="243">
        <v>2012</v>
      </c>
      <c r="I1" s="243"/>
      <c r="J1" s="243"/>
      <c r="K1" s="243"/>
      <c r="L1" s="243"/>
      <c r="M1" s="243"/>
      <c r="N1" s="243"/>
      <c r="O1" s="243">
        <v>2014</v>
      </c>
      <c r="P1" s="243"/>
      <c r="Q1" s="243"/>
      <c r="R1" s="243"/>
      <c r="S1" s="243"/>
      <c r="T1" s="243"/>
      <c r="U1" s="243"/>
      <c r="V1" s="243">
        <v>2016</v>
      </c>
      <c r="W1" s="243"/>
      <c r="X1" s="243"/>
      <c r="Y1" s="243"/>
      <c r="Z1" s="243"/>
      <c r="AA1" s="243"/>
      <c r="AB1" s="243"/>
      <c r="AC1" s="243">
        <v>2018</v>
      </c>
      <c r="AD1" s="243"/>
      <c r="AE1" s="243"/>
      <c r="AF1" s="243"/>
      <c r="AG1" s="243"/>
      <c r="AH1" s="243"/>
      <c r="AI1" s="243"/>
      <c r="AJ1" s="243">
        <v>2020</v>
      </c>
      <c r="AK1" s="243"/>
      <c r="AL1" s="243"/>
      <c r="AM1" s="243"/>
      <c r="AN1" s="243"/>
      <c r="AO1" s="243"/>
      <c r="AP1" s="243"/>
      <c r="AQ1" s="243">
        <v>2021</v>
      </c>
      <c r="AR1" s="243"/>
      <c r="AS1" s="243"/>
      <c r="AT1" s="243"/>
      <c r="AU1" s="243"/>
      <c r="AV1" s="243"/>
      <c r="AW1" s="243"/>
      <c r="AX1" s="243">
        <v>2022</v>
      </c>
    </row>
    <row r="2" spans="1:54" ht="15" thickBot="1"/>
    <row r="3" spans="1:54" ht="65.5" thickBot="1">
      <c r="A3" s="249" t="s">
        <v>371</v>
      </c>
      <c r="B3" s="250" t="s">
        <v>372</v>
      </c>
      <c r="C3" s="250" t="s">
        <v>373</v>
      </c>
      <c r="D3" s="250" t="s">
        <v>374</v>
      </c>
      <c r="E3" s="244" t="s">
        <v>375</v>
      </c>
      <c r="H3" s="249" t="s">
        <v>371</v>
      </c>
      <c r="I3" s="250" t="s">
        <v>372</v>
      </c>
      <c r="J3" s="250" t="s">
        <v>373</v>
      </c>
      <c r="K3" s="250" t="s">
        <v>374</v>
      </c>
      <c r="L3" s="244" t="s">
        <v>398</v>
      </c>
      <c r="M3" s="275"/>
      <c r="N3" s="275"/>
      <c r="O3" s="249" t="s">
        <v>371</v>
      </c>
      <c r="P3" s="250" t="s">
        <v>372</v>
      </c>
      <c r="Q3" s="250" t="s">
        <v>373</v>
      </c>
      <c r="R3" s="250" t="s">
        <v>374</v>
      </c>
      <c r="S3" s="244" t="s">
        <v>399</v>
      </c>
      <c r="T3" s="275"/>
      <c r="U3" s="275"/>
      <c r="V3" s="249" t="s">
        <v>371</v>
      </c>
      <c r="W3" s="250" t="s">
        <v>372</v>
      </c>
      <c r="X3" s="250" t="s">
        <v>373</v>
      </c>
      <c r="Y3" s="250" t="s">
        <v>374</v>
      </c>
      <c r="Z3" s="244" t="s">
        <v>400</v>
      </c>
      <c r="AA3" s="275"/>
      <c r="AB3" s="275"/>
      <c r="AC3" s="249" t="s">
        <v>371</v>
      </c>
      <c r="AD3" s="250" t="s">
        <v>372</v>
      </c>
      <c r="AE3" s="250" t="s">
        <v>373</v>
      </c>
      <c r="AF3" s="250" t="s">
        <v>374</v>
      </c>
      <c r="AG3" s="244" t="s">
        <v>401</v>
      </c>
      <c r="AH3" s="275"/>
      <c r="AI3" s="275"/>
      <c r="AJ3" s="249" t="s">
        <v>371</v>
      </c>
      <c r="AK3" s="250" t="s">
        <v>372</v>
      </c>
      <c r="AL3" s="250" t="s">
        <v>373</v>
      </c>
      <c r="AM3" s="250" t="s">
        <v>374</v>
      </c>
      <c r="AN3" s="244" t="s">
        <v>402</v>
      </c>
      <c r="AO3" s="275"/>
      <c r="AP3" s="275"/>
      <c r="AQ3" s="249" t="s">
        <v>371</v>
      </c>
      <c r="AR3" s="250" t="s">
        <v>372</v>
      </c>
      <c r="AS3" s="250" t="s">
        <v>373</v>
      </c>
      <c r="AT3" s="250" t="s">
        <v>374</v>
      </c>
      <c r="AU3" s="244" t="s">
        <v>403</v>
      </c>
      <c r="AV3" s="275"/>
      <c r="AW3" s="275"/>
      <c r="AX3" s="249" t="s">
        <v>371</v>
      </c>
      <c r="AY3" s="250" t="s">
        <v>372</v>
      </c>
      <c r="AZ3" s="250" t="s">
        <v>373</v>
      </c>
      <c r="BA3" s="250" t="s">
        <v>374</v>
      </c>
      <c r="BB3" s="244" t="s">
        <v>404</v>
      </c>
    </row>
    <row r="4" spans="1:54" ht="15" thickBot="1">
      <c r="A4" s="251"/>
      <c r="B4" s="252"/>
      <c r="C4" s="252" t="s">
        <v>376</v>
      </c>
      <c r="D4" s="252"/>
      <c r="E4" s="259">
        <v>15005.159876323316</v>
      </c>
      <c r="H4" s="263"/>
      <c r="I4" s="264"/>
      <c r="J4" s="264" t="s">
        <v>376</v>
      </c>
      <c r="K4" s="264"/>
      <c r="L4" s="265">
        <v>14810.873297667318</v>
      </c>
      <c r="O4" s="263"/>
      <c r="P4" s="264"/>
      <c r="Q4" s="264" t="s">
        <v>376</v>
      </c>
      <c r="R4" s="264"/>
      <c r="S4" s="265">
        <v>13635.929992400164</v>
      </c>
      <c r="V4" s="263"/>
      <c r="W4" s="264"/>
      <c r="X4" s="264" t="s">
        <v>376</v>
      </c>
      <c r="Y4" s="264"/>
      <c r="Z4" s="265">
        <v>12570.334997697671</v>
      </c>
      <c r="AC4" s="263"/>
      <c r="AD4" s="264"/>
      <c r="AE4" s="264" t="s">
        <v>376</v>
      </c>
      <c r="AF4" s="264"/>
      <c r="AG4" s="265">
        <v>12377.807188497558</v>
      </c>
      <c r="AJ4" s="263"/>
      <c r="AK4" s="264"/>
      <c r="AL4" s="264" t="s">
        <v>376</v>
      </c>
      <c r="AM4" s="264"/>
      <c r="AN4" s="265">
        <v>13377.295700987494</v>
      </c>
      <c r="AQ4" s="263"/>
      <c r="AR4" s="264"/>
      <c r="AS4" s="264" t="s">
        <v>376</v>
      </c>
      <c r="AT4" s="264"/>
      <c r="AU4" s="265">
        <v>12930.590171730746</v>
      </c>
      <c r="AX4" s="263"/>
      <c r="AY4" s="264"/>
      <c r="AZ4" s="264" t="s">
        <v>376</v>
      </c>
      <c r="BA4" s="264"/>
      <c r="BB4" s="265">
        <v>11728.277172288739</v>
      </c>
    </row>
    <row r="5" spans="1:54" ht="25">
      <c r="A5" s="253" t="s">
        <v>377</v>
      </c>
      <c r="B5" s="247" t="s">
        <v>378</v>
      </c>
      <c r="C5" s="247" t="s">
        <v>379</v>
      </c>
      <c r="D5" s="254" t="s">
        <v>367</v>
      </c>
      <c r="E5" s="260">
        <v>10238.480860645806</v>
      </c>
      <c r="H5" s="266" t="s">
        <v>377</v>
      </c>
      <c r="I5" s="245" t="s">
        <v>378</v>
      </c>
      <c r="J5" s="245" t="s">
        <v>379</v>
      </c>
      <c r="K5" s="267" t="s">
        <v>367</v>
      </c>
      <c r="L5" s="268">
        <v>10084.649101840523</v>
      </c>
      <c r="O5" s="266" t="s">
        <v>377</v>
      </c>
      <c r="P5" s="245" t="s">
        <v>378</v>
      </c>
      <c r="Q5" s="245" t="s">
        <v>379</v>
      </c>
      <c r="R5" s="267" t="s">
        <v>367</v>
      </c>
      <c r="S5" s="268">
        <v>8852.2201753286299</v>
      </c>
      <c r="V5" s="266" t="s">
        <v>377</v>
      </c>
      <c r="W5" s="245" t="s">
        <v>378</v>
      </c>
      <c r="X5" s="245" t="s">
        <v>379</v>
      </c>
      <c r="Y5" s="267" t="s">
        <v>367</v>
      </c>
      <c r="Z5" s="268">
        <v>8037.3694029311855</v>
      </c>
      <c r="AC5" s="266" t="s">
        <v>377</v>
      </c>
      <c r="AD5" s="245" t="s">
        <v>378</v>
      </c>
      <c r="AE5" s="245" t="s">
        <v>379</v>
      </c>
      <c r="AF5" s="267" t="s">
        <v>367</v>
      </c>
      <c r="AG5" s="268">
        <v>7891.6240362016451</v>
      </c>
      <c r="AJ5" s="266" t="s">
        <v>377</v>
      </c>
      <c r="AK5" s="245" t="s">
        <v>378</v>
      </c>
      <c r="AL5" s="245" t="s">
        <v>379</v>
      </c>
      <c r="AM5" s="267" t="s">
        <v>367</v>
      </c>
      <c r="AN5" s="268">
        <v>8481.4203241301893</v>
      </c>
      <c r="AQ5" s="266" t="s">
        <v>377</v>
      </c>
      <c r="AR5" s="245" t="s">
        <v>378</v>
      </c>
      <c r="AS5" s="245" t="s">
        <v>379</v>
      </c>
      <c r="AT5" s="267" t="s">
        <v>367</v>
      </c>
      <c r="AU5" s="268">
        <v>7822.4245639323435</v>
      </c>
      <c r="AX5" s="266" t="s">
        <v>377</v>
      </c>
      <c r="AY5" s="245" t="s">
        <v>378</v>
      </c>
      <c r="AZ5" s="245" t="s">
        <v>379</v>
      </c>
      <c r="BA5" s="267" t="s">
        <v>367</v>
      </c>
      <c r="BB5" s="268">
        <v>7409.7266413990455</v>
      </c>
    </row>
    <row r="6" spans="1:54" ht="25">
      <c r="A6" s="253" t="s">
        <v>380</v>
      </c>
      <c r="B6" s="247" t="s">
        <v>378</v>
      </c>
      <c r="C6" s="247" t="s">
        <v>381</v>
      </c>
      <c r="D6" s="254" t="s">
        <v>367</v>
      </c>
      <c r="E6" s="261">
        <v>468.91615452378852</v>
      </c>
      <c r="H6" s="266" t="s">
        <v>380</v>
      </c>
      <c r="I6" s="245" t="s">
        <v>378</v>
      </c>
      <c r="J6" s="245" t="s">
        <v>381</v>
      </c>
      <c r="K6" s="267" t="s">
        <v>367</v>
      </c>
      <c r="L6" s="269">
        <v>441.48424825940157</v>
      </c>
      <c r="O6" s="266" t="s">
        <v>380</v>
      </c>
      <c r="P6" s="245" t="s">
        <v>378</v>
      </c>
      <c r="Q6" s="245" t="s">
        <v>381</v>
      </c>
      <c r="R6" s="267" t="s">
        <v>367</v>
      </c>
      <c r="S6" s="269">
        <v>456.28312972849682</v>
      </c>
      <c r="V6" s="266" t="s">
        <v>380</v>
      </c>
      <c r="W6" s="245" t="s">
        <v>378</v>
      </c>
      <c r="X6" s="245" t="s">
        <v>381</v>
      </c>
      <c r="Y6" s="267" t="s">
        <v>367</v>
      </c>
      <c r="Z6" s="269">
        <v>412.20042661473428</v>
      </c>
      <c r="AC6" s="266" t="s">
        <v>380</v>
      </c>
      <c r="AD6" s="245" t="s">
        <v>378</v>
      </c>
      <c r="AE6" s="245" t="s">
        <v>381</v>
      </c>
      <c r="AF6" s="267" t="s">
        <v>367</v>
      </c>
      <c r="AG6" s="269">
        <v>443.09104086412026</v>
      </c>
      <c r="AJ6" s="266" t="s">
        <v>380</v>
      </c>
      <c r="AK6" s="245" t="s">
        <v>378</v>
      </c>
      <c r="AL6" s="245" t="s">
        <v>381</v>
      </c>
      <c r="AM6" s="267" t="s">
        <v>367</v>
      </c>
      <c r="AN6" s="269">
        <v>382.65882832922574</v>
      </c>
      <c r="AQ6" s="266" t="s">
        <v>380</v>
      </c>
      <c r="AR6" s="245" t="s">
        <v>378</v>
      </c>
      <c r="AS6" s="245" t="s">
        <v>381</v>
      </c>
      <c r="AT6" s="267" t="s">
        <v>367</v>
      </c>
      <c r="AU6" s="269">
        <v>357.72174666741472</v>
      </c>
      <c r="AX6" s="266" t="s">
        <v>380</v>
      </c>
      <c r="AY6" s="245" t="s">
        <v>378</v>
      </c>
      <c r="AZ6" s="245" t="s">
        <v>381</v>
      </c>
      <c r="BA6" s="267" t="s">
        <v>367</v>
      </c>
      <c r="BB6" s="269">
        <v>331.18138188665284</v>
      </c>
    </row>
    <row r="7" spans="1:54" ht="25">
      <c r="A7" s="253" t="s">
        <v>380</v>
      </c>
      <c r="B7" s="247" t="s">
        <v>378</v>
      </c>
      <c r="C7" s="247" t="s">
        <v>382</v>
      </c>
      <c r="D7" s="254" t="s">
        <v>368</v>
      </c>
      <c r="E7" s="261">
        <v>261.4263233761103</v>
      </c>
      <c r="H7" s="266" t="s">
        <v>380</v>
      </c>
      <c r="I7" s="245" t="s">
        <v>378</v>
      </c>
      <c r="J7" s="245" t="s">
        <v>382</v>
      </c>
      <c r="K7" s="267" t="s">
        <v>368</v>
      </c>
      <c r="L7" s="269">
        <v>254.41036704060878</v>
      </c>
      <c r="O7" s="266" t="s">
        <v>380</v>
      </c>
      <c r="P7" s="245" t="s">
        <v>378</v>
      </c>
      <c r="Q7" s="245" t="s">
        <v>382</v>
      </c>
      <c r="R7" s="267" t="s">
        <v>368</v>
      </c>
      <c r="S7" s="269">
        <v>273.57101958457685</v>
      </c>
      <c r="V7" s="266" t="s">
        <v>380</v>
      </c>
      <c r="W7" s="245" t="s">
        <v>378</v>
      </c>
      <c r="X7" s="245" t="s">
        <v>382</v>
      </c>
      <c r="Y7" s="267" t="s">
        <v>368</v>
      </c>
      <c r="Z7" s="269">
        <v>257.56214975857534</v>
      </c>
      <c r="AC7" s="266" t="s">
        <v>380</v>
      </c>
      <c r="AD7" s="245" t="s">
        <v>378</v>
      </c>
      <c r="AE7" s="245" t="s">
        <v>382</v>
      </c>
      <c r="AF7" s="267" t="s">
        <v>368</v>
      </c>
      <c r="AG7" s="269">
        <v>271.80578573792371</v>
      </c>
      <c r="AJ7" s="266" t="s">
        <v>380</v>
      </c>
      <c r="AK7" s="245" t="s">
        <v>378</v>
      </c>
      <c r="AL7" s="245" t="s">
        <v>382</v>
      </c>
      <c r="AM7" s="267" t="s">
        <v>368</v>
      </c>
      <c r="AN7" s="269">
        <v>243.32286094492798</v>
      </c>
      <c r="AQ7" s="266" t="s">
        <v>380</v>
      </c>
      <c r="AR7" s="245" t="s">
        <v>378</v>
      </c>
      <c r="AS7" s="245" t="s">
        <v>382</v>
      </c>
      <c r="AT7" s="267" t="s">
        <v>368</v>
      </c>
      <c r="AU7" s="269">
        <v>241.52624193098612</v>
      </c>
      <c r="AX7" s="266" t="s">
        <v>380</v>
      </c>
      <c r="AY7" s="245" t="s">
        <v>378</v>
      </c>
      <c r="AZ7" s="245" t="s">
        <v>382</v>
      </c>
      <c r="BA7" s="267" t="s">
        <v>368</v>
      </c>
      <c r="BB7" s="269">
        <v>238.15594491939143</v>
      </c>
    </row>
    <row r="8" spans="1:54" ht="25">
      <c r="A8" s="253" t="s">
        <v>383</v>
      </c>
      <c r="B8" s="247" t="s">
        <v>378</v>
      </c>
      <c r="C8" s="247" t="s">
        <v>384</v>
      </c>
      <c r="D8" s="254" t="s">
        <v>368</v>
      </c>
      <c r="E8" s="261">
        <v>89.54833433789922</v>
      </c>
      <c r="H8" s="266" t="s">
        <v>383</v>
      </c>
      <c r="I8" s="245" t="s">
        <v>378</v>
      </c>
      <c r="J8" s="245" t="s">
        <v>384</v>
      </c>
      <c r="K8" s="267" t="s">
        <v>368</v>
      </c>
      <c r="L8" s="269">
        <v>86.673852359849818</v>
      </c>
      <c r="O8" s="266" t="s">
        <v>383</v>
      </c>
      <c r="P8" s="245" t="s">
        <v>378</v>
      </c>
      <c r="Q8" s="245" t="s">
        <v>384</v>
      </c>
      <c r="R8" s="267" t="s">
        <v>368</v>
      </c>
      <c r="S8" s="269">
        <v>92.821717671079156</v>
      </c>
      <c r="V8" s="266" t="s">
        <v>383</v>
      </c>
      <c r="W8" s="245" t="s">
        <v>378</v>
      </c>
      <c r="X8" s="245" t="s">
        <v>384</v>
      </c>
      <c r="Y8" s="267" t="s">
        <v>368</v>
      </c>
      <c r="Z8" s="269">
        <v>86.956496788621394</v>
      </c>
      <c r="AC8" s="266" t="s">
        <v>383</v>
      </c>
      <c r="AD8" s="245" t="s">
        <v>378</v>
      </c>
      <c r="AE8" s="245" t="s">
        <v>384</v>
      </c>
      <c r="AF8" s="267" t="s">
        <v>368</v>
      </c>
      <c r="AG8" s="269">
        <v>93.217995223341987</v>
      </c>
      <c r="AJ8" s="266" t="s">
        <v>383</v>
      </c>
      <c r="AK8" s="245" t="s">
        <v>378</v>
      </c>
      <c r="AL8" s="245" t="s">
        <v>384</v>
      </c>
      <c r="AM8" s="267" t="s">
        <v>368</v>
      </c>
      <c r="AN8" s="269">
        <v>81.733086635441566</v>
      </c>
      <c r="AQ8" s="266" t="s">
        <v>383</v>
      </c>
      <c r="AR8" s="245" t="s">
        <v>378</v>
      </c>
      <c r="AS8" s="245" t="s">
        <v>384</v>
      </c>
      <c r="AT8" s="267" t="s">
        <v>368</v>
      </c>
      <c r="AU8" s="269">
        <v>79.993649382027371</v>
      </c>
      <c r="AX8" s="266" t="s">
        <v>383</v>
      </c>
      <c r="AY8" s="245" t="s">
        <v>378</v>
      </c>
      <c r="AZ8" s="245" t="s">
        <v>384</v>
      </c>
      <c r="BA8" s="267" t="s">
        <v>368</v>
      </c>
      <c r="BB8" s="269">
        <v>78.431433846377189</v>
      </c>
    </row>
    <row r="9" spans="1:54" ht="25">
      <c r="A9" s="255" t="s">
        <v>385</v>
      </c>
      <c r="B9" s="247" t="s">
        <v>378</v>
      </c>
      <c r="C9" s="256" t="s">
        <v>386</v>
      </c>
      <c r="D9" s="254" t="s">
        <v>370</v>
      </c>
      <c r="E9" s="261">
        <v>16.28444286021718</v>
      </c>
      <c r="H9" s="270" t="s">
        <v>385</v>
      </c>
      <c r="I9" s="245" t="s">
        <v>378</v>
      </c>
      <c r="J9" s="271" t="s">
        <v>386</v>
      </c>
      <c r="K9" s="267" t="s">
        <v>370</v>
      </c>
      <c r="L9" s="269">
        <v>19.217904958014852</v>
      </c>
      <c r="O9" s="270" t="s">
        <v>385</v>
      </c>
      <c r="P9" s="245" t="s">
        <v>378</v>
      </c>
      <c r="Q9" s="271" t="s">
        <v>386</v>
      </c>
      <c r="R9" s="267" t="s">
        <v>370</v>
      </c>
      <c r="S9" s="269">
        <v>21.012671899999997</v>
      </c>
      <c r="V9" s="270" t="s">
        <v>385</v>
      </c>
      <c r="W9" s="245" t="s">
        <v>378</v>
      </c>
      <c r="X9" s="271" t="s">
        <v>386</v>
      </c>
      <c r="Y9" s="267" t="s">
        <v>370</v>
      </c>
      <c r="Z9" s="269">
        <v>20.389442276433609</v>
      </c>
      <c r="AC9" s="270" t="s">
        <v>385</v>
      </c>
      <c r="AD9" s="245" t="s">
        <v>378</v>
      </c>
      <c r="AE9" s="271" t="s">
        <v>386</v>
      </c>
      <c r="AF9" s="267" t="s">
        <v>370</v>
      </c>
      <c r="AG9" s="269">
        <v>21.429287431628282</v>
      </c>
      <c r="AJ9" s="270" t="s">
        <v>385</v>
      </c>
      <c r="AK9" s="245" t="s">
        <v>378</v>
      </c>
      <c r="AL9" s="271" t="s">
        <v>386</v>
      </c>
      <c r="AM9" s="267" t="s">
        <v>370</v>
      </c>
      <c r="AN9" s="269">
        <v>18.856775653097348</v>
      </c>
      <c r="AQ9" s="270" t="s">
        <v>385</v>
      </c>
      <c r="AR9" s="245" t="s">
        <v>378</v>
      </c>
      <c r="AS9" s="271" t="s">
        <v>386</v>
      </c>
      <c r="AT9" s="267" t="s">
        <v>370</v>
      </c>
      <c r="AU9" s="269">
        <v>21.386856263613883</v>
      </c>
      <c r="AX9" s="270" t="s">
        <v>385</v>
      </c>
      <c r="AY9" s="245" t="s">
        <v>378</v>
      </c>
      <c r="AZ9" s="271" t="s">
        <v>386</v>
      </c>
      <c r="BA9" s="267" t="s">
        <v>370</v>
      </c>
      <c r="BB9" s="269">
        <v>23.786345382842473</v>
      </c>
    </row>
    <row r="10" spans="1:54" ht="25">
      <c r="A10" s="253" t="s">
        <v>387</v>
      </c>
      <c r="B10" s="247" t="s">
        <v>378</v>
      </c>
      <c r="C10" s="256" t="s">
        <v>388</v>
      </c>
      <c r="D10" s="254" t="s">
        <v>370</v>
      </c>
      <c r="E10" s="261">
        <v>202.62199613333337</v>
      </c>
      <c r="H10" s="266" t="s">
        <v>387</v>
      </c>
      <c r="I10" s="245" t="s">
        <v>378</v>
      </c>
      <c r="J10" s="271" t="s">
        <v>388</v>
      </c>
      <c r="K10" s="267" t="s">
        <v>370</v>
      </c>
      <c r="L10" s="269">
        <v>216.53591153333335</v>
      </c>
      <c r="O10" s="266" t="s">
        <v>387</v>
      </c>
      <c r="P10" s="245" t="s">
        <v>378</v>
      </c>
      <c r="Q10" s="271" t="s">
        <v>388</v>
      </c>
      <c r="R10" s="267" t="s">
        <v>370</v>
      </c>
      <c r="S10" s="269">
        <v>215.79233133333335</v>
      </c>
      <c r="V10" s="266" t="s">
        <v>387</v>
      </c>
      <c r="W10" s="245" t="s">
        <v>378</v>
      </c>
      <c r="X10" s="271" t="s">
        <v>388</v>
      </c>
      <c r="Y10" s="267" t="s">
        <v>370</v>
      </c>
      <c r="Z10" s="269">
        <v>213.94765333333331</v>
      </c>
      <c r="AC10" s="266" t="s">
        <v>387</v>
      </c>
      <c r="AD10" s="245" t="s">
        <v>378</v>
      </c>
      <c r="AE10" s="271" t="s">
        <v>388</v>
      </c>
      <c r="AF10" s="267" t="s">
        <v>370</v>
      </c>
      <c r="AG10" s="269">
        <v>208.83837333333335</v>
      </c>
      <c r="AJ10" s="266" t="s">
        <v>387</v>
      </c>
      <c r="AK10" s="245" t="s">
        <v>378</v>
      </c>
      <c r="AL10" s="271" t="s">
        <v>388</v>
      </c>
      <c r="AM10" s="267" t="s">
        <v>370</v>
      </c>
      <c r="AN10" s="269">
        <v>211.95870666666667</v>
      </c>
      <c r="AQ10" s="266" t="s">
        <v>387</v>
      </c>
      <c r="AR10" s="245" t="s">
        <v>378</v>
      </c>
      <c r="AS10" s="271" t="s">
        <v>388</v>
      </c>
      <c r="AT10" s="267" t="s">
        <v>370</v>
      </c>
      <c r="AU10" s="269">
        <v>219.92857333333333</v>
      </c>
      <c r="AX10" s="266" t="s">
        <v>387</v>
      </c>
      <c r="AY10" s="245" t="s">
        <v>378</v>
      </c>
      <c r="AZ10" s="271" t="s">
        <v>388</v>
      </c>
      <c r="BA10" s="267" t="s">
        <v>370</v>
      </c>
      <c r="BB10" s="269">
        <v>159.22309333333334</v>
      </c>
    </row>
    <row r="11" spans="1:54" ht="25">
      <c r="A11" s="253" t="s">
        <v>389</v>
      </c>
      <c r="B11" s="247" t="s">
        <v>378</v>
      </c>
      <c r="C11" s="247" t="s">
        <v>390</v>
      </c>
      <c r="D11" s="254" t="s">
        <v>368</v>
      </c>
      <c r="E11" s="260">
        <v>1502.5836914926037</v>
      </c>
      <c r="H11" s="266" t="s">
        <v>389</v>
      </c>
      <c r="I11" s="245" t="s">
        <v>378</v>
      </c>
      <c r="J11" s="245" t="s">
        <v>390</v>
      </c>
      <c r="K11" s="267" t="s">
        <v>368</v>
      </c>
      <c r="L11" s="268">
        <v>1539.4849400695205</v>
      </c>
      <c r="O11" s="266" t="s">
        <v>389</v>
      </c>
      <c r="P11" s="245" t="s">
        <v>378</v>
      </c>
      <c r="Q11" s="245" t="s">
        <v>390</v>
      </c>
      <c r="R11" s="267" t="s">
        <v>368</v>
      </c>
      <c r="S11" s="268">
        <v>1620.6865114109689</v>
      </c>
      <c r="V11" s="266" t="s">
        <v>389</v>
      </c>
      <c r="W11" s="245" t="s">
        <v>378</v>
      </c>
      <c r="X11" s="245" t="s">
        <v>390</v>
      </c>
      <c r="Y11" s="267" t="s">
        <v>368</v>
      </c>
      <c r="Z11" s="268">
        <v>1543.1805594043267</v>
      </c>
      <c r="AC11" s="266" t="s">
        <v>389</v>
      </c>
      <c r="AD11" s="245" t="s">
        <v>378</v>
      </c>
      <c r="AE11" s="245" t="s">
        <v>390</v>
      </c>
      <c r="AF11" s="267" t="s">
        <v>368</v>
      </c>
      <c r="AG11" s="268">
        <v>1569.699698806575</v>
      </c>
      <c r="AJ11" s="266" t="s">
        <v>389</v>
      </c>
      <c r="AK11" s="245" t="s">
        <v>378</v>
      </c>
      <c r="AL11" s="245" t="s">
        <v>390</v>
      </c>
      <c r="AM11" s="267" t="s">
        <v>368</v>
      </c>
      <c r="AN11" s="268">
        <v>1868.3829923915564</v>
      </c>
      <c r="AQ11" s="266" t="s">
        <v>389</v>
      </c>
      <c r="AR11" s="245" t="s">
        <v>378</v>
      </c>
      <c r="AS11" s="245" t="s">
        <v>390</v>
      </c>
      <c r="AT11" s="267" t="s">
        <v>368</v>
      </c>
      <c r="AU11" s="268">
        <v>1951.9821487137715</v>
      </c>
      <c r="AX11" s="266" t="s">
        <v>389</v>
      </c>
      <c r="AY11" s="245" t="s">
        <v>378</v>
      </c>
      <c r="AZ11" s="245" t="s">
        <v>390</v>
      </c>
      <c r="BA11" s="267" t="s">
        <v>368</v>
      </c>
      <c r="BB11" s="268">
        <v>1475.3630536421902</v>
      </c>
    </row>
    <row r="12" spans="1:54" ht="25">
      <c r="A12" s="253" t="s">
        <v>391</v>
      </c>
      <c r="B12" s="247" t="s">
        <v>378</v>
      </c>
      <c r="C12" s="247" t="s">
        <v>392</v>
      </c>
      <c r="D12" s="254" t="s">
        <v>368</v>
      </c>
      <c r="E12" s="260">
        <v>791.1024114277011</v>
      </c>
      <c r="H12" s="266" t="s">
        <v>391</v>
      </c>
      <c r="I12" s="245" t="s">
        <v>378</v>
      </c>
      <c r="J12" s="245" t="s">
        <v>392</v>
      </c>
      <c r="K12" s="267" t="s">
        <v>368</v>
      </c>
      <c r="L12" s="268">
        <v>803.77817931837001</v>
      </c>
      <c r="O12" s="266" t="s">
        <v>391</v>
      </c>
      <c r="P12" s="245" t="s">
        <v>378</v>
      </c>
      <c r="Q12" s="245" t="s">
        <v>392</v>
      </c>
      <c r="R12" s="267" t="s">
        <v>368</v>
      </c>
      <c r="S12" s="268">
        <v>801.40444943088164</v>
      </c>
      <c r="V12" s="266" t="s">
        <v>391</v>
      </c>
      <c r="W12" s="245" t="s">
        <v>378</v>
      </c>
      <c r="X12" s="245" t="s">
        <v>392</v>
      </c>
      <c r="Y12" s="267" t="s">
        <v>368</v>
      </c>
      <c r="Z12" s="268">
        <v>761.56095675974427</v>
      </c>
      <c r="AC12" s="266" t="s">
        <v>391</v>
      </c>
      <c r="AD12" s="245" t="s">
        <v>378</v>
      </c>
      <c r="AE12" s="245" t="s">
        <v>392</v>
      </c>
      <c r="AF12" s="267" t="s">
        <v>368</v>
      </c>
      <c r="AG12" s="268">
        <v>766.90705261677965</v>
      </c>
      <c r="AJ12" s="266" t="s">
        <v>391</v>
      </c>
      <c r="AK12" s="245" t="s">
        <v>378</v>
      </c>
      <c r="AL12" s="245" t="s">
        <v>392</v>
      </c>
      <c r="AM12" s="267" t="s">
        <v>368</v>
      </c>
      <c r="AN12" s="268">
        <v>879.212450035953</v>
      </c>
      <c r="AQ12" s="266" t="s">
        <v>391</v>
      </c>
      <c r="AR12" s="245" t="s">
        <v>378</v>
      </c>
      <c r="AS12" s="245" t="s">
        <v>392</v>
      </c>
      <c r="AT12" s="267" t="s">
        <v>368</v>
      </c>
      <c r="AU12" s="268">
        <v>892.41461315331685</v>
      </c>
      <c r="AX12" s="266" t="s">
        <v>391</v>
      </c>
      <c r="AY12" s="245" t="s">
        <v>378</v>
      </c>
      <c r="AZ12" s="245" t="s">
        <v>392</v>
      </c>
      <c r="BA12" s="267" t="s">
        <v>368</v>
      </c>
      <c r="BB12" s="268">
        <v>718.20119884153723</v>
      </c>
    </row>
    <row r="13" spans="1:54" ht="25.5" thickBot="1">
      <c r="A13" s="257" t="s">
        <v>393</v>
      </c>
      <c r="B13" s="247" t="s">
        <v>378</v>
      </c>
      <c r="C13" s="248" t="s">
        <v>394</v>
      </c>
      <c r="D13" s="258" t="s">
        <v>367</v>
      </c>
      <c r="E13" s="262">
        <v>1377.7646500271005</v>
      </c>
      <c r="H13" s="272" t="s">
        <v>393</v>
      </c>
      <c r="I13" s="245" t="s">
        <v>378</v>
      </c>
      <c r="J13" s="246" t="s">
        <v>394</v>
      </c>
      <c r="K13" s="273" t="s">
        <v>367</v>
      </c>
      <c r="L13" s="274">
        <v>1300.7803950450618</v>
      </c>
      <c r="O13" s="272" t="s">
        <v>393</v>
      </c>
      <c r="P13" s="245" t="s">
        <v>378</v>
      </c>
      <c r="Q13" s="246" t="s">
        <v>394</v>
      </c>
      <c r="R13" s="273" t="s">
        <v>367</v>
      </c>
      <c r="S13" s="274">
        <v>1241.0840549274103</v>
      </c>
      <c r="V13" s="272" t="s">
        <v>393</v>
      </c>
      <c r="W13" s="245" t="s">
        <v>378</v>
      </c>
      <c r="X13" s="246" t="s">
        <v>394</v>
      </c>
      <c r="Y13" s="273" t="s">
        <v>367</v>
      </c>
      <c r="Z13" s="274">
        <v>1181.765778803159</v>
      </c>
      <c r="AC13" s="272" t="s">
        <v>393</v>
      </c>
      <c r="AD13" s="245" t="s">
        <v>378</v>
      </c>
      <c r="AE13" s="246" t="s">
        <v>394</v>
      </c>
      <c r="AF13" s="273" t="s">
        <v>367</v>
      </c>
      <c r="AG13" s="274">
        <v>1056.5535555512622</v>
      </c>
      <c r="AJ13" s="272" t="s">
        <v>393</v>
      </c>
      <c r="AK13" s="245" t="s">
        <v>378</v>
      </c>
      <c r="AL13" s="246" t="s">
        <v>394</v>
      </c>
      <c r="AM13" s="273" t="s">
        <v>367</v>
      </c>
      <c r="AN13" s="274">
        <v>1155.2270595003511</v>
      </c>
      <c r="AQ13" s="272" t="s">
        <v>393</v>
      </c>
      <c r="AR13" s="245" t="s">
        <v>378</v>
      </c>
      <c r="AS13" s="246" t="s">
        <v>394</v>
      </c>
      <c r="AT13" s="273" t="s">
        <v>367</v>
      </c>
      <c r="AU13" s="274">
        <v>1287.4284925845923</v>
      </c>
      <c r="AX13" s="272" t="s">
        <v>393</v>
      </c>
      <c r="AY13" s="245" t="s">
        <v>378</v>
      </c>
      <c r="AZ13" s="246" t="s">
        <v>394</v>
      </c>
      <c r="BA13" s="273" t="s">
        <v>367</v>
      </c>
      <c r="BB13" s="274">
        <v>1239.9491140827381</v>
      </c>
    </row>
    <row r="14" spans="1:54" ht="25.5" thickBot="1">
      <c r="A14" s="257" t="s">
        <v>395</v>
      </c>
      <c r="B14" s="248" t="s">
        <v>378</v>
      </c>
      <c r="C14" s="248" t="s">
        <v>396</v>
      </c>
      <c r="D14" s="258" t="s">
        <v>397</v>
      </c>
      <c r="E14" s="262">
        <v>56.43101149875487</v>
      </c>
      <c r="H14" s="272" t="s">
        <v>395</v>
      </c>
      <c r="I14" s="246" t="s">
        <v>378</v>
      </c>
      <c r="J14" s="246" t="s">
        <v>396</v>
      </c>
      <c r="K14" s="273" t="s">
        <v>397</v>
      </c>
      <c r="L14" s="274">
        <v>63.858397242632648</v>
      </c>
      <c r="O14" s="272" t="s">
        <v>395</v>
      </c>
      <c r="P14" s="246" t="s">
        <v>378</v>
      </c>
      <c r="Q14" s="246" t="s">
        <v>396</v>
      </c>
      <c r="R14" s="273" t="s">
        <v>397</v>
      </c>
      <c r="S14" s="274">
        <v>61.05393108478448</v>
      </c>
      <c r="V14" s="272" t="s">
        <v>395</v>
      </c>
      <c r="W14" s="246" t="s">
        <v>378</v>
      </c>
      <c r="X14" s="246" t="s">
        <v>396</v>
      </c>
      <c r="Y14" s="273" t="s">
        <v>397</v>
      </c>
      <c r="Z14" s="274">
        <v>55.402131027556379</v>
      </c>
      <c r="AC14" s="272" t="s">
        <v>395</v>
      </c>
      <c r="AD14" s="246" t="s">
        <v>378</v>
      </c>
      <c r="AE14" s="246" t="s">
        <v>396</v>
      </c>
      <c r="AF14" s="273" t="s">
        <v>397</v>
      </c>
      <c r="AG14" s="274">
        <v>54.640362730948411</v>
      </c>
      <c r="AJ14" s="272" t="s">
        <v>395</v>
      </c>
      <c r="AK14" s="246" t="s">
        <v>378</v>
      </c>
      <c r="AL14" s="246" t="s">
        <v>396</v>
      </c>
      <c r="AM14" s="273" t="s">
        <v>397</v>
      </c>
      <c r="AN14" s="274">
        <v>54.522616700081336</v>
      </c>
      <c r="AQ14" s="272" t="s">
        <v>395</v>
      </c>
      <c r="AR14" s="246" t="s">
        <v>378</v>
      </c>
      <c r="AS14" s="246" t="s">
        <v>396</v>
      </c>
      <c r="AT14" s="273" t="s">
        <v>397</v>
      </c>
      <c r="AU14" s="274">
        <v>55.783285769346335</v>
      </c>
      <c r="AX14" s="272" t="s">
        <v>395</v>
      </c>
      <c r="AY14" s="246" t="s">
        <v>378</v>
      </c>
      <c r="AZ14" s="246" t="s">
        <v>396</v>
      </c>
      <c r="BA14" s="273" t="s">
        <v>397</v>
      </c>
      <c r="BB14" s="274">
        <v>54.258964954631168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C60F-D2C7-4D6B-85BD-31B044EABA25}">
  <sheetPr>
    <tabColor theme="0"/>
  </sheetPr>
  <dimension ref="A1:L14"/>
  <sheetViews>
    <sheetView tabSelected="1" workbookViewId="0">
      <selection activeCell="D1" sqref="D1"/>
    </sheetView>
  </sheetViews>
  <sheetFormatPr defaultRowHeight="14.5"/>
  <cols>
    <col min="1" max="1" width="7.36328125" customWidth="1"/>
    <col min="2" max="2" width="9.26953125" bestFit="1" customWidth="1"/>
    <col min="3" max="3" width="46" bestFit="1" customWidth="1"/>
    <col min="4" max="4" width="9" bestFit="1" customWidth="1"/>
    <col min="5" max="12" width="8.90625" bestFit="1" customWidth="1"/>
  </cols>
  <sheetData>
    <row r="1" spans="1:12">
      <c r="E1" s="243">
        <v>2010</v>
      </c>
      <c r="F1" s="243">
        <v>2012</v>
      </c>
      <c r="G1" s="243">
        <v>2014</v>
      </c>
      <c r="H1" s="243">
        <v>2016</v>
      </c>
      <c r="I1" s="243">
        <v>2018</v>
      </c>
      <c r="J1" s="243">
        <v>2020</v>
      </c>
      <c r="K1" s="243">
        <v>2021</v>
      </c>
      <c r="L1" s="243">
        <v>2022</v>
      </c>
    </row>
    <row r="2" spans="1:12" ht="15" thickBot="1"/>
    <row r="3" spans="1:12" ht="65.5" thickBot="1">
      <c r="A3" s="249" t="s">
        <v>371</v>
      </c>
      <c r="B3" s="250" t="s">
        <v>372</v>
      </c>
      <c r="C3" s="250" t="s">
        <v>373</v>
      </c>
      <c r="D3" s="250" t="s">
        <v>374</v>
      </c>
      <c r="E3" s="244" t="s">
        <v>375</v>
      </c>
      <c r="F3" s="244" t="s">
        <v>398</v>
      </c>
      <c r="G3" s="244" t="s">
        <v>399</v>
      </c>
      <c r="H3" s="244" t="s">
        <v>400</v>
      </c>
      <c r="I3" s="244" t="s">
        <v>401</v>
      </c>
      <c r="J3" s="244" t="s">
        <v>402</v>
      </c>
      <c r="K3" s="244" t="s">
        <v>403</v>
      </c>
      <c r="L3" s="244" t="s">
        <v>404</v>
      </c>
    </row>
    <row r="4" spans="1:12" ht="15" thickBot="1">
      <c r="A4" s="251"/>
      <c r="B4" s="252"/>
      <c r="C4" s="252" t="s">
        <v>376</v>
      </c>
      <c r="D4" s="252"/>
      <c r="E4" s="259">
        <v>15005.159876323316</v>
      </c>
      <c r="F4" s="265">
        <v>14810.873297667318</v>
      </c>
      <c r="G4" s="265">
        <v>13635.929992400164</v>
      </c>
      <c r="H4" s="265">
        <v>12570.334997697671</v>
      </c>
      <c r="I4" s="265">
        <v>12377.807188497558</v>
      </c>
      <c r="J4" s="265">
        <v>13377.295700987494</v>
      </c>
      <c r="K4" s="265">
        <v>12930.590171730746</v>
      </c>
      <c r="L4" s="265">
        <v>11728.277172288739</v>
      </c>
    </row>
    <row r="5" spans="1:12" ht="25">
      <c r="A5" s="253" t="s">
        <v>377</v>
      </c>
      <c r="B5" s="247" t="s">
        <v>378</v>
      </c>
      <c r="C5" s="247" t="s">
        <v>379</v>
      </c>
      <c r="D5" s="254" t="s">
        <v>367</v>
      </c>
      <c r="E5" s="260">
        <v>10238.480860645806</v>
      </c>
      <c r="F5" s="268">
        <v>10084.649101840523</v>
      </c>
      <c r="G5" s="268">
        <v>8852.2201753286299</v>
      </c>
      <c r="H5" s="268">
        <v>8037.3694029311855</v>
      </c>
      <c r="I5" s="268">
        <v>7891.6240362016451</v>
      </c>
      <c r="J5" s="268">
        <v>8481.4203241301893</v>
      </c>
      <c r="K5" s="268">
        <v>7822.4245639323435</v>
      </c>
      <c r="L5" s="268">
        <v>7409.7266413990455</v>
      </c>
    </row>
    <row r="6" spans="1:12" ht="25">
      <c r="A6" s="276" t="s">
        <v>405</v>
      </c>
      <c r="B6" s="247" t="s">
        <v>378</v>
      </c>
      <c r="C6" s="247" t="s">
        <v>381</v>
      </c>
      <c r="D6" s="254" t="s">
        <v>367</v>
      </c>
      <c r="E6" s="261">
        <v>468.91615452378852</v>
      </c>
      <c r="F6" s="269">
        <v>441.48424825940157</v>
      </c>
      <c r="G6" s="269">
        <v>456.28312972849682</v>
      </c>
      <c r="H6" s="269">
        <v>412.20042661473428</v>
      </c>
      <c r="I6" s="269">
        <v>443.09104086412026</v>
      </c>
      <c r="J6" s="269">
        <v>382.65882832922574</v>
      </c>
      <c r="K6" s="269">
        <v>357.72174666741472</v>
      </c>
      <c r="L6" s="269">
        <v>331.18138188665284</v>
      </c>
    </row>
    <row r="7" spans="1:12" ht="25">
      <c r="A7" s="276" t="s">
        <v>405</v>
      </c>
      <c r="B7" s="247" t="s">
        <v>378</v>
      </c>
      <c r="C7" s="247" t="s">
        <v>382</v>
      </c>
      <c r="D7" s="254" t="s">
        <v>368</v>
      </c>
      <c r="E7" s="261">
        <v>261.4263233761103</v>
      </c>
      <c r="F7" s="269">
        <v>254.41036704060878</v>
      </c>
      <c r="G7" s="269">
        <v>273.57101958457685</v>
      </c>
      <c r="H7" s="269">
        <v>257.56214975857534</v>
      </c>
      <c r="I7" s="269">
        <v>271.80578573792371</v>
      </c>
      <c r="J7" s="269">
        <v>243.32286094492798</v>
      </c>
      <c r="K7" s="269">
        <v>241.52624193098612</v>
      </c>
      <c r="L7" s="269">
        <v>238.15594491939143</v>
      </c>
    </row>
    <row r="8" spans="1:12" ht="25">
      <c r="A8" s="276" t="s">
        <v>406</v>
      </c>
      <c r="B8" s="247" t="s">
        <v>378</v>
      </c>
      <c r="C8" s="247" t="s">
        <v>384</v>
      </c>
      <c r="D8" s="254" t="s">
        <v>368</v>
      </c>
      <c r="E8" s="261">
        <v>89.54833433789922</v>
      </c>
      <c r="F8" s="269">
        <v>86.673852359849818</v>
      </c>
      <c r="G8" s="269">
        <v>92.821717671079156</v>
      </c>
      <c r="H8" s="269">
        <v>86.956496788621394</v>
      </c>
      <c r="I8" s="269">
        <v>93.217995223341987</v>
      </c>
      <c r="J8" s="269">
        <v>81.733086635441566</v>
      </c>
      <c r="K8" s="269">
        <v>79.993649382027371</v>
      </c>
      <c r="L8" s="269">
        <v>78.431433846377189</v>
      </c>
    </row>
    <row r="9" spans="1:12" ht="25">
      <c r="A9" s="255" t="s">
        <v>385</v>
      </c>
      <c r="B9" s="247" t="s">
        <v>378</v>
      </c>
      <c r="C9" s="256" t="s">
        <v>386</v>
      </c>
      <c r="D9" s="254" t="s">
        <v>370</v>
      </c>
      <c r="E9" s="261">
        <v>16.28444286021718</v>
      </c>
      <c r="F9" s="269">
        <v>19.217904958014852</v>
      </c>
      <c r="G9" s="269">
        <v>21.012671899999997</v>
      </c>
      <c r="H9" s="269">
        <v>20.389442276433609</v>
      </c>
      <c r="I9" s="269">
        <v>21.429287431628282</v>
      </c>
      <c r="J9" s="269">
        <v>18.856775653097348</v>
      </c>
      <c r="K9" s="269">
        <v>21.386856263613883</v>
      </c>
      <c r="L9" s="269">
        <v>23.786345382842473</v>
      </c>
    </row>
    <row r="10" spans="1:12" ht="25">
      <c r="A10" s="253" t="s">
        <v>387</v>
      </c>
      <c r="B10" s="247" t="s">
        <v>378</v>
      </c>
      <c r="C10" s="256" t="s">
        <v>388</v>
      </c>
      <c r="D10" s="254" t="s">
        <v>370</v>
      </c>
      <c r="E10" s="261">
        <v>202.62199613333337</v>
      </c>
      <c r="F10" s="269">
        <v>216.53591153333335</v>
      </c>
      <c r="G10" s="269">
        <v>215.79233133333335</v>
      </c>
      <c r="H10" s="269">
        <v>213.94765333333331</v>
      </c>
      <c r="I10" s="269">
        <v>208.83837333333335</v>
      </c>
      <c r="J10" s="269">
        <v>211.95870666666667</v>
      </c>
      <c r="K10" s="269">
        <v>219.92857333333333</v>
      </c>
      <c r="L10" s="269">
        <v>159.22309333333334</v>
      </c>
    </row>
    <row r="11" spans="1:12" ht="25">
      <c r="A11" s="253" t="s">
        <v>389</v>
      </c>
      <c r="B11" s="247" t="s">
        <v>378</v>
      </c>
      <c r="C11" s="247" t="s">
        <v>390</v>
      </c>
      <c r="D11" s="254" t="s">
        <v>368</v>
      </c>
      <c r="E11" s="260">
        <v>1502.5836914926037</v>
      </c>
      <c r="F11" s="268">
        <v>1539.4849400695205</v>
      </c>
      <c r="G11" s="268">
        <v>1620.6865114109689</v>
      </c>
      <c r="H11" s="268">
        <v>1543.1805594043267</v>
      </c>
      <c r="I11" s="268">
        <v>1569.699698806575</v>
      </c>
      <c r="J11" s="268">
        <v>1868.3829923915564</v>
      </c>
      <c r="K11" s="268">
        <v>1951.9821487137715</v>
      </c>
      <c r="L11" s="268">
        <v>1475.3630536421902</v>
      </c>
    </row>
    <row r="12" spans="1:12" ht="25">
      <c r="A12" s="253" t="s">
        <v>391</v>
      </c>
      <c r="B12" s="247" t="s">
        <v>378</v>
      </c>
      <c r="C12" s="247" t="s">
        <v>392</v>
      </c>
      <c r="D12" s="254" t="s">
        <v>368</v>
      </c>
      <c r="E12" s="260">
        <v>791.1024114277011</v>
      </c>
      <c r="F12" s="268">
        <v>803.77817931837001</v>
      </c>
      <c r="G12" s="268">
        <v>801.40444943088164</v>
      </c>
      <c r="H12" s="268">
        <v>761.56095675974427</v>
      </c>
      <c r="I12" s="268">
        <v>766.90705261677965</v>
      </c>
      <c r="J12" s="268">
        <v>879.212450035953</v>
      </c>
      <c r="K12" s="268">
        <v>892.41461315331685</v>
      </c>
      <c r="L12" s="268">
        <v>718.20119884153723</v>
      </c>
    </row>
    <row r="13" spans="1:12" ht="25.5" thickBot="1">
      <c r="A13" s="257" t="s">
        <v>393</v>
      </c>
      <c r="B13" s="247" t="s">
        <v>378</v>
      </c>
      <c r="C13" s="248" t="s">
        <v>394</v>
      </c>
      <c r="D13" s="258" t="s">
        <v>367</v>
      </c>
      <c r="E13" s="262">
        <v>1377.7646500271005</v>
      </c>
      <c r="F13" s="274">
        <v>1300.7803950450618</v>
      </c>
      <c r="G13" s="274">
        <v>1241.0840549274103</v>
      </c>
      <c r="H13" s="274">
        <v>1181.765778803159</v>
      </c>
      <c r="I13" s="274">
        <v>1056.5535555512622</v>
      </c>
      <c r="J13" s="274">
        <v>1155.2270595003511</v>
      </c>
      <c r="K13" s="274">
        <v>1287.4284925845923</v>
      </c>
      <c r="L13" s="274">
        <v>1239.9491140827381</v>
      </c>
    </row>
    <row r="14" spans="1:12" ht="25.5" thickBot="1">
      <c r="A14" s="257" t="s">
        <v>395</v>
      </c>
      <c r="B14" s="248" t="s">
        <v>378</v>
      </c>
      <c r="C14" s="248" t="s">
        <v>396</v>
      </c>
      <c r="D14" s="258" t="s">
        <v>397</v>
      </c>
      <c r="E14" s="262">
        <v>56.43101149875487</v>
      </c>
      <c r="F14" s="274">
        <v>63.858397242632648</v>
      </c>
      <c r="G14" s="274">
        <v>61.05393108478448</v>
      </c>
      <c r="H14" s="274">
        <v>55.402131027556379</v>
      </c>
      <c r="I14" s="274">
        <v>54.640362730948411</v>
      </c>
      <c r="J14" s="274">
        <v>54.522616700081336</v>
      </c>
      <c r="K14" s="274">
        <v>55.783285769346335</v>
      </c>
      <c r="L14" s="274">
        <v>54.258964954631168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4575-B9AE-4D1A-B911-A7FF646F5110}">
  <dimension ref="B1:AT182"/>
  <sheetViews>
    <sheetView workbookViewId="0">
      <selection activeCell="F14" sqref="F14"/>
    </sheetView>
  </sheetViews>
  <sheetFormatPr defaultRowHeight="14.5"/>
  <cols>
    <col min="3" max="3" width="46.6328125" bestFit="1" customWidth="1"/>
    <col min="4" max="5" width="45.81640625" customWidth="1"/>
    <col min="6" max="6" width="24.6328125" customWidth="1"/>
    <col min="7" max="7" width="13.6328125" customWidth="1"/>
    <col min="8" max="8" width="15.08984375" customWidth="1"/>
    <col min="9" max="9" width="12.1796875" customWidth="1"/>
    <col min="10" max="10" width="10.6328125" customWidth="1"/>
    <col min="11" max="11" width="12.08984375" customWidth="1"/>
    <col min="12" max="12" width="11.81640625" customWidth="1"/>
    <col min="13" max="13" width="20.81640625" customWidth="1"/>
    <col min="14" max="14" width="19.81640625" customWidth="1"/>
    <col min="15" max="15" width="11.453125" customWidth="1"/>
    <col min="16" max="16" width="17.7265625" customWidth="1"/>
    <col min="17" max="17" width="20.1796875" customWidth="1"/>
    <col min="18" max="18" width="19.81640625" customWidth="1"/>
    <col min="19" max="19" width="19.1796875" customWidth="1"/>
    <col min="20" max="20" width="16" customWidth="1"/>
    <col min="21" max="21" width="11.81640625" customWidth="1"/>
    <col min="22" max="22" width="18" customWidth="1"/>
    <col min="23" max="23" width="11.1796875" customWidth="1"/>
    <col min="24" max="24" width="16.54296875" customWidth="1"/>
    <col min="25" max="25" width="18.453125" customWidth="1"/>
    <col min="26" max="26" width="10.453125" customWidth="1"/>
    <col min="27" max="27" width="12.36328125" customWidth="1"/>
    <col min="28" max="28" width="15.90625" bestFit="1" customWidth="1"/>
    <col min="29" max="29" width="10.81640625" customWidth="1"/>
    <col min="31" max="31" width="15.90625" bestFit="1" customWidth="1"/>
    <col min="32" max="32" width="11.08984375" customWidth="1"/>
    <col min="34" max="34" width="15.90625" bestFit="1" customWidth="1"/>
    <col min="35" max="35" width="10.26953125" customWidth="1"/>
    <col min="36" max="36" width="10.54296875" customWidth="1"/>
    <col min="37" max="37" width="15.90625" bestFit="1" customWidth="1"/>
    <col min="38" max="38" width="10.36328125" customWidth="1"/>
    <col min="39" max="39" width="10.81640625" customWidth="1"/>
    <col min="40" max="40" width="15.90625" bestFit="1" customWidth="1"/>
    <col min="41" max="41" width="10" customWidth="1"/>
  </cols>
  <sheetData>
    <row r="1" spans="2:46" ht="18.5">
      <c r="B1" s="213" t="s">
        <v>0</v>
      </c>
      <c r="C1" s="213"/>
      <c r="D1" s="213"/>
      <c r="E1" s="213"/>
      <c r="F1" s="213"/>
      <c r="AE1" s="1"/>
    </row>
    <row r="2" spans="2:46">
      <c r="B2" s="2"/>
      <c r="C2" s="3" t="s">
        <v>1</v>
      </c>
      <c r="D2" s="4"/>
      <c r="E2" s="4"/>
      <c r="F2" s="5"/>
      <c r="H2" s="6" t="s">
        <v>2</v>
      </c>
      <c r="AE2" s="1"/>
    </row>
    <row r="3" spans="2:46">
      <c r="B3" s="2"/>
      <c r="C3" s="7"/>
      <c r="D3" s="8"/>
      <c r="E3" s="8"/>
      <c r="F3" s="9"/>
      <c r="AE3" s="1"/>
    </row>
    <row r="4" spans="2:46">
      <c r="B4" s="2"/>
      <c r="C4" s="7"/>
      <c r="D4" s="8"/>
      <c r="E4" s="8"/>
      <c r="F4" s="9"/>
      <c r="AE4" s="1"/>
    </row>
    <row r="5" spans="2:46">
      <c r="B5" s="2"/>
      <c r="C5" s="10"/>
      <c r="D5" s="11"/>
      <c r="E5" s="11"/>
      <c r="F5" s="12"/>
      <c r="AE5" s="1"/>
    </row>
    <row r="6" spans="2:46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2:46" ht="18.5">
      <c r="B7" s="15"/>
      <c r="C7" s="15"/>
      <c r="D7" s="15"/>
      <c r="E7" s="15"/>
      <c r="F7" s="15"/>
      <c r="G7" s="15" t="s">
        <v>3</v>
      </c>
      <c r="H7" s="15"/>
      <c r="I7" s="15"/>
      <c r="J7" s="15"/>
      <c r="K7" s="15"/>
      <c r="L7" s="15" t="s">
        <v>3</v>
      </c>
      <c r="M7" s="15"/>
      <c r="N7" s="15"/>
      <c r="O7" s="15"/>
      <c r="P7" s="15"/>
      <c r="Q7" s="15" t="s">
        <v>3</v>
      </c>
      <c r="R7" s="15"/>
      <c r="S7" s="15"/>
      <c r="T7" s="15"/>
      <c r="U7" s="15"/>
      <c r="V7" s="16" t="s">
        <v>3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7"/>
      <c r="AS7" s="17"/>
      <c r="AT7" s="17"/>
    </row>
    <row r="8" spans="2:46" ht="18.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7"/>
      <c r="AS8" s="17"/>
      <c r="AT8" s="17"/>
    </row>
    <row r="9" spans="2:46">
      <c r="M9" s="18"/>
      <c r="AE9" s="1"/>
    </row>
    <row r="10" spans="2:46">
      <c r="E10" s="19"/>
      <c r="K10" s="18"/>
      <c r="L10" s="18"/>
      <c r="M10" s="18"/>
      <c r="AE10" s="1"/>
    </row>
    <row r="11" spans="2:46" ht="18.5">
      <c r="B11" s="13"/>
      <c r="C11" s="20" t="s">
        <v>4</v>
      </c>
      <c r="D11" s="21"/>
      <c r="E11" s="22" t="s">
        <v>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/>
      <c r="S11" s="25"/>
      <c r="T11" s="25"/>
      <c r="U11" s="25"/>
      <c r="V11" s="25"/>
      <c r="W11" s="25"/>
      <c r="X11" s="25"/>
      <c r="AE11" s="1"/>
    </row>
    <row r="12" spans="2:46">
      <c r="B12" s="13"/>
      <c r="C12" s="20" t="s">
        <v>6</v>
      </c>
      <c r="D12" s="21"/>
      <c r="E12" s="26">
        <v>1994</v>
      </c>
      <c r="F12" s="27"/>
      <c r="G12" s="26">
        <v>2000</v>
      </c>
      <c r="H12" s="27"/>
      <c r="I12" s="26">
        <v>2006</v>
      </c>
      <c r="J12" s="27"/>
      <c r="K12" s="26">
        <v>2010</v>
      </c>
      <c r="L12" s="27"/>
      <c r="M12" s="26">
        <v>2012</v>
      </c>
      <c r="N12" s="27"/>
      <c r="O12" s="26">
        <v>2014</v>
      </c>
      <c r="P12" s="27"/>
      <c r="Q12" s="26">
        <v>2016</v>
      </c>
      <c r="R12" s="27"/>
      <c r="S12" s="26">
        <v>2018</v>
      </c>
      <c r="T12" s="27"/>
      <c r="U12" s="26">
        <v>2020</v>
      </c>
      <c r="V12" s="27"/>
      <c r="W12" s="26">
        <v>2021</v>
      </c>
      <c r="X12" s="27"/>
      <c r="Y12" s="26">
        <v>2022</v>
      </c>
      <c r="Z12" s="27"/>
      <c r="AE12" s="1"/>
    </row>
    <row r="13" spans="2:46" ht="15" thickBot="1">
      <c r="B13" s="13"/>
      <c r="C13" s="28"/>
      <c r="D13" s="29"/>
      <c r="E13" s="30" t="s">
        <v>7</v>
      </c>
      <c r="F13" s="30" t="s">
        <v>8</v>
      </c>
      <c r="G13" s="30" t="s">
        <v>7</v>
      </c>
      <c r="H13" s="30" t="s">
        <v>8</v>
      </c>
      <c r="I13" s="30" t="s">
        <v>7</v>
      </c>
      <c r="J13" s="30" t="s">
        <v>8</v>
      </c>
      <c r="K13" s="30" t="s">
        <v>7</v>
      </c>
      <c r="L13" s="30" t="s">
        <v>8</v>
      </c>
      <c r="M13" s="30" t="s">
        <v>7</v>
      </c>
      <c r="N13" s="30" t="s">
        <v>8</v>
      </c>
      <c r="O13" s="30" t="s">
        <v>7</v>
      </c>
      <c r="P13" s="30" t="s">
        <v>8</v>
      </c>
      <c r="Q13" s="30" t="s">
        <v>7</v>
      </c>
      <c r="R13" s="30" t="s">
        <v>8</v>
      </c>
      <c r="S13" s="30" t="s">
        <v>7</v>
      </c>
      <c r="T13" s="30" t="s">
        <v>8</v>
      </c>
      <c r="U13" s="30" t="s">
        <v>7</v>
      </c>
      <c r="V13" s="30" t="s">
        <v>8</v>
      </c>
      <c r="W13" s="30" t="s">
        <v>7</v>
      </c>
      <c r="X13" s="30" t="s">
        <v>8</v>
      </c>
      <c r="Y13" s="30" t="s">
        <v>7</v>
      </c>
      <c r="Z13" s="30" t="s">
        <v>8</v>
      </c>
      <c r="AE13" s="1"/>
    </row>
    <row r="14" spans="2:46" ht="15.5" thickTop="1" thickBot="1">
      <c r="B14" s="31" t="s">
        <v>9</v>
      </c>
      <c r="C14" s="32" t="s">
        <v>10</v>
      </c>
      <c r="D14" s="33" t="s">
        <v>11</v>
      </c>
      <c r="E14" s="34" t="s">
        <v>12</v>
      </c>
      <c r="F14" s="35">
        <v>574414.58071087091</v>
      </c>
      <c r="G14" s="34" t="s">
        <v>13</v>
      </c>
      <c r="H14" s="35">
        <v>626104.0480440805</v>
      </c>
      <c r="I14" s="34" t="s">
        <v>14</v>
      </c>
      <c r="J14" s="35">
        <v>594479</v>
      </c>
      <c r="K14" s="36" t="s">
        <v>15</v>
      </c>
      <c r="L14" s="37">
        <v>702076</v>
      </c>
      <c r="M14" s="36" t="s">
        <v>16</v>
      </c>
      <c r="N14" s="37">
        <v>674076.85402459593</v>
      </c>
      <c r="O14" s="36" t="s">
        <v>17</v>
      </c>
      <c r="P14" s="37">
        <v>630175.66361103463</v>
      </c>
      <c r="Q14" s="36" t="s">
        <v>18</v>
      </c>
      <c r="R14" s="38">
        <v>570270.14012766443</v>
      </c>
      <c r="S14" s="36" t="s">
        <v>19</v>
      </c>
      <c r="T14" s="38">
        <v>522643.96630611242</v>
      </c>
      <c r="U14" s="36" t="s">
        <v>20</v>
      </c>
      <c r="V14" s="38">
        <v>616168.02428477048</v>
      </c>
      <c r="W14" s="36" t="s">
        <v>21</v>
      </c>
      <c r="X14" s="38">
        <v>564165.51241775067</v>
      </c>
      <c r="Y14" s="36" t="s">
        <v>22</v>
      </c>
      <c r="Z14" s="38">
        <v>545149.32082234567</v>
      </c>
      <c r="AE14" s="1"/>
    </row>
    <row r="15" spans="2:46" ht="15.5" thickTop="1" thickBot="1">
      <c r="B15" s="39"/>
      <c r="C15" s="32"/>
      <c r="D15" s="33" t="s">
        <v>23</v>
      </c>
      <c r="E15" s="34" t="s">
        <v>12</v>
      </c>
      <c r="F15" s="35">
        <v>263584.92444860103</v>
      </c>
      <c r="G15" s="34" t="s">
        <v>13</v>
      </c>
      <c r="H15" s="35">
        <v>241691.91511582601</v>
      </c>
      <c r="I15" s="34" t="s">
        <v>24</v>
      </c>
      <c r="J15" s="35">
        <v>272792</v>
      </c>
      <c r="K15" s="36" t="s">
        <v>25</v>
      </c>
      <c r="L15" s="37">
        <v>271019</v>
      </c>
      <c r="M15" s="36" t="s">
        <v>26</v>
      </c>
      <c r="N15" s="37">
        <v>280034.86760085757</v>
      </c>
      <c r="O15" s="36" t="s">
        <v>17</v>
      </c>
      <c r="P15" s="37">
        <v>280963.6876019988</v>
      </c>
      <c r="Q15" s="36" t="s">
        <v>18</v>
      </c>
      <c r="R15" s="38">
        <v>271362.47928744985</v>
      </c>
      <c r="S15" s="36" t="s">
        <v>19</v>
      </c>
      <c r="T15" s="38">
        <v>262262.60745905043</v>
      </c>
      <c r="U15" s="36" t="s">
        <v>20</v>
      </c>
      <c r="V15" s="38">
        <v>291374.79433445458</v>
      </c>
      <c r="W15" s="36" t="s">
        <v>21</v>
      </c>
      <c r="X15" s="38">
        <v>236336.44232721263</v>
      </c>
      <c r="Y15" s="36" t="s">
        <v>22</v>
      </c>
      <c r="Z15" s="38">
        <v>226251.09639695089</v>
      </c>
      <c r="AE15" s="1"/>
    </row>
    <row r="16" spans="2:46" ht="15.5" thickTop="1" thickBot="1">
      <c r="B16" s="39"/>
      <c r="C16" s="32"/>
      <c r="D16" s="33" t="s">
        <v>27</v>
      </c>
      <c r="E16" s="34" t="s">
        <v>12</v>
      </c>
      <c r="F16" s="35">
        <v>119692.12933744962</v>
      </c>
      <c r="G16" s="34" t="s">
        <v>13</v>
      </c>
      <c r="H16" s="35">
        <v>103239.80214381218</v>
      </c>
      <c r="I16" s="34" t="s">
        <v>28</v>
      </c>
      <c r="J16" s="35">
        <v>123873</v>
      </c>
      <c r="K16" s="36" t="s">
        <v>29</v>
      </c>
      <c r="L16" s="37">
        <v>115767</v>
      </c>
      <c r="M16" s="36" t="s">
        <v>30</v>
      </c>
      <c r="N16" s="37">
        <v>99199.327769423558</v>
      </c>
      <c r="O16" s="36" t="s">
        <v>17</v>
      </c>
      <c r="P16" s="37">
        <v>68708.592686999924</v>
      </c>
      <c r="Q16" s="36" t="s">
        <v>18</v>
      </c>
      <c r="R16" s="38">
        <v>54537.494757298926</v>
      </c>
      <c r="S16" s="36" t="s">
        <v>19</v>
      </c>
      <c r="T16" s="38">
        <v>47621.018911879481</v>
      </c>
      <c r="U16" s="36" t="s">
        <v>20</v>
      </c>
      <c r="V16" s="38">
        <v>54977.432329219897</v>
      </c>
      <c r="W16" s="36" t="s">
        <v>21</v>
      </c>
      <c r="X16" s="38">
        <v>46212.781195036419</v>
      </c>
      <c r="Y16" s="36" t="s">
        <v>22</v>
      </c>
      <c r="Z16" s="38">
        <v>43664.110648336376</v>
      </c>
      <c r="AE16" s="1"/>
    </row>
    <row r="17" spans="2:31" ht="15.5" thickTop="1" thickBot="1">
      <c r="B17" s="39"/>
      <c r="C17" s="32" t="s">
        <v>31</v>
      </c>
      <c r="D17" s="33" t="s">
        <v>11</v>
      </c>
      <c r="E17" s="34" t="s">
        <v>12</v>
      </c>
      <c r="F17" s="35">
        <v>334787.00945286523</v>
      </c>
      <c r="G17" s="34" t="s">
        <v>32</v>
      </c>
      <c r="H17" s="35">
        <v>254082.67143367429</v>
      </c>
      <c r="I17" s="34" t="s">
        <v>33</v>
      </c>
      <c r="J17" s="35">
        <v>215034</v>
      </c>
      <c r="K17" s="36" t="s">
        <v>34</v>
      </c>
      <c r="L17" s="37">
        <v>199819</v>
      </c>
      <c r="M17" s="36" t="s">
        <v>35</v>
      </c>
      <c r="N17" s="37">
        <v>176888.93294677488</v>
      </c>
      <c r="O17" s="36" t="s">
        <v>36</v>
      </c>
      <c r="P17" s="37">
        <v>179616.91184519223</v>
      </c>
      <c r="Q17" s="36" t="s">
        <v>37</v>
      </c>
      <c r="R17" s="38">
        <v>149944.77394886376</v>
      </c>
      <c r="S17" s="36" t="s">
        <v>38</v>
      </c>
      <c r="T17" s="38">
        <v>153765.65032782167</v>
      </c>
      <c r="U17" s="36" t="s">
        <v>39</v>
      </c>
      <c r="V17" s="38">
        <v>179622.35030501077</v>
      </c>
      <c r="W17" s="36" t="s">
        <v>40</v>
      </c>
      <c r="X17" s="38">
        <v>159223.00316221139</v>
      </c>
      <c r="Y17" s="36" t="s">
        <v>41</v>
      </c>
      <c r="Z17" s="38">
        <v>157756.5390660532</v>
      </c>
      <c r="AE17" s="1"/>
    </row>
    <row r="18" spans="2:31" ht="15.5" thickTop="1" thickBot="1">
      <c r="B18" s="39"/>
      <c r="C18" s="32"/>
      <c r="D18" s="33" t="s">
        <v>23</v>
      </c>
      <c r="E18" s="34" t="s">
        <v>12</v>
      </c>
      <c r="F18" s="35">
        <v>111373.0327353382</v>
      </c>
      <c r="G18" s="34" t="s">
        <v>32</v>
      </c>
      <c r="H18" s="35">
        <v>109983.93879288585</v>
      </c>
      <c r="I18" s="34" t="s">
        <v>42</v>
      </c>
      <c r="J18" s="35">
        <v>71535</v>
      </c>
      <c r="K18" s="36" t="s">
        <v>43</v>
      </c>
      <c r="L18" s="37">
        <v>86495</v>
      </c>
      <c r="M18" s="36" t="s">
        <v>44</v>
      </c>
      <c r="N18" s="37">
        <v>73963.105863622623</v>
      </c>
      <c r="O18" s="36" t="s">
        <v>36</v>
      </c>
      <c r="P18" s="37">
        <v>85070.539539999838</v>
      </c>
      <c r="Q18" s="36" t="s">
        <v>37</v>
      </c>
      <c r="R18" s="38">
        <v>68066.761850102819</v>
      </c>
      <c r="S18" s="36" t="s">
        <v>38</v>
      </c>
      <c r="T18" s="38">
        <v>73566.157569364281</v>
      </c>
      <c r="U18" s="36" t="s">
        <v>39</v>
      </c>
      <c r="V18" s="38">
        <v>106116.23320430638</v>
      </c>
      <c r="W18" s="36" t="s">
        <v>40</v>
      </c>
      <c r="X18" s="38">
        <v>74162.620031057086</v>
      </c>
      <c r="Y18" s="36" t="s">
        <v>41</v>
      </c>
      <c r="Z18" s="38">
        <v>71653.442009501159</v>
      </c>
      <c r="AE18" s="1"/>
    </row>
    <row r="19" spans="2:31" ht="15.5" thickTop="1" thickBot="1">
      <c r="B19" s="39"/>
      <c r="C19" s="32"/>
      <c r="D19" s="33" t="s">
        <v>27</v>
      </c>
      <c r="E19" s="34" t="s">
        <v>12</v>
      </c>
      <c r="F19" s="35">
        <v>98924.038959539452</v>
      </c>
      <c r="G19" s="34" t="s">
        <v>32</v>
      </c>
      <c r="H19" s="35">
        <v>67666.284789449332</v>
      </c>
      <c r="I19" s="34" t="s">
        <v>45</v>
      </c>
      <c r="J19" s="35">
        <v>63539</v>
      </c>
      <c r="K19" s="36" t="s">
        <v>46</v>
      </c>
      <c r="L19" s="37">
        <v>53215</v>
      </c>
      <c r="M19" s="36" t="s">
        <v>47</v>
      </c>
      <c r="N19" s="37">
        <v>49692.79391267123</v>
      </c>
      <c r="O19" s="36" t="s">
        <v>36</v>
      </c>
      <c r="P19" s="37">
        <v>38932.569672999918</v>
      </c>
      <c r="Q19" s="36" t="s">
        <v>37</v>
      </c>
      <c r="R19" s="38">
        <v>25916.7015754895</v>
      </c>
      <c r="S19" s="36" t="s">
        <v>38</v>
      </c>
      <c r="T19" s="38">
        <v>28493.155275733567</v>
      </c>
      <c r="U19" s="36" t="s">
        <v>39</v>
      </c>
      <c r="V19" s="38">
        <v>39109.133010469923</v>
      </c>
      <c r="W19" s="36" t="s">
        <v>40</v>
      </c>
      <c r="X19" s="38">
        <v>29865.822820823312</v>
      </c>
      <c r="Y19" s="36" t="s">
        <v>41</v>
      </c>
      <c r="Z19" s="38">
        <v>27896.897184360736</v>
      </c>
      <c r="AE19" s="1"/>
    </row>
    <row r="20" spans="2:31" ht="15.5" thickTop="1" thickBot="1">
      <c r="B20" s="39"/>
      <c r="C20" s="32" t="s">
        <v>48</v>
      </c>
      <c r="D20" s="33" t="s">
        <v>11</v>
      </c>
      <c r="E20" s="34" t="s">
        <v>12</v>
      </c>
      <c r="F20" s="35">
        <v>333821.59988003358</v>
      </c>
      <c r="G20" s="34" t="s">
        <v>49</v>
      </c>
      <c r="H20" s="35">
        <v>311611.05692693422</v>
      </c>
      <c r="I20" s="34" t="s">
        <v>50</v>
      </c>
      <c r="J20" s="35">
        <v>376913</v>
      </c>
      <c r="K20" s="36" t="s">
        <v>34</v>
      </c>
      <c r="L20" s="37">
        <v>326517</v>
      </c>
      <c r="M20" s="36" t="s">
        <v>35</v>
      </c>
      <c r="N20" s="37">
        <v>374957.1751527536</v>
      </c>
      <c r="O20" s="36" t="s">
        <v>51</v>
      </c>
      <c r="P20" s="37">
        <v>323096.42836756073</v>
      </c>
      <c r="Q20" s="36" t="s">
        <v>37</v>
      </c>
      <c r="R20" s="38">
        <v>253038.23182522587</v>
      </c>
      <c r="S20" s="36" t="s">
        <v>38</v>
      </c>
      <c r="T20" s="38">
        <v>250720.66956215684</v>
      </c>
      <c r="U20" s="36" t="s">
        <v>39</v>
      </c>
      <c r="V20" s="38">
        <v>258773.78114806127</v>
      </c>
      <c r="W20" s="36" t="s">
        <v>40</v>
      </c>
      <c r="X20" s="38">
        <v>277351.12235932716</v>
      </c>
      <c r="Y20" s="36" t="s">
        <v>41</v>
      </c>
      <c r="Z20" s="38">
        <v>273816.9468779515</v>
      </c>
      <c r="AE20" s="1"/>
    </row>
    <row r="21" spans="2:31" ht="15.5" thickTop="1" thickBot="1">
      <c r="B21" s="39"/>
      <c r="C21" s="32"/>
      <c r="D21" s="33" t="s">
        <v>23</v>
      </c>
      <c r="E21" s="34" t="s">
        <v>12</v>
      </c>
      <c r="F21" s="35">
        <v>410142.68386085174</v>
      </c>
      <c r="G21" s="34" t="s">
        <v>32</v>
      </c>
      <c r="H21" s="35">
        <v>468269.29590582388</v>
      </c>
      <c r="I21" s="34" t="s">
        <v>52</v>
      </c>
      <c r="J21" s="35">
        <v>463086</v>
      </c>
      <c r="K21" s="36" t="s">
        <v>43</v>
      </c>
      <c r="L21" s="37">
        <v>490669</v>
      </c>
      <c r="M21" s="36" t="s">
        <v>44</v>
      </c>
      <c r="N21" s="37">
        <v>417290.70968483289</v>
      </c>
      <c r="O21" s="36" t="s">
        <v>51</v>
      </c>
      <c r="P21" s="37">
        <v>392883.30541600042</v>
      </c>
      <c r="Q21" s="36" t="s">
        <v>37</v>
      </c>
      <c r="R21" s="38">
        <v>374969.32123441366</v>
      </c>
      <c r="S21" s="36" t="s">
        <v>38</v>
      </c>
      <c r="T21" s="38">
        <v>401964.13996071398</v>
      </c>
      <c r="U21" s="36" t="s">
        <v>39</v>
      </c>
      <c r="V21" s="38">
        <v>426123.24710104137</v>
      </c>
      <c r="W21" s="36" t="s">
        <v>40</v>
      </c>
      <c r="X21" s="38">
        <v>382587.31080845662</v>
      </c>
      <c r="Y21" s="36" t="s">
        <v>41</v>
      </c>
      <c r="Z21" s="38">
        <v>353200.40920927864</v>
      </c>
      <c r="AE21" s="1"/>
    </row>
    <row r="22" spans="2:31" ht="15.5" thickTop="1" thickBot="1">
      <c r="B22" s="39"/>
      <c r="C22" s="32"/>
      <c r="D22" s="33" t="s">
        <v>27</v>
      </c>
      <c r="E22" s="34" t="s">
        <v>12</v>
      </c>
      <c r="F22" s="35">
        <v>100534.49322677215</v>
      </c>
      <c r="G22" s="34" t="s">
        <v>53</v>
      </c>
      <c r="H22" s="35">
        <v>115162.20549138355</v>
      </c>
      <c r="I22" s="34" t="s">
        <v>54</v>
      </c>
      <c r="J22" s="35">
        <v>113512</v>
      </c>
      <c r="K22" s="36" t="s">
        <v>46</v>
      </c>
      <c r="L22" s="37">
        <v>120671</v>
      </c>
      <c r="M22" s="36" t="s">
        <v>47</v>
      </c>
      <c r="N22" s="37">
        <v>150135.01869425765</v>
      </c>
      <c r="O22" s="36" t="s">
        <v>51</v>
      </c>
      <c r="P22" s="37">
        <v>70590.986151999867</v>
      </c>
      <c r="Q22" s="36" t="s">
        <v>37</v>
      </c>
      <c r="R22" s="38">
        <v>70415.122795828822</v>
      </c>
      <c r="S22" s="36" t="s">
        <v>38</v>
      </c>
      <c r="T22" s="38">
        <v>74474.300818076343</v>
      </c>
      <c r="U22" s="36" t="s">
        <v>39</v>
      </c>
      <c r="V22" s="38">
        <v>94501.381234316228</v>
      </c>
      <c r="W22" s="36" t="s">
        <v>40</v>
      </c>
      <c r="X22" s="38">
        <v>79622.39416198153</v>
      </c>
      <c r="Y22" s="36" t="s">
        <v>41</v>
      </c>
      <c r="Z22" s="38">
        <v>74308.967771275435</v>
      </c>
      <c r="AE22" s="1"/>
    </row>
    <row r="23" spans="2:31" ht="15.5" thickTop="1" thickBot="1">
      <c r="B23" s="39"/>
      <c r="C23" s="32" t="s">
        <v>55</v>
      </c>
      <c r="D23" s="33" t="s">
        <v>11</v>
      </c>
      <c r="E23" s="34" t="s">
        <v>12</v>
      </c>
      <c r="F23" s="35">
        <v>1177840.2251444831</v>
      </c>
      <c r="G23" s="34" t="s">
        <v>32</v>
      </c>
      <c r="H23" s="35">
        <v>1218489.7743387897</v>
      </c>
      <c r="I23" s="34" t="s">
        <v>50</v>
      </c>
      <c r="J23" s="35">
        <v>1304372</v>
      </c>
      <c r="K23" s="36" t="s">
        <v>34</v>
      </c>
      <c r="L23" s="37">
        <v>1408615</v>
      </c>
      <c r="M23" s="36" t="s">
        <v>35</v>
      </c>
      <c r="N23" s="37">
        <v>1425251.8354370124</v>
      </c>
      <c r="O23" s="36" t="s">
        <v>36</v>
      </c>
      <c r="P23" s="37">
        <v>1212212.1212021699</v>
      </c>
      <c r="Q23" s="36" t="s">
        <v>37</v>
      </c>
      <c r="R23" s="38">
        <v>1068890.462726614</v>
      </c>
      <c r="S23" s="36" t="s">
        <v>38</v>
      </c>
      <c r="T23" s="38">
        <v>1036600.4716451596</v>
      </c>
      <c r="U23" s="36" t="s">
        <v>39</v>
      </c>
      <c r="V23" s="38">
        <v>1074848.7696903634</v>
      </c>
      <c r="W23" s="36" t="s">
        <v>40</v>
      </c>
      <c r="X23" s="38">
        <v>1110233.3601128701</v>
      </c>
      <c r="Y23" s="36" t="s">
        <v>41</v>
      </c>
      <c r="Z23" s="38">
        <v>1068249.4965463206</v>
      </c>
      <c r="AE23" s="1"/>
    </row>
    <row r="24" spans="2:31" ht="15.5" thickTop="1" thickBot="1">
      <c r="B24" s="39"/>
      <c r="C24" s="32"/>
      <c r="D24" s="33" t="s">
        <v>23</v>
      </c>
      <c r="E24" s="34" t="s">
        <v>12</v>
      </c>
      <c r="F24" s="35">
        <v>975655.33033611905</v>
      </c>
      <c r="G24" s="34" t="s">
        <v>56</v>
      </c>
      <c r="H24" s="35">
        <v>957121.05129790225</v>
      </c>
      <c r="I24" s="34" t="s">
        <v>52</v>
      </c>
      <c r="J24" s="35">
        <v>1080467</v>
      </c>
      <c r="K24" s="36" t="s">
        <v>43</v>
      </c>
      <c r="L24" s="37">
        <v>1106464</v>
      </c>
      <c r="M24" s="36" t="s">
        <v>44</v>
      </c>
      <c r="N24" s="37">
        <v>1129032.615257764</v>
      </c>
      <c r="O24" s="36" t="s">
        <v>36</v>
      </c>
      <c r="P24" s="37">
        <v>1019540.9318927146</v>
      </c>
      <c r="Q24" s="36" t="s">
        <v>37</v>
      </c>
      <c r="R24" s="38">
        <v>1019540.9318927143</v>
      </c>
      <c r="S24" s="36" t="s">
        <v>38</v>
      </c>
      <c r="T24" s="38">
        <v>984149.28078222531</v>
      </c>
      <c r="U24" s="36" t="s">
        <v>39</v>
      </c>
      <c r="V24" s="38">
        <v>964542.03730085678</v>
      </c>
      <c r="W24" s="36" t="s">
        <v>40</v>
      </c>
      <c r="X24" s="38">
        <v>898303.47342949826</v>
      </c>
      <c r="Y24" s="36" t="s">
        <v>41</v>
      </c>
      <c r="Z24" s="38">
        <v>837169.03187728394</v>
      </c>
      <c r="AE24" s="1"/>
    </row>
    <row r="25" spans="2:31" ht="15.5" thickTop="1" thickBot="1">
      <c r="B25" s="40"/>
      <c r="C25" s="32"/>
      <c r="D25" s="33" t="s">
        <v>27</v>
      </c>
      <c r="E25" s="34" t="s">
        <v>12</v>
      </c>
      <c r="F25" s="35">
        <v>320608.05654947268</v>
      </c>
      <c r="G25" s="34" t="s">
        <v>32</v>
      </c>
      <c r="H25" s="35">
        <v>321970.77300530422</v>
      </c>
      <c r="I25" s="34" t="s">
        <v>54</v>
      </c>
      <c r="J25" s="35">
        <v>355050</v>
      </c>
      <c r="K25" s="36" t="s">
        <v>46</v>
      </c>
      <c r="L25" s="37">
        <v>372209</v>
      </c>
      <c r="M25" s="36" t="s">
        <v>47</v>
      </c>
      <c r="N25" s="37">
        <v>385026.5578553286</v>
      </c>
      <c r="O25" s="36" t="s">
        <v>36</v>
      </c>
      <c r="P25" s="37">
        <v>240620.68623599954</v>
      </c>
      <c r="Q25" s="36" t="s">
        <v>37</v>
      </c>
      <c r="R25" s="38">
        <v>200358.89056651946</v>
      </c>
      <c r="S25" s="36" t="s">
        <v>38</v>
      </c>
      <c r="T25" s="38">
        <v>220534.27465427853</v>
      </c>
      <c r="U25" s="36" t="s">
        <v>39</v>
      </c>
      <c r="V25" s="38">
        <v>229766.59263530676</v>
      </c>
      <c r="W25" s="36" t="s">
        <v>40</v>
      </c>
      <c r="X25" s="38">
        <v>208865.90663192287</v>
      </c>
      <c r="Y25" s="36" t="s">
        <v>41</v>
      </c>
      <c r="Z25" s="38">
        <v>181377.18074426986</v>
      </c>
      <c r="AE25" s="1"/>
    </row>
    <row r="26" spans="2:31" ht="15.5" thickTop="1" thickBot="1">
      <c r="B26" s="31" t="s">
        <v>57</v>
      </c>
      <c r="C26" s="41" t="s">
        <v>58</v>
      </c>
      <c r="D26" s="42"/>
      <c r="E26" s="36" t="s">
        <v>59</v>
      </c>
      <c r="F26" s="35">
        <v>989.43</v>
      </c>
      <c r="G26" s="36" t="s">
        <v>59</v>
      </c>
      <c r="H26" s="35">
        <v>1406</v>
      </c>
      <c r="I26" s="36" t="s">
        <v>59</v>
      </c>
      <c r="J26" s="35">
        <v>2051</v>
      </c>
      <c r="K26" s="36" t="s">
        <v>59</v>
      </c>
      <c r="L26" s="37">
        <v>2606</v>
      </c>
      <c r="M26" s="36" t="s">
        <v>59</v>
      </c>
      <c r="N26" s="37">
        <v>2891</v>
      </c>
      <c r="O26" s="36" t="s">
        <v>59</v>
      </c>
      <c r="P26" s="37">
        <v>3049</v>
      </c>
      <c r="Q26" s="36" t="s">
        <v>60</v>
      </c>
      <c r="R26" s="38">
        <v>3254</v>
      </c>
      <c r="S26" s="36" t="s">
        <v>60</v>
      </c>
      <c r="T26" s="38">
        <v>3839</v>
      </c>
      <c r="U26" s="36" t="s">
        <v>60</v>
      </c>
      <c r="V26" s="38">
        <v>4496</v>
      </c>
      <c r="W26" s="36" t="s">
        <v>60</v>
      </c>
      <c r="X26" s="38">
        <v>5237</v>
      </c>
      <c r="Y26" s="36" t="s">
        <v>60</v>
      </c>
      <c r="Z26" s="38">
        <v>5807</v>
      </c>
      <c r="AE26" s="1"/>
    </row>
    <row r="27" spans="2:31" ht="15.5" thickTop="1" thickBot="1">
      <c r="B27" s="39"/>
      <c r="C27" s="41" t="s">
        <v>61</v>
      </c>
      <c r="D27" s="42"/>
      <c r="E27" s="34" t="s">
        <v>62</v>
      </c>
      <c r="F27" s="35">
        <v>1692000</v>
      </c>
      <c r="G27" s="34" t="s">
        <v>63</v>
      </c>
      <c r="H27" s="35">
        <v>1127407</v>
      </c>
      <c r="I27" s="34" t="s">
        <v>64</v>
      </c>
      <c r="J27" s="35">
        <v>973223</v>
      </c>
      <c r="K27" s="36" t="s">
        <v>65</v>
      </c>
      <c r="L27" s="37">
        <v>792497</v>
      </c>
      <c r="M27" s="36" t="s">
        <v>66</v>
      </c>
      <c r="N27" s="37">
        <v>767729.5</v>
      </c>
      <c r="O27" s="36" t="s">
        <v>67</v>
      </c>
      <c r="P27" s="37">
        <v>696732.27708939894</v>
      </c>
      <c r="Q27" s="36" t="s">
        <v>68</v>
      </c>
      <c r="R27" s="38">
        <v>589698.24437072664</v>
      </c>
      <c r="S27" s="36" t="s">
        <v>69</v>
      </c>
      <c r="T27" s="38">
        <v>498952.01288858696</v>
      </c>
      <c r="U27" s="36" t="s">
        <v>70</v>
      </c>
      <c r="V27" s="38">
        <v>496535.03513383406</v>
      </c>
      <c r="W27" s="36" t="s">
        <v>71</v>
      </c>
      <c r="X27" s="38">
        <v>528827.55917191226</v>
      </c>
      <c r="Y27" s="36" t="s">
        <v>72</v>
      </c>
      <c r="Z27" s="38">
        <v>551960.10961790197</v>
      </c>
      <c r="AE27" s="1"/>
    </row>
    <row r="28" spans="2:31" ht="15.5" thickTop="1" thickBot="1">
      <c r="B28" s="39"/>
      <c r="C28" s="41" t="s">
        <v>73</v>
      </c>
      <c r="D28" s="42"/>
      <c r="E28" s="34" t="s">
        <v>62</v>
      </c>
      <c r="F28" s="35">
        <v>317000</v>
      </c>
      <c r="G28" s="34" t="s">
        <v>63</v>
      </c>
      <c r="H28" s="43">
        <v>178105</v>
      </c>
      <c r="I28" s="34" t="s">
        <v>64</v>
      </c>
      <c r="J28" s="35">
        <v>156422</v>
      </c>
      <c r="K28" s="36" t="s">
        <v>65</v>
      </c>
      <c r="L28" s="37">
        <v>134824</v>
      </c>
      <c r="M28" s="36" t="s">
        <v>66</v>
      </c>
      <c r="N28" s="37">
        <v>108714.06445387025</v>
      </c>
      <c r="O28" s="36" t="s">
        <v>74</v>
      </c>
      <c r="P28" s="37">
        <v>20792.770689440727</v>
      </c>
      <c r="Q28" s="36" t="s">
        <v>75</v>
      </c>
      <c r="R28" s="38">
        <v>35761.085575240097</v>
      </c>
      <c r="S28" s="36" t="s">
        <v>76</v>
      </c>
      <c r="T28" s="38">
        <v>21745.306881266912</v>
      </c>
      <c r="U28" s="36" t="s">
        <v>77</v>
      </c>
      <c r="V28" s="38">
        <v>14092.397180448923</v>
      </c>
      <c r="W28" s="36" t="s">
        <v>78</v>
      </c>
      <c r="X28" s="38">
        <v>57849.051265426053</v>
      </c>
      <c r="Y28" s="36" t="s">
        <v>79</v>
      </c>
      <c r="Z28" s="38">
        <v>23789.380027017873</v>
      </c>
      <c r="AE28" s="1"/>
    </row>
    <row r="29" spans="2:31" ht="15.5" thickTop="1" thickBot="1">
      <c r="B29" s="39"/>
      <c r="C29" s="41" t="s">
        <v>80</v>
      </c>
      <c r="D29" s="42"/>
      <c r="E29" s="34" t="s">
        <v>81</v>
      </c>
      <c r="F29" s="35">
        <v>23177</v>
      </c>
      <c r="G29" s="34" t="s">
        <v>81</v>
      </c>
      <c r="H29" s="35">
        <v>23177</v>
      </c>
      <c r="I29" s="34" t="s">
        <v>82</v>
      </c>
      <c r="J29" s="35">
        <v>20043</v>
      </c>
      <c r="K29" s="34" t="s">
        <v>83</v>
      </c>
      <c r="L29" s="37">
        <v>16851.505782184733</v>
      </c>
      <c r="M29" s="34" t="s">
        <v>83</v>
      </c>
      <c r="N29" s="37">
        <v>16851.505782184733</v>
      </c>
      <c r="O29" s="36" t="s">
        <v>84</v>
      </c>
      <c r="P29" s="37">
        <v>16851.505782184729</v>
      </c>
      <c r="Q29" s="36" t="s">
        <v>85</v>
      </c>
      <c r="R29" s="38">
        <v>17757.38335985399</v>
      </c>
      <c r="S29" s="36" t="s">
        <v>85</v>
      </c>
      <c r="T29" s="38">
        <v>20949.78325706191</v>
      </c>
      <c r="U29" s="36" t="s">
        <v>85</v>
      </c>
      <c r="V29" s="44">
        <v>20782.01741150003</v>
      </c>
      <c r="W29" s="36" t="s">
        <v>85</v>
      </c>
      <c r="X29" s="44">
        <v>20698.806223089603</v>
      </c>
      <c r="Y29" s="36" t="s">
        <v>85</v>
      </c>
      <c r="Z29" s="44">
        <v>20615.928212240313</v>
      </c>
      <c r="AE29" s="1"/>
    </row>
    <row r="30" spans="2:31" ht="15.5" thickTop="1" thickBot="1">
      <c r="B30" s="39"/>
      <c r="C30" s="41" t="s">
        <v>86</v>
      </c>
      <c r="D30" s="42"/>
      <c r="E30" s="34" t="s">
        <v>62</v>
      </c>
      <c r="F30" s="35">
        <v>524000</v>
      </c>
      <c r="G30" s="34" t="s">
        <v>63</v>
      </c>
      <c r="H30" s="35">
        <v>371480</v>
      </c>
      <c r="I30" s="34" t="s">
        <v>64</v>
      </c>
      <c r="J30" s="35">
        <v>403144</v>
      </c>
      <c r="K30" s="36" t="s">
        <v>65</v>
      </c>
      <c r="L30" s="37">
        <v>367248</v>
      </c>
      <c r="M30" s="36" t="s">
        <v>66</v>
      </c>
      <c r="N30" s="37">
        <v>351931.3954575769</v>
      </c>
      <c r="O30" s="36" t="s">
        <v>74</v>
      </c>
      <c r="P30" s="37">
        <v>327645.95370391163</v>
      </c>
      <c r="Q30" s="36" t="s">
        <v>87</v>
      </c>
      <c r="R30" s="38">
        <v>297860.71716957568</v>
      </c>
      <c r="S30" s="36" t="s">
        <v>76</v>
      </c>
      <c r="T30" s="38">
        <v>260479.01686208553</v>
      </c>
      <c r="U30" s="36" t="s">
        <v>77</v>
      </c>
      <c r="V30" s="38">
        <v>172574.10506577129</v>
      </c>
      <c r="W30" s="36" t="s">
        <v>78</v>
      </c>
      <c r="X30" s="38">
        <v>192187.21017951003</v>
      </c>
      <c r="Y30" s="36" t="s">
        <v>79</v>
      </c>
      <c r="Z30" s="38">
        <v>155407.35502171621</v>
      </c>
      <c r="AE30" s="1"/>
    </row>
    <row r="31" spans="2:31" ht="15.5" thickTop="1" thickBot="1">
      <c r="B31" s="39"/>
      <c r="C31" s="41" t="s">
        <v>88</v>
      </c>
      <c r="D31" s="42"/>
      <c r="E31" s="34" t="s">
        <v>62</v>
      </c>
      <c r="F31" s="35">
        <v>405000</v>
      </c>
      <c r="G31" s="34" t="s">
        <v>63</v>
      </c>
      <c r="H31" s="35">
        <v>301995</v>
      </c>
      <c r="I31" s="34" t="s">
        <v>64</v>
      </c>
      <c r="J31" s="35">
        <v>303509</v>
      </c>
      <c r="K31" s="36" t="s">
        <v>65</v>
      </c>
      <c r="L31" s="37">
        <v>264405</v>
      </c>
      <c r="M31" s="36" t="s">
        <v>66</v>
      </c>
      <c r="N31" s="37">
        <v>246857.8178519558</v>
      </c>
      <c r="O31" s="36" t="s">
        <v>74</v>
      </c>
      <c r="P31" s="37">
        <v>222684.050799939</v>
      </c>
      <c r="Q31" s="36" t="s">
        <v>89</v>
      </c>
      <c r="R31" s="38">
        <v>175261.66423768035</v>
      </c>
      <c r="S31" s="36" t="s">
        <v>76</v>
      </c>
      <c r="T31" s="38">
        <v>147168.66440364331</v>
      </c>
      <c r="U31" s="36" t="s">
        <v>77</v>
      </c>
      <c r="V31" s="38">
        <v>98938.512589312711</v>
      </c>
      <c r="W31" s="36" t="s">
        <v>78</v>
      </c>
      <c r="X31" s="38">
        <v>116082.93970809548</v>
      </c>
      <c r="Y31" s="36" t="s">
        <v>79</v>
      </c>
      <c r="Z31" s="38">
        <v>95081.034395860188</v>
      </c>
      <c r="AE31" s="1"/>
    </row>
    <row r="32" spans="2:31" ht="15.5" thickTop="1" thickBot="1">
      <c r="B32" s="39"/>
      <c r="C32" s="41" t="s">
        <v>90</v>
      </c>
      <c r="D32" s="42"/>
      <c r="E32" s="34" t="s">
        <v>62</v>
      </c>
      <c r="F32" s="35">
        <v>2670000</v>
      </c>
      <c r="G32" s="34" t="s">
        <v>63</v>
      </c>
      <c r="H32" s="35">
        <v>1515276</v>
      </c>
      <c r="I32" s="34" t="s">
        <v>64</v>
      </c>
      <c r="J32" s="35">
        <v>1912048</v>
      </c>
      <c r="K32" s="36" t="s">
        <v>65</v>
      </c>
      <c r="L32" s="37">
        <v>1489761</v>
      </c>
      <c r="M32" s="36" t="s">
        <v>66</v>
      </c>
      <c r="N32" s="37">
        <v>1387203.1973794482</v>
      </c>
      <c r="O32" s="36" t="s">
        <v>91</v>
      </c>
      <c r="P32" s="37">
        <v>1672627.0894987828</v>
      </c>
      <c r="Q32" s="36" t="s">
        <v>92</v>
      </c>
      <c r="R32" s="38">
        <v>1428161.3021242721</v>
      </c>
      <c r="S32" s="36" t="s">
        <v>93</v>
      </c>
      <c r="T32" s="38">
        <v>1682662.0402921853</v>
      </c>
      <c r="U32" s="36" t="s">
        <v>94</v>
      </c>
      <c r="V32" s="38">
        <v>1059841.8460104216</v>
      </c>
      <c r="W32" s="36" t="s">
        <v>95</v>
      </c>
      <c r="X32" s="38">
        <v>1053923.1137468002</v>
      </c>
      <c r="Y32" s="36" t="s">
        <v>96</v>
      </c>
      <c r="Z32" s="38">
        <v>943249.41672669793</v>
      </c>
      <c r="AE32" s="1"/>
    </row>
    <row r="33" spans="2:46" ht="15.5" thickTop="1" thickBot="1">
      <c r="B33" s="39"/>
      <c r="C33" s="41" t="s">
        <v>97</v>
      </c>
      <c r="D33" s="42"/>
      <c r="E33" s="34" t="s">
        <v>98</v>
      </c>
      <c r="F33" s="37">
        <v>17481847.658275608</v>
      </c>
      <c r="G33" s="34" t="s">
        <v>98</v>
      </c>
      <c r="H33" s="35">
        <v>19990112.757071674</v>
      </c>
      <c r="I33" s="34" t="s">
        <v>98</v>
      </c>
      <c r="J33" s="35">
        <v>22858259.370042831</v>
      </c>
      <c r="K33" s="34" t="s">
        <v>98</v>
      </c>
      <c r="L33" s="37">
        <v>24944905.453615207</v>
      </c>
      <c r="M33" s="34" t="s">
        <v>98</v>
      </c>
      <c r="N33" s="37">
        <v>26033770.374209523</v>
      </c>
      <c r="O33" s="34" t="s">
        <v>98</v>
      </c>
      <c r="P33" s="37">
        <v>27170165.112766288</v>
      </c>
      <c r="Q33" s="36" t="s">
        <v>99</v>
      </c>
      <c r="R33" s="38">
        <v>28356164.383561645</v>
      </c>
      <c r="S33" s="36" t="s">
        <v>99</v>
      </c>
      <c r="T33" s="38">
        <v>30205479.452054795</v>
      </c>
      <c r="U33" s="36" t="s">
        <v>99</v>
      </c>
      <c r="V33" s="38">
        <v>32424657.534246579</v>
      </c>
      <c r="W33" s="36" t="s">
        <v>99</v>
      </c>
      <c r="X33" s="38">
        <v>31438356.164383564</v>
      </c>
      <c r="Y33" s="36" t="s">
        <v>99</v>
      </c>
      <c r="Z33" s="38">
        <v>32424657.534246579</v>
      </c>
      <c r="AE33" s="1"/>
    </row>
    <row r="34" spans="2:46" ht="15.5" thickTop="1" thickBot="1">
      <c r="B34" s="39"/>
      <c r="C34" s="41" t="s">
        <v>100</v>
      </c>
      <c r="D34" s="42"/>
      <c r="E34" s="34" t="s">
        <v>98</v>
      </c>
      <c r="F34" s="37">
        <v>9486896.5438885596</v>
      </c>
      <c r="G34" s="34" t="s">
        <v>98</v>
      </c>
      <c r="H34" s="35">
        <v>10284929.507879186</v>
      </c>
      <c r="I34" s="34" t="s">
        <v>98</v>
      </c>
      <c r="J34" s="35">
        <v>11150092.603274684</v>
      </c>
      <c r="K34" s="34" t="s">
        <v>98</v>
      </c>
      <c r="L34" s="37">
        <v>11758331.149565989</v>
      </c>
      <c r="M34" s="34" t="s">
        <v>98</v>
      </c>
      <c r="N34" s="37">
        <v>12070525.053537095</v>
      </c>
      <c r="O34" s="34" t="s">
        <v>98</v>
      </c>
      <c r="P34" s="37">
        <v>12391007.976794779</v>
      </c>
      <c r="Q34" s="36" t="s">
        <v>99</v>
      </c>
      <c r="R34" s="38">
        <v>12720000</v>
      </c>
      <c r="S34" s="36" t="s">
        <v>99</v>
      </c>
      <c r="T34" s="38">
        <v>13510000</v>
      </c>
      <c r="U34" s="36" t="s">
        <v>99</v>
      </c>
      <c r="V34" s="38">
        <v>12690000</v>
      </c>
      <c r="W34" s="36" t="s">
        <v>99</v>
      </c>
      <c r="X34" s="38">
        <v>12840000</v>
      </c>
      <c r="Y34" s="36" t="s">
        <v>99</v>
      </c>
      <c r="Z34" s="38">
        <v>13790000</v>
      </c>
      <c r="AE34" s="1"/>
    </row>
    <row r="35" spans="2:46" ht="15.5" thickTop="1" thickBot="1">
      <c r="B35" s="39"/>
      <c r="C35" s="41" t="s">
        <v>101</v>
      </c>
      <c r="D35" s="42"/>
      <c r="E35" s="34" t="s">
        <v>62</v>
      </c>
      <c r="F35" s="37">
        <v>308162.77660780301</v>
      </c>
      <c r="G35" s="34" t="s">
        <v>102</v>
      </c>
      <c r="H35" s="35">
        <v>400030</v>
      </c>
      <c r="I35" s="34" t="s">
        <v>103</v>
      </c>
      <c r="J35" s="35">
        <v>513644</v>
      </c>
      <c r="K35" s="36" t="s">
        <v>104</v>
      </c>
      <c r="L35" s="37">
        <v>553006</v>
      </c>
      <c r="M35" s="36" t="s">
        <v>105</v>
      </c>
      <c r="N35" s="37">
        <v>576346.25906341081</v>
      </c>
      <c r="O35" s="36" t="s">
        <v>106</v>
      </c>
      <c r="P35" s="37">
        <v>105674.94629900006</v>
      </c>
      <c r="Q35" s="36" t="s">
        <v>107</v>
      </c>
      <c r="R35" s="38">
        <v>524518.27471990092</v>
      </c>
      <c r="S35" s="36" t="s">
        <v>108</v>
      </c>
      <c r="T35" s="38">
        <v>70291.655854557073</v>
      </c>
      <c r="U35" s="36" t="s">
        <v>109</v>
      </c>
      <c r="V35" s="38">
        <v>458275.88577780552</v>
      </c>
      <c r="W35" s="36" t="s">
        <v>110</v>
      </c>
      <c r="X35" s="38">
        <v>554094.02431405743</v>
      </c>
      <c r="Y35" s="36" t="s">
        <v>111</v>
      </c>
      <c r="Z35" s="38">
        <v>376745.77189608058</v>
      </c>
      <c r="AE35" s="1"/>
    </row>
    <row r="36" spans="2:46" ht="15.5" thickTop="1" thickBot="1">
      <c r="B36" s="39"/>
      <c r="C36" s="41" t="s">
        <v>112</v>
      </c>
      <c r="D36" s="42"/>
      <c r="E36" s="34" t="s">
        <v>62</v>
      </c>
      <c r="F36" s="37">
        <v>266839.26029143028</v>
      </c>
      <c r="G36" s="34" t="s">
        <v>102</v>
      </c>
      <c r="H36" s="35">
        <v>117040</v>
      </c>
      <c r="I36" s="34" t="s">
        <v>113</v>
      </c>
      <c r="J36" s="35">
        <v>196165</v>
      </c>
      <c r="K36" s="36" t="s">
        <v>114</v>
      </c>
      <c r="L36" s="37">
        <v>287080</v>
      </c>
      <c r="M36" s="36" t="s">
        <v>115</v>
      </c>
      <c r="N36" s="37">
        <v>78857.794848456659</v>
      </c>
      <c r="O36" s="36" t="s">
        <v>106</v>
      </c>
      <c r="P36" s="37">
        <v>446358.93667199998</v>
      </c>
      <c r="Q36" s="36" t="s">
        <v>116</v>
      </c>
      <c r="R36" s="38">
        <v>280845.58279883425</v>
      </c>
      <c r="S36" s="36" t="s">
        <v>108</v>
      </c>
      <c r="T36" s="38">
        <v>198716.80964562827</v>
      </c>
      <c r="U36" s="36" t="s">
        <v>109</v>
      </c>
      <c r="V36" s="38">
        <v>179336.35521878776</v>
      </c>
      <c r="W36" s="36" t="s">
        <v>110</v>
      </c>
      <c r="X36" s="38">
        <v>311843.70214887831</v>
      </c>
      <c r="Y36" s="36" t="s">
        <v>111</v>
      </c>
      <c r="Z36" s="38">
        <v>455071.31759035861</v>
      </c>
      <c r="AE36" s="1"/>
    </row>
    <row r="37" spans="2:46" ht="15.5" thickTop="1" thickBot="1">
      <c r="B37" s="39"/>
      <c r="C37" s="32" t="s">
        <v>117</v>
      </c>
      <c r="D37" s="45"/>
      <c r="E37" s="34"/>
      <c r="F37" s="46"/>
      <c r="G37" s="47"/>
      <c r="H37" s="35"/>
      <c r="I37" s="47"/>
      <c r="J37" s="35"/>
      <c r="K37" s="47"/>
      <c r="L37" s="48"/>
      <c r="M37" s="47"/>
      <c r="N37" s="48"/>
      <c r="O37" s="47"/>
      <c r="P37" s="38"/>
      <c r="Q37" s="47"/>
      <c r="R37" s="49"/>
      <c r="S37" s="47"/>
      <c r="T37" s="49"/>
      <c r="U37" s="47"/>
      <c r="V37" s="49"/>
      <c r="W37" s="47"/>
      <c r="X37" s="49"/>
      <c r="Y37" s="47"/>
      <c r="Z37" s="49"/>
      <c r="AE37" s="1"/>
    </row>
    <row r="38" spans="2:46" ht="15.5" thickTop="1" thickBot="1">
      <c r="B38" s="40"/>
      <c r="C38" s="50" t="s">
        <v>118</v>
      </c>
      <c r="D38" s="51"/>
      <c r="E38" s="52"/>
      <c r="F38" s="52">
        <v>37997290.773705795</v>
      </c>
      <c r="G38" s="52"/>
      <c r="H38" s="52">
        <v>39106351.082236722</v>
      </c>
      <c r="I38" s="52"/>
      <c r="J38" s="52">
        <v>43523252.973317519</v>
      </c>
      <c r="K38" s="52"/>
      <c r="L38" s="52">
        <v>45865051.108963378</v>
      </c>
      <c r="M38" s="52"/>
      <c r="N38" s="52">
        <v>46877227.756783411</v>
      </c>
      <c r="O38" s="52"/>
      <c r="P38" s="52">
        <v>47616002.044320405</v>
      </c>
      <c r="Q38" s="52"/>
      <c r="R38" s="52">
        <v>48556593.950505912</v>
      </c>
      <c r="S38" s="52"/>
      <c r="T38" s="52">
        <v>50677079.435412392</v>
      </c>
      <c r="U38" s="52"/>
      <c r="V38" s="52">
        <v>51955453.465212643</v>
      </c>
      <c r="W38" s="52"/>
      <c r="X38" s="52">
        <v>51186029.320599481</v>
      </c>
      <c r="Y38" s="52"/>
      <c r="Z38" s="52">
        <v>52702878.286888376</v>
      </c>
      <c r="AE38" s="1"/>
    </row>
    <row r="39" spans="2:46">
      <c r="E39" s="53"/>
      <c r="O39" s="54"/>
      <c r="AE39" s="1"/>
    </row>
    <row r="40" spans="2:46">
      <c r="B40" s="55" t="s">
        <v>119</v>
      </c>
      <c r="C40" s="55"/>
      <c r="D40" s="55"/>
      <c r="E40" s="55"/>
      <c r="F40" s="55"/>
      <c r="G40" s="55" t="s">
        <v>119</v>
      </c>
      <c r="H40" s="55"/>
      <c r="I40" s="55"/>
      <c r="J40" s="55"/>
      <c r="K40" s="55"/>
      <c r="L40" s="55" t="s">
        <v>119</v>
      </c>
      <c r="M40" s="55"/>
      <c r="N40" s="55"/>
      <c r="O40" s="55"/>
      <c r="P40" s="55"/>
      <c r="Q40" s="55" t="s">
        <v>119</v>
      </c>
      <c r="R40" s="55"/>
      <c r="S40" s="55"/>
      <c r="T40" s="55"/>
      <c r="U40" s="55"/>
      <c r="V40" s="16" t="s">
        <v>119</v>
      </c>
      <c r="W40" s="16"/>
      <c r="X40" s="16"/>
      <c r="Y40" s="16"/>
      <c r="Z40" s="16"/>
      <c r="AA40" s="16" t="s">
        <v>119</v>
      </c>
      <c r="AB40" s="16"/>
      <c r="AC40" s="16"/>
      <c r="AD40" s="16"/>
      <c r="AE40" s="16"/>
      <c r="AF40" s="16" t="s">
        <v>119</v>
      </c>
      <c r="AG40" s="16"/>
      <c r="AH40" s="16"/>
      <c r="AI40" s="16"/>
      <c r="AJ40" s="16"/>
      <c r="AK40" s="16" t="s">
        <v>119</v>
      </c>
      <c r="AL40" s="16"/>
      <c r="AM40" s="16"/>
      <c r="AN40" s="16"/>
      <c r="AO40" s="16"/>
      <c r="AP40" s="16" t="s">
        <v>119</v>
      </c>
      <c r="AQ40" s="16"/>
      <c r="AR40" s="16"/>
      <c r="AS40" s="16"/>
      <c r="AT40" s="16"/>
    </row>
    <row r="41" spans="2:46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2:46">
      <c r="AE42" s="1"/>
    </row>
    <row r="43" spans="2:46" ht="19" thickBot="1">
      <c r="C43" s="56" t="s">
        <v>4</v>
      </c>
      <c r="D43" s="56"/>
      <c r="E43" s="57" t="s">
        <v>120</v>
      </c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AF43" s="1"/>
    </row>
    <row r="44" spans="2:46">
      <c r="C44" s="59" t="s">
        <v>121</v>
      </c>
      <c r="D44" s="59"/>
      <c r="E44" s="60">
        <v>1994</v>
      </c>
      <c r="F44" s="61"/>
      <c r="G44" s="62"/>
      <c r="H44" s="60">
        <v>2000</v>
      </c>
      <c r="I44" s="61"/>
      <c r="J44" s="62"/>
      <c r="K44" s="60">
        <v>2006</v>
      </c>
      <c r="L44" s="61"/>
      <c r="M44" s="62"/>
      <c r="N44" s="60">
        <v>2010</v>
      </c>
      <c r="O44" s="61"/>
      <c r="P44" s="62"/>
      <c r="Q44" s="60">
        <v>2012</v>
      </c>
      <c r="R44" s="61"/>
      <c r="S44" s="62"/>
      <c r="T44" s="60">
        <v>2014</v>
      </c>
      <c r="U44" s="61"/>
      <c r="V44" s="62"/>
      <c r="W44" s="60">
        <v>2016</v>
      </c>
      <c r="X44" s="61"/>
      <c r="Y44" s="62"/>
      <c r="Z44" s="60">
        <v>2018</v>
      </c>
      <c r="AA44" s="61"/>
      <c r="AB44" s="62"/>
      <c r="AC44" s="60">
        <v>2020</v>
      </c>
      <c r="AD44" s="61"/>
      <c r="AE44" s="62"/>
      <c r="AF44" s="60">
        <v>2021</v>
      </c>
      <c r="AG44" s="61"/>
      <c r="AH44" s="62"/>
      <c r="AI44" s="60">
        <v>2022</v>
      </c>
      <c r="AJ44" s="61"/>
      <c r="AK44" s="62"/>
    </row>
    <row r="45" spans="2:46">
      <c r="C45" s="59"/>
      <c r="D45" s="59"/>
      <c r="E45" s="63" t="s">
        <v>7</v>
      </c>
      <c r="F45" s="63" t="s">
        <v>122</v>
      </c>
      <c r="G45" s="63" t="s">
        <v>123</v>
      </c>
      <c r="H45" s="63" t="s">
        <v>7</v>
      </c>
      <c r="I45" s="63" t="s">
        <v>122</v>
      </c>
      <c r="J45" s="63" t="s">
        <v>124</v>
      </c>
      <c r="K45" s="63" t="s">
        <v>7</v>
      </c>
      <c r="L45" s="63" t="s">
        <v>122</v>
      </c>
      <c r="M45" s="63" t="s">
        <v>124</v>
      </c>
      <c r="N45" s="63" t="s">
        <v>7</v>
      </c>
      <c r="O45" s="63" t="s">
        <v>122</v>
      </c>
      <c r="P45" s="63" t="s">
        <v>124</v>
      </c>
      <c r="Q45" s="63" t="s">
        <v>7</v>
      </c>
      <c r="R45" s="63" t="s">
        <v>122</v>
      </c>
      <c r="S45" s="63" t="s">
        <v>124</v>
      </c>
      <c r="T45" s="63" t="s">
        <v>7</v>
      </c>
      <c r="U45" s="63" t="s">
        <v>122</v>
      </c>
      <c r="V45" s="63" t="s">
        <v>123</v>
      </c>
      <c r="W45" s="63" t="s">
        <v>7</v>
      </c>
      <c r="X45" s="63" t="s">
        <v>122</v>
      </c>
      <c r="Y45" s="63" t="s">
        <v>123</v>
      </c>
      <c r="Z45" s="63" t="s">
        <v>7</v>
      </c>
      <c r="AA45" s="63" t="s">
        <v>122</v>
      </c>
      <c r="AB45" s="63" t="s">
        <v>123</v>
      </c>
      <c r="AC45" s="63" t="s">
        <v>7</v>
      </c>
      <c r="AD45" s="63" t="s">
        <v>122</v>
      </c>
      <c r="AE45" s="63" t="s">
        <v>123</v>
      </c>
      <c r="AF45" s="63" t="s">
        <v>7</v>
      </c>
      <c r="AG45" s="63" t="s">
        <v>122</v>
      </c>
      <c r="AH45" s="63" t="s">
        <v>123</v>
      </c>
      <c r="AI45" s="63" t="s">
        <v>7</v>
      </c>
      <c r="AJ45" s="63" t="s">
        <v>122</v>
      </c>
      <c r="AK45" s="63" t="s">
        <v>123</v>
      </c>
    </row>
    <row r="46" spans="2:46">
      <c r="C46" s="64" t="s">
        <v>125</v>
      </c>
      <c r="D46" s="64"/>
      <c r="E46" s="65" t="s">
        <v>62</v>
      </c>
      <c r="F46" s="66">
        <v>400350</v>
      </c>
      <c r="G46" s="67"/>
      <c r="H46" s="65" t="s">
        <v>126</v>
      </c>
      <c r="I46" s="66">
        <v>349726</v>
      </c>
      <c r="J46" s="68"/>
      <c r="K46" s="69" t="s">
        <v>127</v>
      </c>
      <c r="L46" s="70">
        <v>357558</v>
      </c>
      <c r="M46" s="68"/>
      <c r="N46" s="71" t="s">
        <v>128</v>
      </c>
      <c r="O46" s="72">
        <v>393137</v>
      </c>
      <c r="P46" s="68"/>
      <c r="Q46" s="71" t="s">
        <v>129</v>
      </c>
      <c r="R46" s="73">
        <v>371169.99783437001</v>
      </c>
      <c r="S46" s="68"/>
      <c r="T46" s="71" t="s">
        <v>130</v>
      </c>
      <c r="U46" s="74">
        <v>354136</v>
      </c>
      <c r="V46" s="75"/>
      <c r="W46" s="71" t="s">
        <v>131</v>
      </c>
      <c r="X46" s="74">
        <v>385039.49453025428</v>
      </c>
      <c r="Y46" s="75"/>
      <c r="Z46" s="71" t="s">
        <v>132</v>
      </c>
      <c r="AA46" s="74">
        <v>301852.99847142101</v>
      </c>
      <c r="AB46" s="75"/>
      <c r="AC46" s="71" t="s">
        <v>133</v>
      </c>
      <c r="AD46" s="74">
        <v>315023.03738631884</v>
      </c>
      <c r="AE46" s="75"/>
      <c r="AF46" s="71" t="s">
        <v>134</v>
      </c>
      <c r="AG46" s="74">
        <v>342967.0842437534</v>
      </c>
      <c r="AH46" s="75"/>
      <c r="AI46" s="71" t="s">
        <v>135</v>
      </c>
      <c r="AJ46" s="74">
        <v>343061.40916261711</v>
      </c>
      <c r="AK46" s="75"/>
    </row>
    <row r="47" spans="2:46">
      <c r="B47" t="s">
        <v>136</v>
      </c>
      <c r="C47" s="76" t="s">
        <v>137</v>
      </c>
      <c r="D47" s="64"/>
      <c r="E47" s="65"/>
      <c r="F47" s="77">
        <v>0</v>
      </c>
      <c r="G47" s="78">
        <v>0</v>
      </c>
      <c r="H47" s="65"/>
      <c r="I47" s="77">
        <v>0</v>
      </c>
      <c r="J47" s="78">
        <v>0</v>
      </c>
      <c r="K47" s="79"/>
      <c r="L47" s="77">
        <v>0</v>
      </c>
      <c r="M47" s="78">
        <v>0</v>
      </c>
      <c r="N47" s="65"/>
      <c r="O47" s="77">
        <v>0</v>
      </c>
      <c r="P47" s="78">
        <v>0</v>
      </c>
      <c r="Q47" s="65"/>
      <c r="R47" s="77">
        <v>0</v>
      </c>
      <c r="S47" s="78">
        <v>0</v>
      </c>
      <c r="T47" s="65"/>
      <c r="U47" s="77">
        <v>0</v>
      </c>
      <c r="V47" s="78">
        <v>0</v>
      </c>
      <c r="W47" s="65"/>
      <c r="X47" s="77">
        <v>0</v>
      </c>
      <c r="Y47" s="78">
        <v>0</v>
      </c>
      <c r="Z47" s="65"/>
      <c r="AA47" s="77">
        <v>0</v>
      </c>
      <c r="AB47" s="78">
        <v>0</v>
      </c>
      <c r="AC47" s="65"/>
      <c r="AD47" s="77">
        <v>0</v>
      </c>
      <c r="AE47" s="78">
        <v>0</v>
      </c>
      <c r="AF47" s="65"/>
      <c r="AG47" s="77">
        <v>0</v>
      </c>
      <c r="AH47" s="78">
        <v>0</v>
      </c>
      <c r="AI47" s="80"/>
      <c r="AJ47" s="77">
        <v>0</v>
      </c>
      <c r="AK47" s="78">
        <v>0</v>
      </c>
    </row>
    <row r="48" spans="2:46">
      <c r="B48" t="s">
        <v>138</v>
      </c>
      <c r="C48" s="81" t="s">
        <v>139</v>
      </c>
      <c r="D48" s="82" t="s">
        <v>140</v>
      </c>
      <c r="E48" s="80"/>
      <c r="F48" s="77">
        <v>0</v>
      </c>
      <c r="G48" s="78">
        <v>0</v>
      </c>
      <c r="H48" s="65"/>
      <c r="I48" s="77">
        <v>0</v>
      </c>
      <c r="J48" s="78">
        <v>0</v>
      </c>
      <c r="K48" s="65"/>
      <c r="L48" s="77">
        <v>0</v>
      </c>
      <c r="M48" s="78">
        <v>0</v>
      </c>
      <c r="N48" s="65"/>
      <c r="O48" s="77">
        <v>0</v>
      </c>
      <c r="P48" s="78">
        <v>0</v>
      </c>
      <c r="Q48" s="65"/>
      <c r="R48" s="77">
        <v>0</v>
      </c>
      <c r="S48" s="78">
        <v>0</v>
      </c>
      <c r="T48" s="65"/>
      <c r="U48" s="77">
        <v>0</v>
      </c>
      <c r="V48" s="78">
        <v>0</v>
      </c>
      <c r="W48" s="65"/>
      <c r="X48" s="77">
        <v>0</v>
      </c>
      <c r="Y48" s="78">
        <v>0</v>
      </c>
      <c r="Z48" s="65"/>
      <c r="AA48" s="77">
        <v>0</v>
      </c>
      <c r="AB48" s="78">
        <v>0</v>
      </c>
      <c r="AC48" s="65"/>
      <c r="AD48" s="77">
        <v>0</v>
      </c>
      <c r="AE48" s="78">
        <v>0</v>
      </c>
      <c r="AF48" s="65"/>
      <c r="AG48" s="77">
        <v>0</v>
      </c>
      <c r="AH48" s="78">
        <v>0</v>
      </c>
      <c r="AI48" s="80"/>
      <c r="AJ48" s="77">
        <v>0</v>
      </c>
      <c r="AK48" s="78">
        <v>0</v>
      </c>
    </row>
    <row r="49" spans="2:46">
      <c r="B49" t="s">
        <v>141</v>
      </c>
      <c r="C49" s="83"/>
      <c r="D49" s="82" t="s">
        <v>142</v>
      </c>
      <c r="E49" s="80"/>
      <c r="F49" s="77">
        <v>0</v>
      </c>
      <c r="G49" s="78">
        <v>0</v>
      </c>
      <c r="H49" s="65"/>
      <c r="I49" s="77">
        <v>0</v>
      </c>
      <c r="J49" s="78">
        <v>0</v>
      </c>
      <c r="K49" s="65"/>
      <c r="L49" s="77">
        <v>0</v>
      </c>
      <c r="M49" s="78">
        <v>0</v>
      </c>
      <c r="N49" s="65"/>
      <c r="O49" s="77">
        <v>0</v>
      </c>
      <c r="P49" s="78">
        <v>0</v>
      </c>
      <c r="Q49" s="65"/>
      <c r="R49" s="77">
        <v>0</v>
      </c>
      <c r="S49" s="78">
        <v>0</v>
      </c>
      <c r="T49" s="65"/>
      <c r="U49" s="77">
        <v>0</v>
      </c>
      <c r="V49" s="78">
        <v>0</v>
      </c>
      <c r="W49" s="65"/>
      <c r="X49" s="77">
        <v>0</v>
      </c>
      <c r="Y49" s="78">
        <v>0</v>
      </c>
      <c r="Z49" s="65"/>
      <c r="AA49" s="77">
        <v>0</v>
      </c>
      <c r="AB49" s="78">
        <v>0</v>
      </c>
      <c r="AC49" s="65"/>
      <c r="AD49" s="77">
        <v>0</v>
      </c>
      <c r="AE49" s="78">
        <v>0</v>
      </c>
      <c r="AF49" s="65"/>
      <c r="AG49" s="77">
        <v>0</v>
      </c>
      <c r="AH49" s="78">
        <v>0</v>
      </c>
      <c r="AI49" s="80"/>
      <c r="AJ49" s="77">
        <v>0</v>
      </c>
      <c r="AK49" s="78">
        <v>0</v>
      </c>
    </row>
    <row r="50" spans="2:46">
      <c r="B50" t="s">
        <v>143</v>
      </c>
      <c r="C50" s="84"/>
      <c r="D50" s="82" t="s">
        <v>144</v>
      </c>
      <c r="E50" s="80"/>
      <c r="F50" s="77">
        <v>88077</v>
      </c>
      <c r="G50" s="78">
        <v>0.22</v>
      </c>
      <c r="H50" s="65"/>
      <c r="I50" s="77">
        <v>76939.72</v>
      </c>
      <c r="J50" s="78">
        <v>0.22</v>
      </c>
      <c r="K50" s="65"/>
      <c r="L50" s="77">
        <v>78662.759999999995</v>
      </c>
      <c r="M50" s="78">
        <v>0.22</v>
      </c>
      <c r="N50" s="65"/>
      <c r="O50" s="77">
        <v>86490.14</v>
      </c>
      <c r="P50" s="78">
        <v>0.22</v>
      </c>
      <c r="Q50" s="65"/>
      <c r="R50" s="77">
        <v>81657.399523561398</v>
      </c>
      <c r="S50" s="78">
        <v>0.22</v>
      </c>
      <c r="T50" s="65"/>
      <c r="U50" s="77">
        <v>77909.919999999998</v>
      </c>
      <c r="V50" s="78">
        <v>0.22</v>
      </c>
      <c r="W50" s="65"/>
      <c r="X50" s="77">
        <v>77007.898906050861</v>
      </c>
      <c r="Y50" s="78">
        <v>0.2</v>
      </c>
      <c r="Z50" s="65"/>
      <c r="AA50" s="77">
        <v>84518.839571997887</v>
      </c>
      <c r="AB50" s="78">
        <v>0.28000000000000003</v>
      </c>
      <c r="AC50" s="65"/>
      <c r="AD50" s="77">
        <v>69305.068224990144</v>
      </c>
      <c r="AE50" s="78">
        <v>0.22</v>
      </c>
      <c r="AF50" s="65"/>
      <c r="AG50" s="77">
        <v>65163.746006313144</v>
      </c>
      <c r="AH50" s="78">
        <v>0.19</v>
      </c>
      <c r="AI50" s="80"/>
      <c r="AJ50" s="77">
        <v>68612.281832523426</v>
      </c>
      <c r="AK50" s="78">
        <v>0.2</v>
      </c>
    </row>
    <row r="51" spans="2:46">
      <c r="B51" t="s">
        <v>145</v>
      </c>
      <c r="C51" s="85" t="s">
        <v>146</v>
      </c>
      <c r="D51" s="86" t="s">
        <v>147</v>
      </c>
      <c r="E51" s="80"/>
      <c r="F51" s="77">
        <v>192168</v>
      </c>
      <c r="G51" s="78">
        <v>0.48</v>
      </c>
      <c r="H51" s="65"/>
      <c r="I51" s="77">
        <v>167868.47999999998</v>
      </c>
      <c r="J51" s="78">
        <v>0.48</v>
      </c>
      <c r="K51" s="65"/>
      <c r="L51" s="77">
        <v>171627.84</v>
      </c>
      <c r="M51" s="78">
        <v>0.48</v>
      </c>
      <c r="N51" s="65"/>
      <c r="O51" s="77">
        <v>188705.75999999998</v>
      </c>
      <c r="P51" s="78">
        <v>0.48</v>
      </c>
      <c r="Q51" s="65"/>
      <c r="R51" s="77">
        <v>178161.59896049759</v>
      </c>
      <c r="S51" s="78">
        <v>0.48</v>
      </c>
      <c r="T51" s="65"/>
      <c r="U51" s="77">
        <v>169985.28</v>
      </c>
      <c r="V51" s="78">
        <v>0.48</v>
      </c>
      <c r="W51" s="65"/>
      <c r="X51" s="77">
        <v>157866.19275740423</v>
      </c>
      <c r="Y51" s="78">
        <v>0.41</v>
      </c>
      <c r="Z51" s="65"/>
      <c r="AA51" s="77">
        <v>135833.84931213947</v>
      </c>
      <c r="AB51" s="78">
        <v>0.45</v>
      </c>
      <c r="AC51" s="65"/>
      <c r="AD51" s="77">
        <v>160661.74906702261</v>
      </c>
      <c r="AE51" s="78">
        <v>0.51</v>
      </c>
      <c r="AF51" s="65"/>
      <c r="AG51" s="77">
        <v>185202.22549162686</v>
      </c>
      <c r="AH51" s="78">
        <v>0.54</v>
      </c>
      <c r="AI51" s="80"/>
      <c r="AJ51" s="77">
        <v>174961.31867293472</v>
      </c>
      <c r="AK51" s="78">
        <v>0.51</v>
      </c>
    </row>
    <row r="52" spans="2:46">
      <c r="B52" s="13" t="s">
        <v>148</v>
      </c>
      <c r="C52" s="87"/>
      <c r="D52" s="82" t="s">
        <v>149</v>
      </c>
      <c r="E52" s="80"/>
      <c r="F52" s="77">
        <v>0</v>
      </c>
      <c r="G52" s="88">
        <v>0</v>
      </c>
      <c r="H52" s="80"/>
      <c r="I52" s="77">
        <v>0</v>
      </c>
      <c r="J52" s="88">
        <v>0</v>
      </c>
      <c r="K52" s="80"/>
      <c r="L52" s="77">
        <v>0</v>
      </c>
      <c r="M52" s="88">
        <v>0</v>
      </c>
      <c r="N52" s="80"/>
      <c r="O52" s="77">
        <v>0</v>
      </c>
      <c r="P52" s="88">
        <v>0</v>
      </c>
      <c r="Q52" s="80"/>
      <c r="R52" s="77">
        <v>0</v>
      </c>
      <c r="S52" s="88">
        <v>0</v>
      </c>
      <c r="T52" s="80"/>
      <c r="U52" s="77">
        <v>0</v>
      </c>
      <c r="V52" s="88">
        <v>0</v>
      </c>
      <c r="W52" s="80"/>
      <c r="X52" s="77">
        <v>0</v>
      </c>
      <c r="Y52" s="88">
        <v>0</v>
      </c>
      <c r="Z52" s="80"/>
      <c r="AA52" s="77">
        <v>0</v>
      </c>
      <c r="AB52" s="88">
        <v>0</v>
      </c>
      <c r="AC52" s="80"/>
      <c r="AD52" s="77">
        <v>0</v>
      </c>
      <c r="AE52" s="88">
        <v>0</v>
      </c>
      <c r="AF52" s="80"/>
      <c r="AG52" s="77">
        <v>0</v>
      </c>
      <c r="AH52" s="88">
        <v>0</v>
      </c>
      <c r="AI52" s="80"/>
      <c r="AJ52" s="77">
        <v>0</v>
      </c>
      <c r="AK52" s="88">
        <v>0</v>
      </c>
      <c r="AL52" s="13"/>
      <c r="AM52" s="13"/>
      <c r="AN52" s="13"/>
      <c r="AO52" s="13"/>
      <c r="AP52" s="13"/>
      <c r="AQ52" s="13"/>
      <c r="AR52" s="13"/>
      <c r="AS52" s="13"/>
      <c r="AT52" s="13"/>
    </row>
    <row r="53" spans="2:46">
      <c r="B53" s="13" t="s">
        <v>150</v>
      </c>
      <c r="C53" s="89"/>
      <c r="D53" s="82" t="s">
        <v>151</v>
      </c>
      <c r="E53" s="80"/>
      <c r="F53" s="77">
        <v>120105</v>
      </c>
      <c r="G53" s="88">
        <v>0.3</v>
      </c>
      <c r="H53" s="80"/>
      <c r="I53" s="77">
        <v>104917.8</v>
      </c>
      <c r="J53" s="88">
        <v>0.3</v>
      </c>
      <c r="K53" s="80"/>
      <c r="L53" s="77">
        <v>107267.4</v>
      </c>
      <c r="M53" s="88">
        <v>0.3</v>
      </c>
      <c r="N53" s="80"/>
      <c r="O53" s="77">
        <v>117941.09999999999</v>
      </c>
      <c r="P53" s="88">
        <v>0.3</v>
      </c>
      <c r="Q53" s="80"/>
      <c r="R53" s="77">
        <v>111350.999350311</v>
      </c>
      <c r="S53" s="88">
        <v>0.3</v>
      </c>
      <c r="T53" s="80"/>
      <c r="U53" s="77">
        <v>106240.8</v>
      </c>
      <c r="V53" s="88">
        <v>0.3</v>
      </c>
      <c r="W53" s="80"/>
      <c r="X53" s="77">
        <v>146315.00792149664</v>
      </c>
      <c r="Y53" s="88">
        <v>0.38</v>
      </c>
      <c r="Z53" s="80"/>
      <c r="AA53" s="77">
        <v>81500.309587283686</v>
      </c>
      <c r="AB53" s="88">
        <v>0.27</v>
      </c>
      <c r="AC53" s="80"/>
      <c r="AD53" s="77">
        <v>85056.220094306089</v>
      </c>
      <c r="AE53" s="88">
        <v>0.27</v>
      </c>
      <c r="AF53" s="80"/>
      <c r="AG53" s="77">
        <v>96030.783588250968</v>
      </c>
      <c r="AH53" s="88">
        <v>0.28000000000000003</v>
      </c>
      <c r="AI53" s="80"/>
      <c r="AJ53" s="77">
        <v>99487.808657158952</v>
      </c>
      <c r="AK53" s="88">
        <v>0.28999999999999998</v>
      </c>
      <c r="AL53" s="13"/>
      <c r="AM53" s="13"/>
      <c r="AN53" s="13"/>
      <c r="AO53" s="13"/>
      <c r="AP53" s="13"/>
      <c r="AQ53" s="13"/>
      <c r="AR53" s="13"/>
      <c r="AS53" s="13"/>
      <c r="AT53" s="13"/>
    </row>
    <row r="54" spans="2:46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90"/>
      <c r="R54" s="13"/>
      <c r="S54" s="90"/>
      <c r="T54" s="13"/>
      <c r="U54" s="13"/>
      <c r="V54" s="13"/>
      <c r="W54" s="13"/>
      <c r="X54" s="13"/>
      <c r="Y54" s="13"/>
      <c r="Z54" s="91" t="s">
        <v>152</v>
      </c>
      <c r="AA54" s="13"/>
      <c r="AB54" s="13"/>
      <c r="AC54" s="13"/>
      <c r="AD54" s="13"/>
      <c r="AE54" s="14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spans="2:46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4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spans="2:46">
      <c r="B56" s="92" t="s">
        <v>153</v>
      </c>
      <c r="C56" s="92"/>
      <c r="D56" s="92"/>
      <c r="E56" s="92"/>
      <c r="F56" s="92"/>
      <c r="G56" s="92" t="s">
        <v>153</v>
      </c>
      <c r="H56" s="92"/>
      <c r="I56" s="92"/>
      <c r="J56" s="92"/>
      <c r="K56" s="92"/>
      <c r="L56" s="92" t="s">
        <v>153</v>
      </c>
      <c r="M56" s="92"/>
      <c r="N56" s="92"/>
      <c r="O56" s="92"/>
      <c r="P56" s="92"/>
      <c r="Q56" s="92" t="s">
        <v>153</v>
      </c>
      <c r="R56" s="92"/>
      <c r="S56" s="92"/>
      <c r="T56" s="92"/>
      <c r="U56" s="92"/>
      <c r="V56" s="92" t="s">
        <v>153</v>
      </c>
      <c r="W56" s="92"/>
      <c r="X56" s="92"/>
      <c r="Y56" s="92"/>
      <c r="Z56" s="92"/>
      <c r="AA56" s="16" t="s">
        <v>153</v>
      </c>
      <c r="AB56" s="16"/>
      <c r="AC56" s="16"/>
      <c r="AD56" s="16"/>
      <c r="AE56" s="16"/>
      <c r="AF56" s="16" t="s">
        <v>153</v>
      </c>
      <c r="AG56" s="16"/>
      <c r="AH56" s="16"/>
      <c r="AI56" s="16"/>
      <c r="AJ56" s="16"/>
      <c r="AK56" s="16" t="s">
        <v>153</v>
      </c>
      <c r="AL56" s="16"/>
      <c r="AM56" s="16"/>
      <c r="AN56" s="16"/>
      <c r="AO56" s="16"/>
      <c r="AP56" s="16" t="s">
        <v>153</v>
      </c>
      <c r="AQ56" s="16"/>
      <c r="AR56" s="16"/>
      <c r="AS56" s="16"/>
      <c r="AT56" s="16"/>
    </row>
    <row r="57" spans="2:46"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2:46">
      <c r="AC58" s="13"/>
      <c r="AD58" s="13"/>
      <c r="AE58" s="14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spans="2:46">
      <c r="AC59" s="13"/>
      <c r="AD59" s="13"/>
      <c r="AE59" s="14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spans="2:46">
      <c r="AC60" s="13"/>
      <c r="AD60" s="13"/>
      <c r="AE60" s="14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spans="2:46" ht="21.5" thickBot="1">
      <c r="C61" s="93" t="s">
        <v>4</v>
      </c>
      <c r="D61" s="93"/>
      <c r="E61" s="94" t="s">
        <v>154</v>
      </c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AC61" s="13"/>
      <c r="AD61" s="13"/>
      <c r="AE61" s="14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spans="2:46">
      <c r="C62" s="93" t="s">
        <v>155</v>
      </c>
      <c r="D62" s="95" t="s">
        <v>156</v>
      </c>
      <c r="E62" s="96">
        <v>1994</v>
      </c>
      <c r="F62" s="97"/>
      <c r="G62" s="98"/>
      <c r="H62" s="96">
        <v>2000</v>
      </c>
      <c r="I62" s="97"/>
      <c r="J62" s="98"/>
      <c r="K62" s="96">
        <v>2006</v>
      </c>
      <c r="L62" s="97"/>
      <c r="M62" s="98"/>
      <c r="N62" s="96">
        <v>2010</v>
      </c>
      <c r="O62" s="97"/>
      <c r="P62" s="98"/>
      <c r="Q62" s="96">
        <v>2012</v>
      </c>
      <c r="R62" s="97"/>
      <c r="S62" s="98"/>
      <c r="T62" s="96">
        <v>2014</v>
      </c>
      <c r="U62" s="97"/>
      <c r="V62" s="98"/>
      <c r="W62" s="99">
        <v>2016</v>
      </c>
      <c r="X62" s="61"/>
      <c r="Y62" s="100"/>
      <c r="Z62" s="99">
        <v>2018</v>
      </c>
      <c r="AA62" s="61"/>
      <c r="AB62" s="100"/>
      <c r="AC62" s="99">
        <v>2020</v>
      </c>
      <c r="AD62" s="61"/>
      <c r="AE62" s="100"/>
      <c r="AF62" s="99">
        <v>2021</v>
      </c>
      <c r="AG62" s="61"/>
      <c r="AH62" s="100"/>
      <c r="AI62" s="99">
        <v>2022</v>
      </c>
      <c r="AJ62" s="61"/>
      <c r="AK62" s="100"/>
      <c r="AL62" s="13"/>
      <c r="AM62" s="13"/>
      <c r="AN62" s="13"/>
      <c r="AO62" s="13"/>
      <c r="AP62" s="13"/>
      <c r="AQ62" s="13"/>
      <c r="AR62" s="13"/>
      <c r="AS62" s="13"/>
      <c r="AT62" s="13"/>
    </row>
    <row r="63" spans="2:46" ht="87">
      <c r="C63" s="93"/>
      <c r="D63" s="95"/>
      <c r="E63" s="101" t="s">
        <v>7</v>
      </c>
      <c r="F63" s="102" t="s">
        <v>157</v>
      </c>
      <c r="G63" s="103" t="s">
        <v>158</v>
      </c>
      <c r="H63" s="101" t="s">
        <v>7</v>
      </c>
      <c r="I63" s="102" t="s">
        <v>157</v>
      </c>
      <c r="J63" s="103" t="s">
        <v>158</v>
      </c>
      <c r="K63" s="101" t="s">
        <v>7</v>
      </c>
      <c r="L63" s="102" t="s">
        <v>157</v>
      </c>
      <c r="M63" s="103" t="s">
        <v>158</v>
      </c>
      <c r="N63" s="101" t="s">
        <v>7</v>
      </c>
      <c r="O63" s="102" t="s">
        <v>157</v>
      </c>
      <c r="P63" s="103" t="s">
        <v>158</v>
      </c>
      <c r="Q63" s="101" t="s">
        <v>7</v>
      </c>
      <c r="R63" s="102" t="s">
        <v>157</v>
      </c>
      <c r="S63" s="103" t="s">
        <v>158</v>
      </c>
      <c r="T63" s="101" t="s">
        <v>7</v>
      </c>
      <c r="U63" s="102" t="s">
        <v>157</v>
      </c>
      <c r="V63" s="103" t="s">
        <v>158</v>
      </c>
      <c r="W63" s="101" t="s">
        <v>7</v>
      </c>
      <c r="X63" s="102" t="s">
        <v>157</v>
      </c>
      <c r="Y63" s="103" t="s">
        <v>158</v>
      </c>
      <c r="Z63" s="101" t="s">
        <v>7</v>
      </c>
      <c r="AA63" s="102" t="s">
        <v>157</v>
      </c>
      <c r="AB63" s="103" t="s">
        <v>158</v>
      </c>
      <c r="AC63" s="101" t="s">
        <v>7</v>
      </c>
      <c r="AD63" s="102" t="s">
        <v>157</v>
      </c>
      <c r="AE63" s="104" t="s">
        <v>158</v>
      </c>
      <c r="AF63" s="101" t="s">
        <v>7</v>
      </c>
      <c r="AG63" s="102" t="s">
        <v>157</v>
      </c>
      <c r="AH63" s="103" t="s">
        <v>158</v>
      </c>
      <c r="AI63" s="101" t="s">
        <v>7</v>
      </c>
      <c r="AJ63" s="102" t="s">
        <v>157</v>
      </c>
      <c r="AK63" s="103" t="s">
        <v>158</v>
      </c>
      <c r="AL63" s="13"/>
      <c r="AM63" s="13"/>
      <c r="AN63" s="13"/>
      <c r="AO63" s="13"/>
      <c r="AP63" s="13"/>
      <c r="AQ63" s="13"/>
      <c r="AR63" s="13"/>
      <c r="AS63" s="13"/>
      <c r="AT63" s="13"/>
    </row>
    <row r="64" spans="2:46">
      <c r="C64" s="64" t="s">
        <v>159</v>
      </c>
      <c r="D64" s="105">
        <v>0.83</v>
      </c>
      <c r="E64" s="106" t="s">
        <v>62</v>
      </c>
      <c r="F64" s="107">
        <v>1290518.29</v>
      </c>
      <c r="G64" s="108">
        <v>1071130180.6999999</v>
      </c>
      <c r="H64" s="106" t="s">
        <v>126</v>
      </c>
      <c r="I64" s="109">
        <v>1239269</v>
      </c>
      <c r="J64" s="108">
        <v>1028593269.9999999</v>
      </c>
      <c r="K64" s="106" t="s">
        <v>127</v>
      </c>
      <c r="L64" s="109">
        <v>1501238</v>
      </c>
      <c r="M64" s="108">
        <v>1246027540</v>
      </c>
      <c r="N64" s="110" t="s">
        <v>128</v>
      </c>
      <c r="O64" s="109">
        <v>1706193</v>
      </c>
      <c r="P64" s="108">
        <v>1416140190</v>
      </c>
      <c r="Q64" s="110" t="s">
        <v>129</v>
      </c>
      <c r="R64" s="109">
        <v>1565535.2792101367</v>
      </c>
      <c r="S64" s="108">
        <v>1299394281.7444136</v>
      </c>
      <c r="T64" s="110" t="s">
        <v>160</v>
      </c>
      <c r="U64" s="111">
        <v>1379953.5910790721</v>
      </c>
      <c r="V64" s="108">
        <v>1145361480.5956299</v>
      </c>
      <c r="W64" s="112" t="s">
        <v>161</v>
      </c>
      <c r="X64" s="111">
        <v>1534537.14876418</v>
      </c>
      <c r="Y64" s="113">
        <v>1273665833.4742694</v>
      </c>
      <c r="Z64" s="112" t="s">
        <v>162</v>
      </c>
      <c r="AA64" s="111">
        <v>1350092.7077205775</v>
      </c>
      <c r="AB64" s="113">
        <v>1120576947.4080791</v>
      </c>
      <c r="AC64" s="112" t="s">
        <v>163</v>
      </c>
      <c r="AD64" s="111">
        <v>1336501.83729319</v>
      </c>
      <c r="AE64" s="113">
        <v>1109296524.9533477</v>
      </c>
      <c r="AF64" s="112" t="s">
        <v>164</v>
      </c>
      <c r="AG64" s="111">
        <v>1503526.5685693698</v>
      </c>
      <c r="AH64" s="113">
        <v>1247927051.9125769</v>
      </c>
      <c r="AI64" s="112" t="s">
        <v>165</v>
      </c>
      <c r="AJ64" s="111">
        <v>1561211.3866836196</v>
      </c>
      <c r="AK64" s="113">
        <v>1295805450.9474041</v>
      </c>
      <c r="AL64" s="13"/>
      <c r="AM64" s="13"/>
      <c r="AN64" s="13"/>
      <c r="AO64" s="13"/>
      <c r="AP64" s="13"/>
      <c r="AQ64" s="13"/>
      <c r="AR64" s="13"/>
      <c r="AS64" s="13"/>
      <c r="AT64" s="13"/>
    </row>
    <row r="65" spans="2:46">
      <c r="C65" s="64" t="s">
        <v>166</v>
      </c>
      <c r="D65" s="105">
        <v>0.83</v>
      </c>
      <c r="E65" s="106"/>
      <c r="F65" s="107"/>
      <c r="G65" s="108">
        <v>0</v>
      </c>
      <c r="H65" s="106" t="s">
        <v>126</v>
      </c>
      <c r="I65" s="109">
        <v>7365</v>
      </c>
      <c r="J65" s="108">
        <v>6112950</v>
      </c>
      <c r="K65" s="106" t="s">
        <v>127</v>
      </c>
      <c r="L65" s="109">
        <v>0</v>
      </c>
      <c r="M65" s="108">
        <v>0</v>
      </c>
      <c r="N65" s="110" t="s">
        <v>128</v>
      </c>
      <c r="O65" s="109">
        <v>0</v>
      </c>
      <c r="P65" s="108">
        <v>0</v>
      </c>
      <c r="Q65" s="110" t="s">
        <v>129</v>
      </c>
      <c r="R65" s="109"/>
      <c r="S65" s="108">
        <v>0</v>
      </c>
      <c r="T65" s="110" t="s">
        <v>160</v>
      </c>
      <c r="U65" s="111"/>
      <c r="V65" s="108">
        <v>0</v>
      </c>
      <c r="W65" s="112" t="s">
        <v>161</v>
      </c>
      <c r="X65" s="111"/>
      <c r="Y65" s="113">
        <v>0</v>
      </c>
      <c r="Z65" s="112" t="s">
        <v>162</v>
      </c>
      <c r="AA65" s="111"/>
      <c r="AB65" s="113">
        <v>0</v>
      </c>
      <c r="AC65" s="112" t="s">
        <v>163</v>
      </c>
      <c r="AD65" s="111"/>
      <c r="AE65" s="113">
        <v>0</v>
      </c>
      <c r="AF65" s="112" t="s">
        <v>164</v>
      </c>
      <c r="AG65" s="111">
        <v>687.04945887819463</v>
      </c>
      <c r="AH65" s="113">
        <v>570251.05086890154</v>
      </c>
      <c r="AI65" s="112" t="s">
        <v>165</v>
      </c>
      <c r="AJ65" s="111">
        <v>59.916354148350571</v>
      </c>
      <c r="AK65" s="113">
        <v>49730.57394313097</v>
      </c>
      <c r="AL65" s="13"/>
      <c r="AM65" s="13"/>
      <c r="AN65" s="13"/>
      <c r="AO65" s="13"/>
      <c r="AP65" s="13"/>
      <c r="AQ65" s="13"/>
      <c r="AR65" s="13"/>
      <c r="AS65" s="13"/>
      <c r="AT65" s="13"/>
    </row>
    <row r="66" spans="2:46">
      <c r="B66" s="19"/>
      <c r="C66" s="64" t="s">
        <v>167</v>
      </c>
      <c r="D66" s="105">
        <v>0.83</v>
      </c>
      <c r="E66" s="106" t="s">
        <v>62</v>
      </c>
      <c r="F66" s="107">
        <v>31683.48</v>
      </c>
      <c r="G66" s="108">
        <v>26297288.399999999</v>
      </c>
      <c r="H66" s="106" t="s">
        <v>126</v>
      </c>
      <c r="I66" s="109">
        <v>24897</v>
      </c>
      <c r="J66" s="108">
        <v>20664510</v>
      </c>
      <c r="K66" s="106" t="s">
        <v>127</v>
      </c>
      <c r="L66" s="109">
        <v>23438</v>
      </c>
      <c r="M66" s="108">
        <v>19453540</v>
      </c>
      <c r="N66" s="106" t="s">
        <v>128</v>
      </c>
      <c r="O66" s="109">
        <v>18733</v>
      </c>
      <c r="P66" s="108">
        <v>15548390</v>
      </c>
      <c r="Q66" s="106" t="s">
        <v>129</v>
      </c>
      <c r="R66" s="109">
        <v>10961.921772403583</v>
      </c>
      <c r="S66" s="108">
        <v>9098395.071094973</v>
      </c>
      <c r="T66" s="106" t="s">
        <v>160</v>
      </c>
      <c r="U66" s="111">
        <v>14489.93834772962</v>
      </c>
      <c r="V66" s="108">
        <v>12026648.828615583</v>
      </c>
      <c r="W66" s="112" t="s">
        <v>161</v>
      </c>
      <c r="X66" s="111">
        <v>25414.101790070996</v>
      </c>
      <c r="Y66" s="113">
        <v>21093704.485758923</v>
      </c>
      <c r="Z66" s="112" t="s">
        <v>162</v>
      </c>
      <c r="AA66" s="111">
        <v>13673.51656460859</v>
      </c>
      <c r="AB66" s="113">
        <v>11349018.748625129</v>
      </c>
      <c r="AC66" s="112" t="s">
        <v>163</v>
      </c>
      <c r="AD66" s="111">
        <v>14107.492032845475</v>
      </c>
      <c r="AE66" s="113">
        <v>11709218.387261745</v>
      </c>
      <c r="AF66" s="112" t="s">
        <v>164</v>
      </c>
      <c r="AG66" s="111">
        <v>14680.862720701358</v>
      </c>
      <c r="AH66" s="113">
        <v>12185116.058182126</v>
      </c>
      <c r="AI66" s="112" t="s">
        <v>165</v>
      </c>
      <c r="AJ66" s="111">
        <v>11155.094684484813</v>
      </c>
      <c r="AK66" s="113">
        <v>9258728.5881223939</v>
      </c>
      <c r="AL66" s="13"/>
      <c r="AM66" s="13"/>
      <c r="AN66" s="13"/>
      <c r="AO66" s="13"/>
      <c r="AP66" s="13"/>
      <c r="AQ66" s="13"/>
      <c r="AR66" s="13"/>
      <c r="AS66" s="13"/>
      <c r="AT66" s="13"/>
    </row>
    <row r="67" spans="2:46">
      <c r="B67" s="13"/>
      <c r="C67" s="64" t="s">
        <v>168</v>
      </c>
      <c r="D67" s="105">
        <v>0.83</v>
      </c>
      <c r="E67" s="106"/>
      <c r="F67" s="107"/>
      <c r="G67" s="108">
        <v>0</v>
      </c>
      <c r="H67" s="106" t="s">
        <v>126</v>
      </c>
      <c r="I67" s="109">
        <v>224</v>
      </c>
      <c r="J67" s="108">
        <v>185920</v>
      </c>
      <c r="K67" s="106" t="s">
        <v>127</v>
      </c>
      <c r="L67" s="109">
        <v>0</v>
      </c>
      <c r="M67" s="108">
        <v>0</v>
      </c>
      <c r="N67" s="110" t="s">
        <v>128</v>
      </c>
      <c r="O67" s="109">
        <v>0</v>
      </c>
      <c r="P67" s="108">
        <v>0</v>
      </c>
      <c r="Q67" s="110" t="s">
        <v>129</v>
      </c>
      <c r="R67" s="109"/>
      <c r="S67" s="108">
        <v>0</v>
      </c>
      <c r="T67" s="110" t="s">
        <v>160</v>
      </c>
      <c r="U67" s="111"/>
      <c r="V67" s="108">
        <v>0</v>
      </c>
      <c r="W67" s="112" t="s">
        <v>161</v>
      </c>
      <c r="X67" s="111"/>
      <c r="Y67" s="113">
        <v>0</v>
      </c>
      <c r="Z67" s="112" t="s">
        <v>162</v>
      </c>
      <c r="AA67" s="111"/>
      <c r="AB67" s="113">
        <v>0</v>
      </c>
      <c r="AC67" s="112" t="s">
        <v>163</v>
      </c>
      <c r="AD67" s="111"/>
      <c r="AE67" s="113">
        <v>0</v>
      </c>
      <c r="AF67" s="112" t="s">
        <v>164</v>
      </c>
      <c r="AG67" s="111"/>
      <c r="AH67" s="113">
        <v>0</v>
      </c>
      <c r="AI67" s="112" t="s">
        <v>165</v>
      </c>
      <c r="AJ67" s="111"/>
      <c r="AK67" s="113">
        <v>0</v>
      </c>
      <c r="AL67" s="13"/>
      <c r="AM67" s="13"/>
      <c r="AN67" s="13"/>
      <c r="AO67" s="13"/>
      <c r="AP67" s="13"/>
      <c r="AQ67" s="13"/>
      <c r="AR67" s="13"/>
      <c r="AS67" s="13"/>
      <c r="AT67" s="13"/>
    </row>
    <row r="68" spans="2:46">
      <c r="B68" s="13"/>
      <c r="C68" s="64" t="s">
        <v>169</v>
      </c>
      <c r="D68" s="105">
        <v>0.87</v>
      </c>
      <c r="E68" s="106" t="s">
        <v>62</v>
      </c>
      <c r="F68" s="107">
        <v>489692.26</v>
      </c>
      <c r="G68" s="108">
        <v>426032266.19999999</v>
      </c>
      <c r="H68" s="106" t="s">
        <v>126</v>
      </c>
      <c r="I68" s="109">
        <v>487825</v>
      </c>
      <c r="J68" s="108">
        <v>424407750</v>
      </c>
      <c r="K68" s="106" t="s">
        <v>127</v>
      </c>
      <c r="L68" s="109">
        <v>647184</v>
      </c>
      <c r="M68" s="108">
        <v>563050080</v>
      </c>
      <c r="N68" s="110" t="s">
        <v>128</v>
      </c>
      <c r="O68" s="109">
        <v>412021</v>
      </c>
      <c r="P68" s="108">
        <v>358458270</v>
      </c>
      <c r="Q68" s="110" t="s">
        <v>129</v>
      </c>
      <c r="R68" s="109">
        <v>1130552.5426280159</v>
      </c>
      <c r="S68" s="108">
        <v>983580712.08637381</v>
      </c>
      <c r="T68" s="110" t="s">
        <v>160</v>
      </c>
      <c r="U68" s="111">
        <v>1468801.705974001</v>
      </c>
      <c r="V68" s="108">
        <v>1277857484.197381</v>
      </c>
      <c r="W68" s="112" t="s">
        <v>161</v>
      </c>
      <c r="X68" s="111">
        <v>1028521.5869657231</v>
      </c>
      <c r="Y68" s="113">
        <v>894813780.66017914</v>
      </c>
      <c r="Z68" s="112" t="s">
        <v>162</v>
      </c>
      <c r="AA68" s="111">
        <v>1306660.6873483995</v>
      </c>
      <c r="AB68" s="113">
        <v>1136794797.9931078</v>
      </c>
      <c r="AC68" s="112" t="s">
        <v>163</v>
      </c>
      <c r="AD68" s="111">
        <v>1286416.5315329654</v>
      </c>
      <c r="AE68" s="113">
        <v>1119182382.4336798</v>
      </c>
      <c r="AF68" s="112" t="s">
        <v>164</v>
      </c>
      <c r="AG68" s="111">
        <v>1657355.4253143671</v>
      </c>
      <c r="AH68" s="113">
        <v>1441899220.0234993</v>
      </c>
      <c r="AI68" s="112" t="s">
        <v>165</v>
      </c>
      <c r="AJ68" s="111">
        <v>1613368.6989196222</v>
      </c>
      <c r="AK68" s="113">
        <v>1403630768.0600715</v>
      </c>
      <c r="AL68" s="13"/>
      <c r="AM68" s="13"/>
      <c r="AN68" s="13"/>
      <c r="AO68" s="13"/>
      <c r="AP68" s="13"/>
      <c r="AQ68" s="13"/>
      <c r="AR68" s="13"/>
      <c r="AS68" s="13"/>
      <c r="AT68" s="13"/>
    </row>
    <row r="69" spans="2:46">
      <c r="B69" s="13"/>
      <c r="C69" s="64" t="s">
        <v>170</v>
      </c>
      <c r="D69" s="105">
        <v>0.87</v>
      </c>
      <c r="E69" s="106"/>
      <c r="F69" s="114"/>
      <c r="G69" s="108">
        <v>0</v>
      </c>
      <c r="H69" s="106" t="s">
        <v>126</v>
      </c>
      <c r="I69" s="109">
        <v>27478</v>
      </c>
      <c r="J69" s="108">
        <v>23905860</v>
      </c>
      <c r="K69" s="106" t="s">
        <v>127</v>
      </c>
      <c r="L69" s="109">
        <v>35854</v>
      </c>
      <c r="M69" s="108">
        <v>31192980</v>
      </c>
      <c r="N69" s="110" t="s">
        <v>128</v>
      </c>
      <c r="O69" s="109">
        <v>456006</v>
      </c>
      <c r="P69" s="108">
        <v>396725220</v>
      </c>
      <c r="Q69" s="110" t="s">
        <v>129</v>
      </c>
      <c r="R69" s="109">
        <v>84640.051552251563</v>
      </c>
      <c r="S69" s="108">
        <v>73636844.85045886</v>
      </c>
      <c r="T69" s="110" t="s">
        <v>160</v>
      </c>
      <c r="U69" s="111">
        <v>64417.013974605266</v>
      </c>
      <c r="V69" s="108">
        <v>56042802.157906584</v>
      </c>
      <c r="W69" s="112" t="s">
        <v>161</v>
      </c>
      <c r="X69" s="111">
        <v>62586.483453487883</v>
      </c>
      <c r="Y69" s="113">
        <v>54450240.604534455</v>
      </c>
      <c r="Z69" s="112" t="s">
        <v>162</v>
      </c>
      <c r="AA69" s="111">
        <v>17486.237006771367</v>
      </c>
      <c r="AB69" s="113">
        <v>15213026.195891088</v>
      </c>
      <c r="AC69" s="112" t="s">
        <v>163</v>
      </c>
      <c r="AD69" s="111">
        <v>18467.852500783825</v>
      </c>
      <c r="AE69" s="113">
        <v>16067031.675681928</v>
      </c>
      <c r="AF69" s="112" t="s">
        <v>164</v>
      </c>
      <c r="AG69" s="111">
        <v>42014.182586138399</v>
      </c>
      <c r="AH69" s="113">
        <v>36552338.849940412</v>
      </c>
      <c r="AI69" s="112" t="s">
        <v>165</v>
      </c>
      <c r="AJ69" s="111">
        <v>27762.535113432736</v>
      </c>
      <c r="AK69" s="113">
        <v>24153405.548686478</v>
      </c>
      <c r="AL69" s="13"/>
      <c r="AM69" s="13"/>
      <c r="AN69" s="13"/>
      <c r="AO69" s="13"/>
      <c r="AP69" s="13"/>
      <c r="AQ69" s="13"/>
      <c r="AR69" s="13"/>
      <c r="AS69" s="13"/>
      <c r="AT69" s="13"/>
    </row>
    <row r="70" spans="2:46">
      <c r="B70" s="13"/>
      <c r="C70" s="64" t="s">
        <v>171</v>
      </c>
      <c r="D70" s="105">
        <v>0.4</v>
      </c>
      <c r="E70" s="106"/>
      <c r="F70" s="107"/>
      <c r="G70" s="108">
        <v>0</v>
      </c>
      <c r="H70" s="106" t="s">
        <v>126</v>
      </c>
      <c r="I70" s="109">
        <v>4603</v>
      </c>
      <c r="J70" s="108">
        <v>1841200</v>
      </c>
      <c r="K70" s="106" t="s">
        <v>127</v>
      </c>
      <c r="L70" s="109">
        <v>30738</v>
      </c>
      <c r="M70" s="108">
        <v>12295200</v>
      </c>
      <c r="N70" s="110" t="s">
        <v>128</v>
      </c>
      <c r="O70" s="109">
        <v>11420</v>
      </c>
      <c r="P70" s="108">
        <v>4568000</v>
      </c>
      <c r="Q70" s="110" t="s">
        <v>129</v>
      </c>
      <c r="R70" s="109">
        <v>8773.5849823466633</v>
      </c>
      <c r="S70" s="108">
        <v>3509433.9929386657</v>
      </c>
      <c r="T70" s="110" t="s">
        <v>160</v>
      </c>
      <c r="U70" s="111">
        <v>22780.467360429673</v>
      </c>
      <c r="V70" s="108">
        <v>9112186.9441718701</v>
      </c>
      <c r="W70" s="112" t="s">
        <v>161</v>
      </c>
      <c r="X70" s="111">
        <v>22699.186038205236</v>
      </c>
      <c r="Y70" s="113">
        <v>9079674.4152820949</v>
      </c>
      <c r="Z70" s="112" t="s">
        <v>162</v>
      </c>
      <c r="AA70" s="111">
        <v>42296.133933481062</v>
      </c>
      <c r="AB70" s="113">
        <v>16918453.573392425</v>
      </c>
      <c r="AC70" s="112" t="s">
        <v>163</v>
      </c>
      <c r="AD70" s="111">
        <v>83119.530780318732</v>
      </c>
      <c r="AE70" s="113">
        <v>33247812.31212749</v>
      </c>
      <c r="AF70" s="112" t="s">
        <v>164</v>
      </c>
      <c r="AG70" s="111">
        <v>35898.188749839443</v>
      </c>
      <c r="AH70" s="113">
        <v>14359275.499935778</v>
      </c>
      <c r="AI70" s="112" t="s">
        <v>165</v>
      </c>
      <c r="AJ70" s="111">
        <v>33832.959475361924</v>
      </c>
      <c r="AK70" s="113">
        <v>13533183.790144771</v>
      </c>
      <c r="AL70" s="13"/>
      <c r="AM70" s="13"/>
      <c r="AN70" s="13"/>
      <c r="AO70" s="13"/>
      <c r="AP70" s="13"/>
      <c r="AQ70" s="13"/>
      <c r="AR70" s="13"/>
      <c r="AS70" s="13"/>
      <c r="AT70" s="13"/>
    </row>
    <row r="71" spans="2:46">
      <c r="B71" s="13"/>
      <c r="C71" s="64" t="s">
        <v>172</v>
      </c>
      <c r="D71" s="105">
        <v>0.4</v>
      </c>
      <c r="E71" s="106"/>
      <c r="F71" s="107"/>
      <c r="G71" s="108">
        <v>0</v>
      </c>
      <c r="H71" s="106" t="s">
        <v>126</v>
      </c>
      <c r="I71" s="109">
        <v>687</v>
      </c>
      <c r="J71" s="108">
        <v>274800</v>
      </c>
      <c r="K71" s="106" t="s">
        <v>127</v>
      </c>
      <c r="L71" s="109">
        <v>3898</v>
      </c>
      <c r="M71" s="108">
        <v>1559200</v>
      </c>
      <c r="N71" s="110" t="s">
        <v>128</v>
      </c>
      <c r="O71" s="109">
        <v>13377</v>
      </c>
      <c r="P71" s="108">
        <v>5350800</v>
      </c>
      <c r="Q71" s="110" t="s">
        <v>129</v>
      </c>
      <c r="R71" s="109">
        <v>19362.060440054051</v>
      </c>
      <c r="S71" s="108">
        <v>7744824.1760216206</v>
      </c>
      <c r="T71" s="110" t="s">
        <v>160</v>
      </c>
      <c r="U71" s="111">
        <v>13937.691248165209</v>
      </c>
      <c r="V71" s="108">
        <v>5575076.4992660843</v>
      </c>
      <c r="W71" s="112" t="s">
        <v>161</v>
      </c>
      <c r="X71" s="111">
        <v>7551.3164893569792</v>
      </c>
      <c r="Y71" s="113">
        <v>3020526.5957427919</v>
      </c>
      <c r="Z71" s="112" t="s">
        <v>162</v>
      </c>
      <c r="AA71" s="111">
        <v>7556.4412278116242</v>
      </c>
      <c r="AB71" s="113">
        <v>3022576.4911246495</v>
      </c>
      <c r="AC71" s="112" t="s">
        <v>163</v>
      </c>
      <c r="AD71" s="111">
        <v>5474.6167005439693</v>
      </c>
      <c r="AE71" s="113">
        <v>2189846.6802175874</v>
      </c>
      <c r="AF71" s="112" t="s">
        <v>164</v>
      </c>
      <c r="AG71" s="111">
        <v>6915.1170030414287</v>
      </c>
      <c r="AH71" s="113">
        <v>2766046.8012165716</v>
      </c>
      <c r="AI71" s="112" t="s">
        <v>165</v>
      </c>
      <c r="AJ71" s="111">
        <v>5618.7013118399227</v>
      </c>
      <c r="AK71" s="113">
        <v>2247480.524735969</v>
      </c>
      <c r="AL71" s="13"/>
      <c r="AM71" s="13"/>
      <c r="AN71" s="13"/>
      <c r="AO71" s="13"/>
      <c r="AP71" s="13"/>
      <c r="AQ71" s="13"/>
      <c r="AR71" s="13"/>
      <c r="AS71" s="13"/>
      <c r="AT71" s="13"/>
    </row>
    <row r="72" spans="2:46">
      <c r="B72" s="13"/>
      <c r="C72" s="64" t="s">
        <v>173</v>
      </c>
      <c r="D72" s="105">
        <v>0.87</v>
      </c>
      <c r="E72" s="106" t="s">
        <v>62</v>
      </c>
      <c r="F72" s="107">
        <v>67696.149999999994</v>
      </c>
      <c r="G72" s="108">
        <v>58895650.499999993</v>
      </c>
      <c r="H72" s="106" t="s">
        <v>126</v>
      </c>
      <c r="I72" s="109">
        <v>46068</v>
      </c>
      <c r="J72" s="108">
        <v>40079159.999999993</v>
      </c>
      <c r="K72" s="106" t="s">
        <v>127</v>
      </c>
      <c r="L72" s="109">
        <v>34839</v>
      </c>
      <c r="M72" s="108">
        <v>30309930</v>
      </c>
      <c r="N72" s="110" t="s">
        <v>128</v>
      </c>
      <c r="O72" s="109">
        <v>17125</v>
      </c>
      <c r="P72" s="108">
        <v>14898750</v>
      </c>
      <c r="Q72" s="110" t="s">
        <v>129</v>
      </c>
      <c r="R72" s="109">
        <v>8682.668399507882</v>
      </c>
      <c r="S72" s="108">
        <v>7553921.5075718574</v>
      </c>
      <c r="T72" s="110" t="s">
        <v>160</v>
      </c>
      <c r="U72" s="111">
        <v>17057.902897765904</v>
      </c>
      <c r="V72" s="108">
        <v>14840375.521056335</v>
      </c>
      <c r="W72" s="112" t="s">
        <v>161</v>
      </c>
      <c r="X72" s="111">
        <v>7912.0672232830302</v>
      </c>
      <c r="Y72" s="113">
        <v>6883498.4842562359</v>
      </c>
      <c r="Z72" s="112" t="s">
        <v>162</v>
      </c>
      <c r="AA72" s="111">
        <v>7355.1166453500555</v>
      </c>
      <c r="AB72" s="113">
        <v>6398951.4814545484</v>
      </c>
      <c r="AC72" s="112" t="s">
        <v>163</v>
      </c>
      <c r="AD72" s="111">
        <v>15911.221471612143</v>
      </c>
      <c r="AE72" s="113">
        <v>13842762.680302566</v>
      </c>
      <c r="AF72" s="112" t="s">
        <v>164</v>
      </c>
      <c r="AG72" s="111">
        <v>22034.519241355527</v>
      </c>
      <c r="AH72" s="113">
        <v>19170031.739979308</v>
      </c>
      <c r="AI72" s="112" t="s">
        <v>165</v>
      </c>
      <c r="AJ72" s="111">
        <v>10290.953890283423</v>
      </c>
      <c r="AK72" s="113">
        <v>8953129.8845465779</v>
      </c>
      <c r="AL72" s="13"/>
      <c r="AM72" s="13"/>
      <c r="AN72" s="13"/>
      <c r="AO72" s="13"/>
      <c r="AP72" s="13"/>
      <c r="AQ72" s="13"/>
      <c r="AR72" s="13"/>
      <c r="AS72" s="13"/>
      <c r="AT72" s="13"/>
    </row>
    <row r="73" spans="2:46">
      <c r="B73" s="13"/>
      <c r="C73" s="64" t="s">
        <v>174</v>
      </c>
      <c r="D73" s="105">
        <v>0.87</v>
      </c>
      <c r="E73" s="106"/>
      <c r="F73" s="107"/>
      <c r="G73" s="108">
        <v>0</v>
      </c>
      <c r="H73" s="106" t="s">
        <v>126</v>
      </c>
      <c r="I73" s="109">
        <v>26145</v>
      </c>
      <c r="J73" s="108">
        <v>22746150</v>
      </c>
      <c r="K73" s="106" t="s">
        <v>127</v>
      </c>
      <c r="L73" s="109">
        <v>15750</v>
      </c>
      <c r="M73" s="108">
        <v>13702500</v>
      </c>
      <c r="N73" s="110" t="s">
        <v>128</v>
      </c>
      <c r="O73" s="109">
        <v>20422</v>
      </c>
      <c r="P73" s="108">
        <v>17767140</v>
      </c>
      <c r="Q73" s="110" t="s">
        <v>129</v>
      </c>
      <c r="R73" s="109">
        <v>4896.7510561045492</v>
      </c>
      <c r="S73" s="108">
        <v>4260173.418810958</v>
      </c>
      <c r="T73" s="110" t="s">
        <v>160</v>
      </c>
      <c r="U73" s="111">
        <v>5649.9836027333176</v>
      </c>
      <c r="V73" s="108">
        <v>4915485.7343779868</v>
      </c>
      <c r="W73" s="112" t="s">
        <v>161</v>
      </c>
      <c r="X73" s="111">
        <v>797.86347094228154</v>
      </c>
      <c r="Y73" s="113">
        <v>694141.21971978492</v>
      </c>
      <c r="Z73" s="112" t="s">
        <v>162</v>
      </c>
      <c r="AA73" s="111">
        <v>122.76858541430251</v>
      </c>
      <c r="AB73" s="113">
        <v>106808.66931044318</v>
      </c>
      <c r="AC73" s="112" t="s">
        <v>163</v>
      </c>
      <c r="AD73" s="111">
        <v>147.71108071461154</v>
      </c>
      <c r="AE73" s="113">
        <v>128508.64022171203</v>
      </c>
      <c r="AF73" s="112" t="s">
        <v>164</v>
      </c>
      <c r="AG73" s="111">
        <v>369.62463074679778</v>
      </c>
      <c r="AH73" s="113">
        <v>321573.4287497141</v>
      </c>
      <c r="AI73" s="112" t="s">
        <v>165</v>
      </c>
      <c r="AJ73" s="111">
        <v>1123.1756228018371</v>
      </c>
      <c r="AK73" s="113">
        <v>977162.79183759831</v>
      </c>
      <c r="AL73" s="13"/>
      <c r="AM73" s="13"/>
      <c r="AN73" s="13"/>
      <c r="AO73" s="13"/>
      <c r="AP73" s="13"/>
      <c r="AQ73" s="13"/>
      <c r="AR73" s="13"/>
      <c r="AS73" s="13"/>
      <c r="AT73" s="13"/>
    </row>
    <row r="74" spans="2:46">
      <c r="B74" s="13"/>
      <c r="C74" s="64" t="s">
        <v>175</v>
      </c>
      <c r="D74" s="105">
        <v>0.4</v>
      </c>
      <c r="E74" s="106" t="s">
        <v>62</v>
      </c>
      <c r="F74" s="107">
        <v>55514.74</v>
      </c>
      <c r="G74" s="108">
        <v>22205896</v>
      </c>
      <c r="H74" s="106" t="s">
        <v>126</v>
      </c>
      <c r="I74" s="109">
        <v>32543</v>
      </c>
      <c r="J74" s="108">
        <v>13017200</v>
      </c>
      <c r="K74" s="106" t="s">
        <v>127</v>
      </c>
      <c r="L74" s="109">
        <v>50320</v>
      </c>
      <c r="M74" s="108">
        <v>20128000</v>
      </c>
      <c r="N74" s="110" t="s">
        <v>128</v>
      </c>
      <c r="O74" s="109">
        <v>34557</v>
      </c>
      <c r="P74" s="108">
        <v>13822800.000000002</v>
      </c>
      <c r="Q74" s="110" t="s">
        <v>129</v>
      </c>
      <c r="R74" s="109">
        <v>50270.320970823566</v>
      </c>
      <c r="S74" s="108">
        <v>20108128.388329428</v>
      </c>
      <c r="T74" s="110" t="s">
        <v>160</v>
      </c>
      <c r="U74" s="111">
        <v>55358.32771415259</v>
      </c>
      <c r="V74" s="108">
        <v>22143331.085661039</v>
      </c>
      <c r="W74" s="112" t="s">
        <v>161</v>
      </c>
      <c r="X74" s="111">
        <v>61955.655529748001</v>
      </c>
      <c r="Y74" s="113">
        <v>24782262.211899199</v>
      </c>
      <c r="Z74" s="112" t="s">
        <v>162</v>
      </c>
      <c r="AA74" s="111">
        <v>65948.035781278755</v>
      </c>
      <c r="AB74" s="113">
        <v>26379214.312511504</v>
      </c>
      <c r="AC74" s="112" t="s">
        <v>163</v>
      </c>
      <c r="AD74" s="111">
        <v>52169.960776070111</v>
      </c>
      <c r="AE74" s="113">
        <v>20867984.310428046</v>
      </c>
      <c r="AF74" s="112" t="s">
        <v>164</v>
      </c>
      <c r="AG74" s="111">
        <v>81666.917846271084</v>
      </c>
      <c r="AH74" s="113">
        <v>32666767.138508435</v>
      </c>
      <c r="AI74" s="112" t="s">
        <v>165</v>
      </c>
      <c r="AJ74" s="111">
        <v>40052.847999289661</v>
      </c>
      <c r="AK74" s="113">
        <v>16021139.199715864</v>
      </c>
      <c r="AL74" s="13"/>
      <c r="AM74" s="13"/>
      <c r="AN74" s="13"/>
      <c r="AO74" s="13"/>
      <c r="AP74" s="13"/>
      <c r="AQ74" s="13"/>
      <c r="AR74" s="13"/>
      <c r="AS74" s="13"/>
      <c r="AT74" s="13"/>
    </row>
    <row r="75" spans="2:46">
      <c r="B75" s="13"/>
      <c r="C75" s="64" t="s">
        <v>176</v>
      </c>
      <c r="D75" s="105">
        <v>0.4</v>
      </c>
      <c r="E75" s="106"/>
      <c r="F75" s="107"/>
      <c r="G75" s="108">
        <v>0</v>
      </c>
      <c r="H75" s="106" t="s">
        <v>126</v>
      </c>
      <c r="I75" s="109">
        <v>10626</v>
      </c>
      <c r="J75" s="108">
        <v>4250400.0000000009</v>
      </c>
      <c r="K75" s="106" t="s">
        <v>127</v>
      </c>
      <c r="L75" s="109">
        <v>16458</v>
      </c>
      <c r="M75" s="108">
        <v>6583200.0000000009</v>
      </c>
      <c r="N75" s="110" t="s">
        <v>128</v>
      </c>
      <c r="O75" s="109">
        <v>19168</v>
      </c>
      <c r="P75" s="108">
        <v>7667200.0000000009</v>
      </c>
      <c r="Q75" s="110" t="s">
        <v>129</v>
      </c>
      <c r="R75" s="109">
        <v>22354.112553666298</v>
      </c>
      <c r="S75" s="108">
        <v>8941645.0214665197</v>
      </c>
      <c r="T75" s="110" t="s">
        <v>160</v>
      </c>
      <c r="U75" s="111">
        <v>19700.830833515938</v>
      </c>
      <c r="V75" s="108">
        <v>7880332.3334063757</v>
      </c>
      <c r="W75" s="112" t="s">
        <v>161</v>
      </c>
      <c r="X75" s="111">
        <v>7050.7048990252815</v>
      </c>
      <c r="Y75" s="113">
        <v>2820281.9596101125</v>
      </c>
      <c r="Z75" s="112" t="s">
        <v>162</v>
      </c>
      <c r="AA75" s="111">
        <v>1840.4696256115521</v>
      </c>
      <c r="AB75" s="113">
        <v>736187.85024462093</v>
      </c>
      <c r="AC75" s="112" t="s">
        <v>163</v>
      </c>
      <c r="AD75" s="111">
        <v>1571.4790680192204</v>
      </c>
      <c r="AE75" s="113">
        <v>628591.62720768829</v>
      </c>
      <c r="AF75" s="112" t="s">
        <v>164</v>
      </c>
      <c r="AG75" s="111">
        <v>3151.1676502740311</v>
      </c>
      <c r="AH75" s="113">
        <v>1260467.0601096125</v>
      </c>
      <c r="AI75" s="112" t="s">
        <v>165</v>
      </c>
      <c r="AJ75" s="111">
        <v>4347.1244016152741</v>
      </c>
      <c r="AK75" s="113">
        <v>1738849.7606461097</v>
      </c>
      <c r="AL75" s="13"/>
      <c r="AM75" s="13"/>
      <c r="AN75" s="13"/>
      <c r="AO75" s="13"/>
      <c r="AP75" s="13"/>
      <c r="AQ75" s="13"/>
      <c r="AR75" s="13"/>
      <c r="AS75" s="13"/>
      <c r="AT75" s="13"/>
    </row>
    <row r="76" spans="2:46">
      <c r="B76" s="13"/>
      <c r="C76" s="64" t="s">
        <v>177</v>
      </c>
      <c r="D76" s="105">
        <v>0.45</v>
      </c>
      <c r="E76" s="106" t="s">
        <v>62</v>
      </c>
      <c r="F76" s="107">
        <v>473204.54</v>
      </c>
      <c r="G76" s="108">
        <v>212942043</v>
      </c>
      <c r="H76" s="106" t="s">
        <v>126</v>
      </c>
      <c r="I76" s="109">
        <v>237066</v>
      </c>
      <c r="J76" s="108">
        <v>106679700</v>
      </c>
      <c r="K76" s="106" t="s">
        <v>127</v>
      </c>
      <c r="L76" s="109">
        <v>358300</v>
      </c>
      <c r="M76" s="108">
        <v>161235000</v>
      </c>
      <c r="N76" s="110" t="s">
        <v>128</v>
      </c>
      <c r="O76" s="109">
        <v>384235</v>
      </c>
      <c r="P76" s="108">
        <v>172905750</v>
      </c>
      <c r="Q76" s="110" t="s">
        <v>129</v>
      </c>
      <c r="R76" s="109">
        <v>284629.0861320126</v>
      </c>
      <c r="S76" s="108">
        <v>128083088.75940567</v>
      </c>
      <c r="T76" s="110" t="s">
        <v>160</v>
      </c>
      <c r="U76" s="111">
        <v>417178.14319725608</v>
      </c>
      <c r="V76" s="108">
        <v>187730164.43876523</v>
      </c>
      <c r="W76" s="112" t="s">
        <v>161</v>
      </c>
      <c r="X76" s="111">
        <v>418547.12568770739</v>
      </c>
      <c r="Y76" s="113">
        <v>188346206.55946833</v>
      </c>
      <c r="Z76" s="112" t="s">
        <v>162</v>
      </c>
      <c r="AA76" s="111">
        <v>267743.20435576868</v>
      </c>
      <c r="AB76" s="113">
        <v>120484441.96009591</v>
      </c>
      <c r="AC76" s="112" t="s">
        <v>163</v>
      </c>
      <c r="AD76" s="111">
        <v>407514.29709515406</v>
      </c>
      <c r="AE76" s="113">
        <v>183381433.69281933</v>
      </c>
      <c r="AF76" s="112" t="s">
        <v>164</v>
      </c>
      <c r="AG76" s="111">
        <v>243328.75036032265</v>
      </c>
      <c r="AH76" s="113">
        <v>109497937.6621452</v>
      </c>
      <c r="AI76" s="112" t="s">
        <v>165</v>
      </c>
      <c r="AJ76" s="111">
        <v>250626.56380461709</v>
      </c>
      <c r="AK76" s="113">
        <v>112781953.71207769</v>
      </c>
      <c r="AL76" s="13"/>
      <c r="AM76" s="13"/>
      <c r="AN76" s="13"/>
      <c r="AO76" s="13"/>
      <c r="AP76" s="13"/>
      <c r="AQ76" s="13"/>
      <c r="AR76" s="13"/>
      <c r="AS76" s="13"/>
      <c r="AT76" s="13"/>
    </row>
    <row r="77" spans="2:46">
      <c r="B77" s="13"/>
      <c r="C77" s="64" t="s">
        <v>178</v>
      </c>
      <c r="D77" s="105">
        <v>0.45</v>
      </c>
      <c r="E77" s="106"/>
      <c r="F77" s="107"/>
      <c r="G77" s="108">
        <v>0</v>
      </c>
      <c r="H77" s="106" t="s">
        <v>126</v>
      </c>
      <c r="I77" s="109">
        <v>2649</v>
      </c>
      <c r="J77" s="108">
        <v>1192050</v>
      </c>
      <c r="K77" s="106" t="s">
        <v>127</v>
      </c>
      <c r="L77" s="109">
        <v>2493</v>
      </c>
      <c r="M77" s="108">
        <v>1121850.0000000002</v>
      </c>
      <c r="N77" s="110" t="s">
        <v>128</v>
      </c>
      <c r="O77" s="109">
        <v>2564</v>
      </c>
      <c r="P77" s="108">
        <v>1153800</v>
      </c>
      <c r="Q77" s="110" t="s">
        <v>129</v>
      </c>
      <c r="R77" s="109">
        <v>471.40138144004845</v>
      </c>
      <c r="S77" s="108">
        <v>212130.62164802183</v>
      </c>
      <c r="T77" s="110" t="s">
        <v>160</v>
      </c>
      <c r="U77" s="111">
        <v>3882.6637821222339</v>
      </c>
      <c r="V77" s="108">
        <v>1747198.7019550053</v>
      </c>
      <c r="W77" s="112" t="s">
        <v>161</v>
      </c>
      <c r="X77" s="111">
        <v>4042.3072731935204</v>
      </c>
      <c r="Y77" s="113">
        <v>1819038.2729370843</v>
      </c>
      <c r="Z77" s="112" t="s">
        <v>162</v>
      </c>
      <c r="AA77" s="111">
        <v>1457.4927365748797</v>
      </c>
      <c r="AB77" s="113">
        <v>655871.73145869584</v>
      </c>
      <c r="AC77" s="112" t="s">
        <v>163</v>
      </c>
      <c r="AD77" s="111">
        <v>799.00239548160539</v>
      </c>
      <c r="AE77" s="113">
        <v>359551.07796672249</v>
      </c>
      <c r="AF77" s="112" t="s">
        <v>164</v>
      </c>
      <c r="AG77" s="111">
        <v>1419.7911556805773</v>
      </c>
      <c r="AH77" s="113">
        <v>638906.02005625982</v>
      </c>
      <c r="AI77" s="112" t="s">
        <v>165</v>
      </c>
      <c r="AJ77" s="111">
        <v>806.82904476087322</v>
      </c>
      <c r="AK77" s="113">
        <v>363073.07014239294</v>
      </c>
      <c r="AL77" s="13"/>
      <c r="AM77" s="13"/>
      <c r="AN77" s="13"/>
      <c r="AO77" s="13"/>
      <c r="AP77" s="13"/>
      <c r="AQ77" s="13"/>
      <c r="AR77" s="13"/>
      <c r="AS77" s="13"/>
      <c r="AT77" s="13"/>
    </row>
    <row r="78" spans="2:46">
      <c r="B78" s="13"/>
      <c r="C78" s="64" t="s">
        <v>179</v>
      </c>
      <c r="D78" s="105">
        <v>0.1</v>
      </c>
      <c r="E78" s="106" t="s">
        <v>62</v>
      </c>
      <c r="F78" s="107">
        <v>64034.55</v>
      </c>
      <c r="G78" s="108">
        <v>6403455.0000000009</v>
      </c>
      <c r="H78" s="106" t="s">
        <v>126</v>
      </c>
      <c r="I78" s="109">
        <v>60859</v>
      </c>
      <c r="J78" s="108">
        <v>6085900.0000000009</v>
      </c>
      <c r="K78" s="106" t="s">
        <v>127</v>
      </c>
      <c r="L78" s="109">
        <v>60030</v>
      </c>
      <c r="M78" s="108">
        <v>6003000</v>
      </c>
      <c r="N78" s="110" t="s">
        <v>128</v>
      </c>
      <c r="O78" s="109">
        <v>53369</v>
      </c>
      <c r="P78" s="108">
        <v>5336900.0000000009</v>
      </c>
      <c r="Q78" s="110" t="s">
        <v>129</v>
      </c>
      <c r="R78" s="109">
        <v>62716.34464121909</v>
      </c>
      <c r="S78" s="108">
        <v>6271634.4641219089</v>
      </c>
      <c r="T78" s="110" t="s">
        <v>160</v>
      </c>
      <c r="U78" s="111">
        <v>67718.07842107059</v>
      </c>
      <c r="V78" s="108">
        <v>6771807.8421070594</v>
      </c>
      <c r="W78" s="112" t="s">
        <v>161</v>
      </c>
      <c r="X78" s="111">
        <v>55334.815026167467</v>
      </c>
      <c r="Y78" s="113">
        <v>5533481.5026167473</v>
      </c>
      <c r="Z78" s="112" t="s">
        <v>162</v>
      </c>
      <c r="AA78" s="111">
        <v>31461.99082179771</v>
      </c>
      <c r="AB78" s="113">
        <v>3146199.0821797713</v>
      </c>
      <c r="AC78" s="112" t="s">
        <v>163</v>
      </c>
      <c r="AD78" s="111">
        <v>38438.380859154036</v>
      </c>
      <c r="AE78" s="113">
        <v>3843838.0859154039</v>
      </c>
      <c r="AF78" s="112" t="s">
        <v>164</v>
      </c>
      <c r="AG78" s="111">
        <v>55277.204081601667</v>
      </c>
      <c r="AH78" s="113">
        <v>5527720.4081601668</v>
      </c>
      <c r="AI78" s="112" t="s">
        <v>165</v>
      </c>
      <c r="AJ78" s="111">
        <v>52228.948962207229</v>
      </c>
      <c r="AK78" s="113">
        <v>5222894.8962207232</v>
      </c>
      <c r="AL78" s="13"/>
      <c r="AM78" s="13"/>
      <c r="AN78" s="13"/>
      <c r="AO78" s="13"/>
      <c r="AP78" s="13"/>
      <c r="AQ78" s="13"/>
      <c r="AR78" s="13"/>
      <c r="AS78" s="13"/>
      <c r="AT78" s="13"/>
    </row>
    <row r="79" spans="2:46">
      <c r="B79" s="13"/>
      <c r="C79" s="64" t="s">
        <v>180</v>
      </c>
      <c r="D79" s="105">
        <v>0.1</v>
      </c>
      <c r="E79" s="106"/>
      <c r="F79" s="107"/>
      <c r="G79" s="108">
        <v>0</v>
      </c>
      <c r="H79" s="106" t="s">
        <v>126</v>
      </c>
      <c r="I79" s="109">
        <v>567</v>
      </c>
      <c r="J79" s="108">
        <v>56700</v>
      </c>
      <c r="K79" s="106" t="s">
        <v>127</v>
      </c>
      <c r="L79" s="109">
        <v>1899</v>
      </c>
      <c r="M79" s="108">
        <v>189900</v>
      </c>
      <c r="N79" s="110" t="s">
        <v>128</v>
      </c>
      <c r="O79" s="109">
        <v>149</v>
      </c>
      <c r="P79" s="108">
        <v>14900</v>
      </c>
      <c r="Q79" s="110" t="s">
        <v>129</v>
      </c>
      <c r="R79" s="109">
        <v>239.53365184588367</v>
      </c>
      <c r="S79" s="108">
        <v>23953.365184588369</v>
      </c>
      <c r="T79" s="110" t="s">
        <v>160</v>
      </c>
      <c r="U79" s="111">
        <v>4112.4782583884935</v>
      </c>
      <c r="V79" s="108">
        <v>411247.82583884941</v>
      </c>
      <c r="W79" s="112" t="s">
        <v>161</v>
      </c>
      <c r="X79" s="111">
        <v>215.59592549442596</v>
      </c>
      <c r="Y79" s="113">
        <v>21559.592549442597</v>
      </c>
      <c r="Z79" s="112" t="s">
        <v>162</v>
      </c>
      <c r="AA79" s="111">
        <v>429.50392553850867</v>
      </c>
      <c r="AB79" s="113">
        <v>42950.39255385087</v>
      </c>
      <c r="AC79" s="112" t="s">
        <v>163</v>
      </c>
      <c r="AD79" s="111"/>
      <c r="AE79" s="113">
        <v>0</v>
      </c>
      <c r="AF79" s="112" t="s">
        <v>164</v>
      </c>
      <c r="AG79" s="111"/>
      <c r="AH79" s="113">
        <v>0</v>
      </c>
      <c r="AI79" s="112" t="s">
        <v>165</v>
      </c>
      <c r="AJ79" s="111"/>
      <c r="AK79" s="113">
        <v>0</v>
      </c>
      <c r="AL79" s="13"/>
      <c r="AM79" s="13"/>
      <c r="AN79" s="13"/>
      <c r="AO79" s="13"/>
      <c r="AP79" s="13"/>
      <c r="AQ79" s="13"/>
      <c r="AR79" s="13"/>
      <c r="AS79" s="13"/>
      <c r="AT79" s="13"/>
    </row>
    <row r="80" spans="2:46">
      <c r="B80" s="13"/>
      <c r="C80" s="64" t="s">
        <v>181</v>
      </c>
      <c r="D80" s="105">
        <v>0.83</v>
      </c>
      <c r="E80" s="106" t="s">
        <v>62</v>
      </c>
      <c r="F80" s="107">
        <v>19762.86</v>
      </c>
      <c r="G80" s="108">
        <v>16403173.800000001</v>
      </c>
      <c r="H80" s="106" t="s">
        <v>126</v>
      </c>
      <c r="I80" s="109">
        <v>12822</v>
      </c>
      <c r="J80" s="108">
        <v>10642260</v>
      </c>
      <c r="K80" s="106" t="s">
        <v>127</v>
      </c>
      <c r="L80" s="109">
        <v>7577</v>
      </c>
      <c r="M80" s="108">
        <v>6288910</v>
      </c>
      <c r="N80" s="110" t="s">
        <v>128</v>
      </c>
      <c r="O80" s="109">
        <v>7605</v>
      </c>
      <c r="P80" s="108">
        <v>6312150</v>
      </c>
      <c r="Q80" s="110" t="s">
        <v>129</v>
      </c>
      <c r="R80" s="109">
        <v>7450</v>
      </c>
      <c r="S80" s="108">
        <v>6183500</v>
      </c>
      <c r="T80" s="110" t="s">
        <v>160</v>
      </c>
      <c r="U80" s="111">
        <v>6814.2370172672854</v>
      </c>
      <c r="V80" s="108">
        <v>5655816.7243318465</v>
      </c>
      <c r="W80" s="112" t="s">
        <v>161</v>
      </c>
      <c r="X80" s="111">
        <v>6745.7733024470172</v>
      </c>
      <c r="Y80" s="113">
        <v>5598991.8410310242</v>
      </c>
      <c r="Z80" s="112" t="s">
        <v>162</v>
      </c>
      <c r="AA80" s="111">
        <v>5397.7720778404291</v>
      </c>
      <c r="AB80" s="113">
        <v>4480150.8246075567</v>
      </c>
      <c r="AC80" s="112" t="s">
        <v>163</v>
      </c>
      <c r="AD80" s="111">
        <v>14646.734982666992</v>
      </c>
      <c r="AE80" s="113">
        <v>12156790.035613604</v>
      </c>
      <c r="AF80" s="112" t="s">
        <v>164</v>
      </c>
      <c r="AG80" s="111">
        <v>10898.383684924247</v>
      </c>
      <c r="AH80" s="113">
        <v>9045658.4584871251</v>
      </c>
      <c r="AI80" s="112" t="s">
        <v>165</v>
      </c>
      <c r="AJ80" s="111">
        <v>7431.193201537626</v>
      </c>
      <c r="AK80" s="113">
        <v>6167890.3572762292</v>
      </c>
      <c r="AL80" s="13"/>
      <c r="AM80" s="13"/>
      <c r="AN80" s="13"/>
      <c r="AO80" s="13"/>
      <c r="AP80" s="13"/>
      <c r="AQ80" s="13"/>
      <c r="AR80" s="13"/>
      <c r="AS80" s="13"/>
      <c r="AT80" s="13"/>
    </row>
    <row r="81" spans="2:46">
      <c r="B81" s="13"/>
      <c r="C81" s="64" t="s">
        <v>182</v>
      </c>
      <c r="D81" s="105">
        <v>0.83</v>
      </c>
      <c r="E81" s="106"/>
      <c r="F81" s="107"/>
      <c r="G81" s="108">
        <v>0</v>
      </c>
      <c r="H81" s="106" t="s">
        <v>126</v>
      </c>
      <c r="I81" s="109">
        <v>136</v>
      </c>
      <c r="J81" s="108">
        <v>112880</v>
      </c>
      <c r="K81" s="106" t="s">
        <v>127</v>
      </c>
      <c r="L81" s="109">
        <v>0</v>
      </c>
      <c r="M81" s="108">
        <v>0</v>
      </c>
      <c r="N81" s="110" t="s">
        <v>128</v>
      </c>
      <c r="O81" s="109">
        <v>0</v>
      </c>
      <c r="P81" s="108">
        <v>0</v>
      </c>
      <c r="Q81" s="110" t="s">
        <v>129</v>
      </c>
      <c r="R81" s="109"/>
      <c r="S81" s="108"/>
      <c r="T81" s="110" t="s">
        <v>160</v>
      </c>
      <c r="U81" s="111"/>
      <c r="V81" s="108"/>
      <c r="W81" s="112" t="s">
        <v>161</v>
      </c>
      <c r="X81" s="111"/>
      <c r="Y81" s="113"/>
      <c r="Z81" s="112" t="s">
        <v>162</v>
      </c>
      <c r="AA81" s="111"/>
      <c r="AB81" s="113">
        <v>0</v>
      </c>
      <c r="AC81" s="112" t="s">
        <v>163</v>
      </c>
      <c r="AD81" s="111"/>
      <c r="AE81" s="113">
        <v>0</v>
      </c>
      <c r="AF81" s="112" t="s">
        <v>164</v>
      </c>
      <c r="AG81" s="111"/>
      <c r="AH81" s="113">
        <v>0</v>
      </c>
      <c r="AI81" s="112" t="s">
        <v>165</v>
      </c>
      <c r="AJ81" s="111"/>
      <c r="AK81" s="113">
        <v>0</v>
      </c>
      <c r="AL81" s="13"/>
      <c r="AM81" s="13"/>
      <c r="AN81" s="13"/>
      <c r="AO81" s="13"/>
      <c r="AP81" s="13"/>
      <c r="AQ81" s="13"/>
      <c r="AR81" s="13"/>
      <c r="AS81" s="13"/>
      <c r="AT81" s="13"/>
    </row>
    <row r="82" spans="2:46">
      <c r="B82" s="13"/>
      <c r="C82" s="64" t="s">
        <v>183</v>
      </c>
      <c r="D82" s="105">
        <v>0.37</v>
      </c>
      <c r="E82" s="106" t="s">
        <v>62</v>
      </c>
      <c r="F82" s="107">
        <v>75682.83</v>
      </c>
      <c r="G82" s="108">
        <v>28002647.100000001</v>
      </c>
      <c r="H82" s="106" t="s">
        <v>126</v>
      </c>
      <c r="I82" s="109">
        <v>66844</v>
      </c>
      <c r="J82" s="108">
        <v>24732280</v>
      </c>
      <c r="K82" s="106" t="s">
        <v>127</v>
      </c>
      <c r="L82" s="109">
        <v>53704</v>
      </c>
      <c r="M82" s="108">
        <v>19870480</v>
      </c>
      <c r="N82" s="110" t="s">
        <v>128</v>
      </c>
      <c r="O82" s="109">
        <v>46976</v>
      </c>
      <c r="P82" s="108">
        <v>17381120</v>
      </c>
      <c r="Q82" s="110" t="s">
        <v>129</v>
      </c>
      <c r="R82" s="109">
        <v>52696.837189816302</v>
      </c>
      <c r="S82" s="108">
        <v>19497829.760232031</v>
      </c>
      <c r="T82" s="110" t="s">
        <v>160</v>
      </c>
      <c r="U82" s="111">
        <v>91573.780372897178</v>
      </c>
      <c r="V82" s="108">
        <v>33882298.737971954</v>
      </c>
      <c r="W82" s="112" t="s">
        <v>161</v>
      </c>
      <c r="X82" s="111">
        <v>64899.34863066642</v>
      </c>
      <c r="Y82" s="113">
        <v>24012758.993346576</v>
      </c>
      <c r="Z82" s="112" t="s">
        <v>162</v>
      </c>
      <c r="AA82" s="111">
        <v>71518.872676583676</v>
      </c>
      <c r="AB82" s="113">
        <v>26461982.890335958</v>
      </c>
      <c r="AC82" s="112" t="s">
        <v>163</v>
      </c>
      <c r="AD82" s="111">
        <v>60909.759069999207</v>
      </c>
      <c r="AE82" s="113">
        <v>22536610.855899706</v>
      </c>
      <c r="AF82" s="112" t="s">
        <v>164</v>
      </c>
      <c r="AG82" s="111">
        <v>84223.964895397643</v>
      </c>
      <c r="AH82" s="113">
        <v>31162867.011297125</v>
      </c>
      <c r="AI82" s="112" t="s">
        <v>165</v>
      </c>
      <c r="AJ82" s="111">
        <v>141133.45426148985</v>
      </c>
      <c r="AK82" s="113">
        <v>52219378.076751247</v>
      </c>
      <c r="AL82" s="13"/>
      <c r="AM82" s="13"/>
      <c r="AN82" s="13"/>
      <c r="AO82" s="13"/>
      <c r="AP82" s="13"/>
      <c r="AQ82" s="13"/>
      <c r="AR82" s="13"/>
      <c r="AS82" s="13"/>
      <c r="AT82" s="13"/>
    </row>
    <row r="83" spans="2:46" ht="15" thickBot="1">
      <c r="B83" s="13"/>
      <c r="C83" s="64" t="s">
        <v>184</v>
      </c>
      <c r="D83" s="105">
        <v>0.37</v>
      </c>
      <c r="E83" s="106"/>
      <c r="F83" s="107"/>
      <c r="G83" s="108">
        <v>0</v>
      </c>
      <c r="H83" s="106" t="s">
        <v>126</v>
      </c>
      <c r="I83" s="109">
        <v>18127</v>
      </c>
      <c r="J83" s="108">
        <v>6706990</v>
      </c>
      <c r="K83" s="106" t="s">
        <v>127</v>
      </c>
      <c r="L83" s="109">
        <v>15693</v>
      </c>
      <c r="M83" s="108">
        <v>5806410</v>
      </c>
      <c r="N83" s="115" t="s">
        <v>128</v>
      </c>
      <c r="O83" s="109">
        <v>6881</v>
      </c>
      <c r="P83" s="108">
        <v>2545970</v>
      </c>
      <c r="Q83" s="115" t="s">
        <v>129</v>
      </c>
      <c r="R83" s="109">
        <v>18248.325745727772</v>
      </c>
      <c r="S83" s="108">
        <v>6751880.5259192763</v>
      </c>
      <c r="T83" s="115" t="s">
        <v>160</v>
      </c>
      <c r="U83" s="111">
        <v>19719.792642402543</v>
      </c>
      <c r="V83" s="108">
        <v>7296323.277688941</v>
      </c>
      <c r="W83" s="112" t="s">
        <v>161</v>
      </c>
      <c r="X83" s="111">
        <v>25827.059645731057</v>
      </c>
      <c r="Y83" s="113">
        <v>9556012.0689204913</v>
      </c>
      <c r="Z83" s="112" t="s">
        <v>162</v>
      </c>
      <c r="AA83" s="111">
        <v>5373.6121311436309</v>
      </c>
      <c r="AB83" s="113">
        <v>1988236.4885231433</v>
      </c>
      <c r="AC83" s="112" t="s">
        <v>163</v>
      </c>
      <c r="AD83" s="111">
        <v>3363.2386241839718</v>
      </c>
      <c r="AE83" s="113">
        <v>1244398.2909480697</v>
      </c>
      <c r="AF83" s="112" t="s">
        <v>164</v>
      </c>
      <c r="AG83" s="111">
        <v>11986.530293175045</v>
      </c>
      <c r="AH83" s="113">
        <v>4435016.2084747665</v>
      </c>
      <c r="AI83" s="112" t="s">
        <v>165</v>
      </c>
      <c r="AJ83" s="111">
        <v>5166.3209315515987</v>
      </c>
      <c r="AK83" s="113">
        <v>1911538.7446740915</v>
      </c>
      <c r="AL83" s="13"/>
      <c r="AM83" s="13"/>
      <c r="AN83" s="13"/>
      <c r="AO83" s="13"/>
      <c r="AP83" s="13"/>
      <c r="AQ83" s="13"/>
      <c r="AR83" s="13"/>
      <c r="AS83" s="13"/>
      <c r="AT83" s="13"/>
    </row>
    <row r="84" spans="2:46" ht="15" thickBot="1">
      <c r="B84" s="13"/>
      <c r="C84" s="116" t="s">
        <v>118</v>
      </c>
      <c r="D84" s="117"/>
      <c r="E84" s="118"/>
      <c r="F84" s="119">
        <v>2567789.6999999997</v>
      </c>
      <c r="G84" s="120">
        <v>1868312600.6999998</v>
      </c>
      <c r="H84" s="121"/>
      <c r="I84" s="122">
        <v>2306800</v>
      </c>
      <c r="J84" s="120">
        <v>1742287930</v>
      </c>
      <c r="K84" s="121"/>
      <c r="L84" s="122">
        <v>2859413</v>
      </c>
      <c r="M84" s="120">
        <v>2144817720</v>
      </c>
      <c r="N84" s="121"/>
      <c r="O84" s="122">
        <v>3210801</v>
      </c>
      <c r="P84" s="120">
        <v>2456597350</v>
      </c>
      <c r="Q84" s="121"/>
      <c r="R84" s="122">
        <v>3332480.8223073729</v>
      </c>
      <c r="S84" s="120">
        <v>2584852377.7539916</v>
      </c>
      <c r="T84" s="121"/>
      <c r="U84" s="122">
        <v>3673146.6267235745</v>
      </c>
      <c r="V84" s="120">
        <v>2799250061.4461317</v>
      </c>
      <c r="W84" s="123"/>
      <c r="X84" s="122">
        <v>3334638.1401154301</v>
      </c>
      <c r="Y84" s="120">
        <v>2526191992.9421229</v>
      </c>
      <c r="Z84" s="123"/>
      <c r="AA84" s="122">
        <v>3196414.5631645513</v>
      </c>
      <c r="AB84" s="120">
        <v>2494755816.0934949</v>
      </c>
      <c r="AC84" s="123"/>
      <c r="AD84" s="122">
        <v>3339559.6462637037</v>
      </c>
      <c r="AE84" s="120">
        <v>2550683285.7396393</v>
      </c>
      <c r="AF84" s="123"/>
      <c r="AG84" s="122">
        <v>3775434.2482420849</v>
      </c>
      <c r="AH84" s="120">
        <v>2969986245.3321872</v>
      </c>
      <c r="AI84" s="123"/>
      <c r="AJ84" s="122">
        <v>3766216.7046626639</v>
      </c>
      <c r="AK84" s="120">
        <v>2955035758.526998</v>
      </c>
      <c r="AL84" s="13"/>
      <c r="AM84" s="13"/>
      <c r="AN84" s="13"/>
      <c r="AO84" s="13"/>
      <c r="AP84" s="13"/>
      <c r="AQ84" s="13"/>
      <c r="AR84" s="13"/>
      <c r="AS84" s="13"/>
      <c r="AT84" s="13"/>
    </row>
    <row r="85" spans="2:46">
      <c r="B85" s="13"/>
      <c r="AC85" s="13"/>
      <c r="AD85" s="13"/>
      <c r="AE85" s="14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pans="2:46" ht="21">
      <c r="B86" s="13"/>
      <c r="C86" s="93" t="s">
        <v>4</v>
      </c>
      <c r="D86" s="93"/>
      <c r="E86" s="124" t="s">
        <v>185</v>
      </c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3"/>
      <c r="AD86" s="13"/>
      <c r="AE86" s="14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2:46">
      <c r="B87" s="13"/>
      <c r="C87" s="93" t="s">
        <v>155</v>
      </c>
      <c r="D87" s="125" t="s">
        <v>156</v>
      </c>
      <c r="E87" s="93">
        <v>1994</v>
      </c>
      <c r="F87" s="93"/>
      <c r="G87" s="93"/>
      <c r="H87" s="93"/>
      <c r="I87" s="93">
        <v>2000</v>
      </c>
      <c r="J87" s="93"/>
      <c r="K87" s="93"/>
      <c r="L87" s="93"/>
      <c r="M87" s="93">
        <v>2006</v>
      </c>
      <c r="N87" s="93"/>
      <c r="O87" s="93"/>
      <c r="P87" s="93"/>
      <c r="Q87" s="93">
        <v>2010</v>
      </c>
      <c r="R87" s="93"/>
      <c r="S87" s="93"/>
      <c r="T87" s="93"/>
      <c r="U87" s="93">
        <v>2012</v>
      </c>
      <c r="V87" s="93"/>
      <c r="W87" s="93"/>
      <c r="X87" s="93"/>
      <c r="Y87" s="26">
        <v>2014</v>
      </c>
      <c r="Z87" s="126"/>
      <c r="AA87" s="27"/>
      <c r="AB87" s="26">
        <v>2016</v>
      </c>
      <c r="AC87" s="126"/>
      <c r="AD87" s="27"/>
      <c r="AE87" s="26">
        <v>2018</v>
      </c>
      <c r="AF87" s="126"/>
      <c r="AG87" s="27"/>
      <c r="AH87" s="26">
        <v>2020</v>
      </c>
      <c r="AI87" s="126"/>
      <c r="AJ87" s="27"/>
      <c r="AK87" s="26">
        <v>2021</v>
      </c>
      <c r="AL87" s="126"/>
      <c r="AM87" s="27"/>
      <c r="AN87" s="26">
        <v>2022</v>
      </c>
      <c r="AO87" s="126"/>
      <c r="AP87" s="27"/>
      <c r="AQ87" s="13"/>
      <c r="AR87" s="13"/>
      <c r="AS87" s="13"/>
      <c r="AT87" s="13"/>
    </row>
    <row r="88" spans="2:46" ht="87">
      <c r="B88" s="13"/>
      <c r="C88" s="93"/>
      <c r="D88" s="125"/>
      <c r="E88" s="127" t="s">
        <v>7</v>
      </c>
      <c r="F88" s="63" t="s">
        <v>157</v>
      </c>
      <c r="G88" s="127" t="s">
        <v>158</v>
      </c>
      <c r="H88" s="127" t="s">
        <v>186</v>
      </c>
      <c r="I88" s="127" t="s">
        <v>7</v>
      </c>
      <c r="J88" s="63" t="s">
        <v>157</v>
      </c>
      <c r="K88" s="127" t="s">
        <v>187</v>
      </c>
      <c r="L88" s="127" t="s">
        <v>186</v>
      </c>
      <c r="M88" s="127" t="s">
        <v>7</v>
      </c>
      <c r="N88" s="127" t="s">
        <v>157</v>
      </c>
      <c r="O88" s="127" t="s">
        <v>188</v>
      </c>
      <c r="P88" s="127" t="s">
        <v>186</v>
      </c>
      <c r="Q88" s="127" t="s">
        <v>7</v>
      </c>
      <c r="R88" s="127" t="s">
        <v>157</v>
      </c>
      <c r="S88" s="127" t="s">
        <v>189</v>
      </c>
      <c r="T88" s="127" t="s">
        <v>186</v>
      </c>
      <c r="U88" s="127" t="s">
        <v>7</v>
      </c>
      <c r="V88" s="63" t="s">
        <v>157</v>
      </c>
      <c r="W88" s="127" t="s">
        <v>190</v>
      </c>
      <c r="X88" s="127" t="s">
        <v>186</v>
      </c>
      <c r="Y88" s="127" t="s">
        <v>7</v>
      </c>
      <c r="Z88" s="127" t="s">
        <v>157</v>
      </c>
      <c r="AA88" s="127" t="s">
        <v>191</v>
      </c>
      <c r="AB88" s="127" t="s">
        <v>7</v>
      </c>
      <c r="AC88" s="127" t="s">
        <v>157</v>
      </c>
      <c r="AD88" s="127" t="s">
        <v>191</v>
      </c>
      <c r="AE88" s="128" t="s">
        <v>7</v>
      </c>
      <c r="AF88" s="127" t="s">
        <v>157</v>
      </c>
      <c r="AG88" s="127" t="s">
        <v>191</v>
      </c>
      <c r="AH88" s="127" t="s">
        <v>7</v>
      </c>
      <c r="AI88" s="127" t="s">
        <v>157</v>
      </c>
      <c r="AJ88" s="127" t="s">
        <v>191</v>
      </c>
      <c r="AK88" s="127" t="s">
        <v>7</v>
      </c>
      <c r="AL88" s="127" t="s">
        <v>157</v>
      </c>
      <c r="AM88" s="127" t="s">
        <v>191</v>
      </c>
      <c r="AN88" s="127" t="s">
        <v>7</v>
      </c>
      <c r="AO88" s="127" t="s">
        <v>157</v>
      </c>
      <c r="AP88" s="127" t="s">
        <v>191</v>
      </c>
      <c r="AQ88" s="13"/>
      <c r="AR88" s="13"/>
      <c r="AS88" s="13"/>
      <c r="AT88" s="13"/>
    </row>
    <row r="89" spans="2:46">
      <c r="B89" s="13"/>
      <c r="C89" s="129" t="s">
        <v>192</v>
      </c>
      <c r="D89" s="130">
        <v>0.83</v>
      </c>
      <c r="E89" s="65" t="s">
        <v>62</v>
      </c>
      <c r="F89" s="107">
        <v>3020.77</v>
      </c>
      <c r="G89" s="131">
        <v>2507239.0999999996</v>
      </c>
      <c r="H89" s="131">
        <v>150434.34599999996</v>
      </c>
      <c r="I89" s="65" t="s">
        <v>126</v>
      </c>
      <c r="J89" s="107">
        <v>1683</v>
      </c>
      <c r="K89" s="131">
        <v>1396889.9999999998</v>
      </c>
      <c r="L89" s="131">
        <v>83813.39999999998</v>
      </c>
      <c r="M89" s="65" t="s">
        <v>127</v>
      </c>
      <c r="N89" s="107">
        <v>1668</v>
      </c>
      <c r="O89" s="131">
        <v>1384439.9999999998</v>
      </c>
      <c r="P89" s="132">
        <v>83066.39999999998</v>
      </c>
      <c r="Q89" s="65" t="s">
        <v>128</v>
      </c>
      <c r="R89" s="107">
        <v>1026</v>
      </c>
      <c r="S89" s="131">
        <v>851579.99999999988</v>
      </c>
      <c r="T89" s="132">
        <v>51094.799999999988</v>
      </c>
      <c r="U89" s="65" t="s">
        <v>129</v>
      </c>
      <c r="V89" s="107">
        <v>365.892917720637</v>
      </c>
      <c r="W89" s="131">
        <v>303691.12170812872</v>
      </c>
      <c r="X89" s="132">
        <v>18221.467302487723</v>
      </c>
      <c r="Y89" s="110" t="s">
        <v>160</v>
      </c>
      <c r="Z89" s="133">
        <v>890</v>
      </c>
      <c r="AA89" s="134">
        <v>738699.99999999988</v>
      </c>
      <c r="AB89" s="112" t="s">
        <v>161</v>
      </c>
      <c r="AC89" s="133">
        <v>824.82937412095032</v>
      </c>
      <c r="AD89" s="131">
        <v>684608.38052038883</v>
      </c>
      <c r="AE89" s="135" t="s">
        <v>162</v>
      </c>
      <c r="AF89" s="133">
        <v>509.888688893449</v>
      </c>
      <c r="AG89" s="131">
        <v>423207.61178156268</v>
      </c>
      <c r="AH89" s="112" t="s">
        <v>163</v>
      </c>
      <c r="AI89" s="133">
        <v>836.65413192890651</v>
      </c>
      <c r="AJ89" s="131">
        <v>694422.92950099241</v>
      </c>
      <c r="AK89" s="112" t="s">
        <v>164</v>
      </c>
      <c r="AL89" s="133">
        <v>415.41526191804815</v>
      </c>
      <c r="AM89" s="131">
        <v>344794.66739197995</v>
      </c>
      <c r="AN89" s="112" t="s">
        <v>165</v>
      </c>
      <c r="AO89" s="133">
        <v>772.04924947628251</v>
      </c>
      <c r="AP89" s="131">
        <v>640800.87706531445</v>
      </c>
      <c r="AQ89" s="13"/>
      <c r="AR89" s="13"/>
      <c r="AS89" s="13"/>
      <c r="AT89" s="13"/>
    </row>
    <row r="90" spans="2:46">
      <c r="B90" s="13"/>
      <c r="C90" s="129" t="s">
        <v>193</v>
      </c>
      <c r="D90" s="130">
        <v>0.83</v>
      </c>
      <c r="E90" s="65" t="s">
        <v>62</v>
      </c>
      <c r="F90" s="107"/>
      <c r="G90" s="131">
        <v>0</v>
      </c>
      <c r="H90" s="131">
        <v>0</v>
      </c>
      <c r="I90" s="65" t="s">
        <v>126</v>
      </c>
      <c r="J90" s="107">
        <v>128</v>
      </c>
      <c r="K90" s="131">
        <v>106240</v>
      </c>
      <c r="L90" s="131">
        <v>3187.2</v>
      </c>
      <c r="M90" s="65" t="s">
        <v>127</v>
      </c>
      <c r="N90" s="107">
        <v>63</v>
      </c>
      <c r="O90" s="131">
        <v>52290</v>
      </c>
      <c r="P90" s="132">
        <v>3137.4</v>
      </c>
      <c r="Q90" s="65" t="s">
        <v>128</v>
      </c>
      <c r="R90" s="107">
        <v>263</v>
      </c>
      <c r="S90" s="131">
        <v>218290</v>
      </c>
      <c r="T90" s="132">
        <v>13097.4</v>
      </c>
      <c r="U90" s="65" t="s">
        <v>129</v>
      </c>
      <c r="V90" s="107">
        <v>142.76692786071001</v>
      </c>
      <c r="W90" s="131">
        <v>118496.55012438931</v>
      </c>
      <c r="X90" s="132">
        <v>7109.7930074633587</v>
      </c>
      <c r="Y90" s="110" t="s">
        <v>160</v>
      </c>
      <c r="Z90" s="133"/>
      <c r="AA90" s="134">
        <v>0</v>
      </c>
      <c r="AB90" s="112" t="s">
        <v>161</v>
      </c>
      <c r="AC90" s="133">
        <v>211.17807829360046</v>
      </c>
      <c r="AD90" s="131">
        <v>175277.80498368837</v>
      </c>
      <c r="AE90" s="135" t="s">
        <v>162</v>
      </c>
      <c r="AF90" s="133">
        <v>82.145716939187295</v>
      </c>
      <c r="AG90" s="131">
        <v>68180.94505952546</v>
      </c>
      <c r="AH90" s="112" t="s">
        <v>163</v>
      </c>
      <c r="AI90" s="133">
        <v>44.319172397618082</v>
      </c>
      <c r="AJ90" s="131">
        <v>36784.913090023001</v>
      </c>
      <c r="AK90" s="112" t="s">
        <v>164</v>
      </c>
      <c r="AL90" s="133">
        <v>8.150441830184576</v>
      </c>
      <c r="AM90" s="131">
        <v>6764.8667190531978</v>
      </c>
      <c r="AN90" s="112" t="s">
        <v>165</v>
      </c>
      <c r="AO90" s="133">
        <v>15.372904834167544</v>
      </c>
      <c r="AP90" s="131">
        <v>12759.51101235906</v>
      </c>
      <c r="AQ90" s="13"/>
      <c r="AR90" s="13"/>
      <c r="AS90" s="13"/>
      <c r="AT90" s="13"/>
    </row>
    <row r="91" spans="2:46">
      <c r="B91" s="13"/>
      <c r="C91" s="129" t="s">
        <v>194</v>
      </c>
      <c r="D91" s="130">
        <v>0.4</v>
      </c>
      <c r="E91" s="65" t="s">
        <v>62</v>
      </c>
      <c r="F91" s="107">
        <v>12897.73</v>
      </c>
      <c r="G91" s="131">
        <v>5159092.0000000009</v>
      </c>
      <c r="H91" s="131">
        <v>309545.52</v>
      </c>
      <c r="I91" s="65" t="s">
        <v>126</v>
      </c>
      <c r="J91" s="107">
        <v>5991</v>
      </c>
      <c r="K91" s="131">
        <v>2396400</v>
      </c>
      <c r="L91" s="131">
        <v>71892</v>
      </c>
      <c r="M91" s="65" t="s">
        <v>127</v>
      </c>
      <c r="N91" s="107">
        <v>13254</v>
      </c>
      <c r="O91" s="131">
        <v>5301600</v>
      </c>
      <c r="P91" s="132">
        <v>318096</v>
      </c>
      <c r="Q91" s="65" t="s">
        <v>128</v>
      </c>
      <c r="R91" s="107">
        <v>9295</v>
      </c>
      <c r="S91" s="131">
        <v>3718000</v>
      </c>
      <c r="T91" s="132">
        <v>223080</v>
      </c>
      <c r="U91" s="65" t="s">
        <v>129</v>
      </c>
      <c r="V91" s="107">
        <v>4708.7061208120003</v>
      </c>
      <c r="W91" s="131">
        <v>1883482.4483248002</v>
      </c>
      <c r="X91" s="132">
        <v>113008.94689948802</v>
      </c>
      <c r="Y91" s="110" t="s">
        <v>160</v>
      </c>
      <c r="Z91" s="133">
        <v>10945</v>
      </c>
      <c r="AA91" s="134">
        <v>4378000</v>
      </c>
      <c r="AB91" s="112" t="s">
        <v>161</v>
      </c>
      <c r="AC91" s="133">
        <v>8954.5213057479123</v>
      </c>
      <c r="AD91" s="131">
        <v>3581808.5222991649</v>
      </c>
      <c r="AE91" s="135" t="s">
        <v>162</v>
      </c>
      <c r="AF91" s="133">
        <v>13168.115280862594</v>
      </c>
      <c r="AG91" s="131">
        <v>5267246.112345038</v>
      </c>
      <c r="AH91" s="112" t="s">
        <v>163</v>
      </c>
      <c r="AI91" s="133">
        <v>18860.284686070179</v>
      </c>
      <c r="AJ91" s="131">
        <v>7544113.874428072</v>
      </c>
      <c r="AK91" s="112" t="s">
        <v>164</v>
      </c>
      <c r="AL91" s="133">
        <v>16837.038933854921</v>
      </c>
      <c r="AM91" s="131">
        <v>6734815.5735419691</v>
      </c>
      <c r="AN91" s="112" t="s">
        <v>165</v>
      </c>
      <c r="AO91" s="133">
        <v>6810.6807104775426</v>
      </c>
      <c r="AP91" s="131">
        <v>2724272.284191017</v>
      </c>
      <c r="AQ91" s="13"/>
      <c r="AR91" s="13"/>
      <c r="AS91" s="13"/>
      <c r="AT91" s="13"/>
    </row>
    <row r="92" spans="2:46">
      <c r="B92" s="13"/>
      <c r="C92" s="129" t="s">
        <v>195</v>
      </c>
      <c r="D92" s="130">
        <v>0.4</v>
      </c>
      <c r="E92" s="65" t="s">
        <v>62</v>
      </c>
      <c r="F92" s="107"/>
      <c r="G92" s="131">
        <v>0</v>
      </c>
      <c r="H92" s="131">
        <v>0</v>
      </c>
      <c r="I92" s="65" t="s">
        <v>126</v>
      </c>
      <c r="J92" s="107">
        <v>524</v>
      </c>
      <c r="K92" s="131">
        <v>209600.00000000003</v>
      </c>
      <c r="L92" s="131">
        <v>6288.0000000000009</v>
      </c>
      <c r="M92" s="65" t="s">
        <v>127</v>
      </c>
      <c r="N92" s="107">
        <v>295</v>
      </c>
      <c r="O92" s="131">
        <v>118000</v>
      </c>
      <c r="P92" s="132">
        <v>7080</v>
      </c>
      <c r="Q92" s="65" t="s">
        <v>128</v>
      </c>
      <c r="R92" s="107">
        <v>196</v>
      </c>
      <c r="S92" s="131">
        <v>78400</v>
      </c>
      <c r="T92" s="132">
        <v>4704</v>
      </c>
      <c r="U92" s="65" t="s">
        <v>129</v>
      </c>
      <c r="V92" s="107">
        <v>172.181659195777</v>
      </c>
      <c r="W92" s="131">
        <v>68872.663678310797</v>
      </c>
      <c r="X92" s="132">
        <v>4132.359820698648</v>
      </c>
      <c r="Y92" s="110" t="s">
        <v>160</v>
      </c>
      <c r="Z92" s="133"/>
      <c r="AA92" s="134">
        <v>0</v>
      </c>
      <c r="AB92" s="112" t="s">
        <v>161</v>
      </c>
      <c r="AC92" s="133">
        <v>586.36495887028298</v>
      </c>
      <c r="AD92" s="131">
        <v>234545.9835481132</v>
      </c>
      <c r="AE92" s="135" t="s">
        <v>162</v>
      </c>
      <c r="AF92" s="133">
        <v>818.17948524479959</v>
      </c>
      <c r="AG92" s="131">
        <v>327271.79409791983</v>
      </c>
      <c r="AH92" s="112" t="s">
        <v>163</v>
      </c>
      <c r="AI92" s="133">
        <v>1281.6545851359053</v>
      </c>
      <c r="AJ92" s="131">
        <v>512661.8340543622</v>
      </c>
      <c r="AK92" s="112" t="s">
        <v>164</v>
      </c>
      <c r="AL92" s="133">
        <v>419.65000522448673</v>
      </c>
      <c r="AM92" s="131">
        <v>167860.0020897947</v>
      </c>
      <c r="AN92" s="112" t="s">
        <v>165</v>
      </c>
      <c r="AO92" s="133">
        <v>135.78005459692406</v>
      </c>
      <c r="AP92" s="131">
        <v>54312.021838769622</v>
      </c>
      <c r="AQ92" s="13"/>
      <c r="AR92" s="13"/>
      <c r="AS92" s="13"/>
      <c r="AT92" s="13"/>
    </row>
    <row r="93" spans="2:46">
      <c r="B93" s="13"/>
      <c r="C93" s="129" t="s">
        <v>196</v>
      </c>
      <c r="D93" s="130">
        <v>0.83</v>
      </c>
      <c r="E93" s="65" t="s">
        <v>62</v>
      </c>
      <c r="F93" s="107">
        <v>33382.980000000003</v>
      </c>
      <c r="G93" s="131">
        <v>27707873.400000002</v>
      </c>
      <c r="H93" s="131">
        <v>1662472.4040000001</v>
      </c>
      <c r="I93" s="65" t="s">
        <v>126</v>
      </c>
      <c r="J93" s="107">
        <v>8509</v>
      </c>
      <c r="K93" s="131">
        <v>7062469.9999999991</v>
      </c>
      <c r="L93" s="131">
        <v>211874.09999999998</v>
      </c>
      <c r="M93" s="65" t="s">
        <v>127</v>
      </c>
      <c r="N93" s="107">
        <v>10853</v>
      </c>
      <c r="O93" s="131">
        <v>9007990</v>
      </c>
      <c r="P93" s="132">
        <v>540479.4</v>
      </c>
      <c r="Q93" s="65" t="s">
        <v>128</v>
      </c>
      <c r="R93" s="107">
        <v>5639</v>
      </c>
      <c r="S93" s="131">
        <v>4680370</v>
      </c>
      <c r="T93" s="132">
        <v>280822.2</v>
      </c>
      <c r="U93" s="65" t="s">
        <v>129</v>
      </c>
      <c r="V93" s="107">
        <v>5211.2247489600804</v>
      </c>
      <c r="W93" s="131">
        <v>4325316.5416368665</v>
      </c>
      <c r="X93" s="132">
        <v>259518.99249821197</v>
      </c>
      <c r="Y93" s="110" t="s">
        <v>160</v>
      </c>
      <c r="Z93" s="133">
        <v>12550</v>
      </c>
      <c r="AA93" s="134">
        <v>10416500</v>
      </c>
      <c r="AB93" s="112" t="s">
        <v>161</v>
      </c>
      <c r="AC93" s="133">
        <v>5326.251496898919</v>
      </c>
      <c r="AD93" s="131">
        <v>4420788.742426103</v>
      </c>
      <c r="AE93" s="135" t="s">
        <v>162</v>
      </c>
      <c r="AF93" s="133">
        <v>5184.4423593485926</v>
      </c>
      <c r="AG93" s="131">
        <v>4303087.1582593322</v>
      </c>
      <c r="AH93" s="112" t="s">
        <v>163</v>
      </c>
      <c r="AI93" s="133">
        <v>9053.3712639909918</v>
      </c>
      <c r="AJ93" s="131">
        <v>7514298.1491125226</v>
      </c>
      <c r="AK93" s="112" t="s">
        <v>164</v>
      </c>
      <c r="AL93" s="133">
        <v>12943.762176903278</v>
      </c>
      <c r="AM93" s="131">
        <v>10743322.60682972</v>
      </c>
      <c r="AN93" s="112" t="s">
        <v>165</v>
      </c>
      <c r="AO93" s="133">
        <v>10419.181158977952</v>
      </c>
      <c r="AP93" s="131">
        <v>8647920.3619516995</v>
      </c>
      <c r="AQ93" s="13"/>
      <c r="AR93" s="13"/>
      <c r="AS93" s="13"/>
      <c r="AT93" s="13"/>
    </row>
    <row r="94" spans="2:46">
      <c r="B94" s="13"/>
      <c r="C94" s="129" t="s">
        <v>197</v>
      </c>
      <c r="D94" s="130">
        <v>0.83</v>
      </c>
      <c r="E94" s="65" t="s">
        <v>62</v>
      </c>
      <c r="F94" s="107"/>
      <c r="G94" s="131">
        <v>0</v>
      </c>
      <c r="H94" s="131">
        <v>0</v>
      </c>
      <c r="I94" s="65" t="s">
        <v>126</v>
      </c>
      <c r="J94" s="107">
        <v>9541</v>
      </c>
      <c r="K94" s="131">
        <v>7919030</v>
      </c>
      <c r="L94" s="131">
        <v>237570.9</v>
      </c>
      <c r="M94" s="65" t="s">
        <v>127</v>
      </c>
      <c r="N94" s="107">
        <v>7077</v>
      </c>
      <c r="O94" s="131">
        <v>5873910</v>
      </c>
      <c r="P94" s="132">
        <v>352434.6</v>
      </c>
      <c r="Q94" s="65" t="s">
        <v>128</v>
      </c>
      <c r="R94" s="107">
        <v>9005</v>
      </c>
      <c r="S94" s="131">
        <v>7474150</v>
      </c>
      <c r="T94" s="132">
        <v>448449</v>
      </c>
      <c r="U94" s="65" t="s">
        <v>129</v>
      </c>
      <c r="V94" s="107">
        <v>4779.2599672486604</v>
      </c>
      <c r="W94" s="131">
        <v>3966785.7728163879</v>
      </c>
      <c r="X94" s="132">
        <v>238007.14636898326</v>
      </c>
      <c r="Y94" s="110" t="s">
        <v>160</v>
      </c>
      <c r="Z94" s="133"/>
      <c r="AA94" s="134">
        <v>0</v>
      </c>
      <c r="AB94" s="112" t="s">
        <v>161</v>
      </c>
      <c r="AC94" s="133">
        <v>5346.1936769138929</v>
      </c>
      <c r="AD94" s="131">
        <v>4437340.7518385313</v>
      </c>
      <c r="AE94" s="135" t="s">
        <v>162</v>
      </c>
      <c r="AF94" s="133">
        <v>5910.9988408878353</v>
      </c>
      <c r="AG94" s="131">
        <v>4906129.0379369026</v>
      </c>
      <c r="AH94" s="112" t="s">
        <v>163</v>
      </c>
      <c r="AI94" s="133">
        <v>2820.1230540801103</v>
      </c>
      <c r="AJ94" s="131">
        <v>2340702.1348864916</v>
      </c>
      <c r="AK94" s="112" t="s">
        <v>164</v>
      </c>
      <c r="AL94" s="133">
        <v>4773.445988539861</v>
      </c>
      <c r="AM94" s="131">
        <v>3961960.1704880842</v>
      </c>
      <c r="AN94" s="112" t="s">
        <v>165</v>
      </c>
      <c r="AO94" s="133">
        <v>4253.2492589680814</v>
      </c>
      <c r="AP94" s="131">
        <v>3530196.8849435076</v>
      </c>
      <c r="AQ94" s="13"/>
      <c r="AR94" s="13"/>
      <c r="AS94" s="13"/>
      <c r="AT94" s="13"/>
    </row>
    <row r="95" spans="2:46">
      <c r="B95" s="13"/>
      <c r="C95" s="129" t="s">
        <v>198</v>
      </c>
      <c r="D95" s="130">
        <v>0.4</v>
      </c>
      <c r="E95" s="65" t="s">
        <v>62</v>
      </c>
      <c r="F95" s="107">
        <v>18047.490000000002</v>
      </c>
      <c r="G95" s="131">
        <v>7218996.0000000009</v>
      </c>
      <c r="H95" s="131">
        <v>433139.76000000007</v>
      </c>
      <c r="I95" s="65" t="s">
        <v>126</v>
      </c>
      <c r="J95" s="107">
        <v>5296</v>
      </c>
      <c r="K95" s="131">
        <v>2118400</v>
      </c>
      <c r="L95" s="131">
        <v>63552</v>
      </c>
      <c r="M95" s="65" t="s">
        <v>127</v>
      </c>
      <c r="N95" s="107">
        <v>15053</v>
      </c>
      <c r="O95" s="131">
        <v>6021200.0000000009</v>
      </c>
      <c r="P95" s="132">
        <v>361272.00000000006</v>
      </c>
      <c r="Q95" s="65" t="s">
        <v>128</v>
      </c>
      <c r="R95" s="107">
        <v>7344</v>
      </c>
      <c r="S95" s="131">
        <v>2937600.0000000005</v>
      </c>
      <c r="T95" s="132">
        <v>176256.00000000003</v>
      </c>
      <c r="U95" s="65" t="s">
        <v>129</v>
      </c>
      <c r="V95" s="107">
        <v>6833.46767535857</v>
      </c>
      <c r="W95" s="131">
        <v>2733387.0701434282</v>
      </c>
      <c r="X95" s="132">
        <v>164003.22420860568</v>
      </c>
      <c r="Y95" s="110" t="s">
        <v>160</v>
      </c>
      <c r="Z95" s="133">
        <v>17856</v>
      </c>
      <c r="AA95" s="134">
        <v>7142400.0000000009</v>
      </c>
      <c r="AB95" s="112" t="s">
        <v>161</v>
      </c>
      <c r="AC95" s="133">
        <v>12916.434041914657</v>
      </c>
      <c r="AD95" s="131">
        <v>5166573.6167658633</v>
      </c>
      <c r="AE95" s="135" t="s">
        <v>162</v>
      </c>
      <c r="AF95" s="133">
        <v>17527.6269557327</v>
      </c>
      <c r="AG95" s="131">
        <v>7011050.7822930804</v>
      </c>
      <c r="AH95" s="112" t="s">
        <v>163</v>
      </c>
      <c r="AI95" s="133">
        <v>8041.5331124567347</v>
      </c>
      <c r="AJ95" s="131">
        <v>3216613.2449826943</v>
      </c>
      <c r="AK95" s="112" t="s">
        <v>164</v>
      </c>
      <c r="AL95" s="133">
        <v>11859.484223763007</v>
      </c>
      <c r="AM95" s="131">
        <v>4743793.6895052036</v>
      </c>
      <c r="AN95" s="112" t="s">
        <v>165</v>
      </c>
      <c r="AO95" s="133">
        <v>19815.08424752051</v>
      </c>
      <c r="AP95" s="131">
        <v>7926033.699008204</v>
      </c>
      <c r="AQ95" s="13"/>
      <c r="AR95" s="13"/>
      <c r="AS95" s="13"/>
      <c r="AT95" s="13"/>
    </row>
    <row r="96" spans="2:46">
      <c r="B96" s="13"/>
      <c r="C96" s="129" t="s">
        <v>199</v>
      </c>
      <c r="D96" s="130">
        <v>0.4</v>
      </c>
      <c r="E96" s="65" t="s">
        <v>62</v>
      </c>
      <c r="F96" s="107"/>
      <c r="G96" s="131">
        <v>0</v>
      </c>
      <c r="H96" s="131">
        <v>0</v>
      </c>
      <c r="I96" s="65" t="s">
        <v>126</v>
      </c>
      <c r="J96" s="107">
        <v>3152</v>
      </c>
      <c r="K96" s="131">
        <v>1260800.0000000002</v>
      </c>
      <c r="L96" s="131">
        <v>37824.000000000007</v>
      </c>
      <c r="M96" s="65" t="s">
        <v>127</v>
      </c>
      <c r="N96" s="107">
        <v>11103</v>
      </c>
      <c r="O96" s="131">
        <v>4441200</v>
      </c>
      <c r="P96" s="132">
        <v>266472</v>
      </c>
      <c r="Q96" s="65" t="s">
        <v>128</v>
      </c>
      <c r="R96" s="107">
        <v>10668</v>
      </c>
      <c r="S96" s="131">
        <v>4267200</v>
      </c>
      <c r="T96" s="132">
        <v>256032</v>
      </c>
      <c r="U96" s="65" t="s">
        <v>129</v>
      </c>
      <c r="V96" s="107">
        <v>9082.4912542021393</v>
      </c>
      <c r="W96" s="131">
        <v>3632996.5016808561</v>
      </c>
      <c r="X96" s="132">
        <v>217979.79010086815</v>
      </c>
      <c r="Y96" s="110" t="s">
        <v>160</v>
      </c>
      <c r="Z96" s="133"/>
      <c r="AA96" s="134">
        <v>0</v>
      </c>
      <c r="AB96" s="112" t="s">
        <v>161</v>
      </c>
      <c r="AC96" s="133">
        <v>13632.876897616321</v>
      </c>
      <c r="AD96" s="131">
        <v>5453150.7590465285</v>
      </c>
      <c r="AE96" s="135" t="s">
        <v>162</v>
      </c>
      <c r="AF96" s="133">
        <v>4082.191350456013</v>
      </c>
      <c r="AG96" s="131">
        <v>1632876.5401824054</v>
      </c>
      <c r="AH96" s="112" t="s">
        <v>163</v>
      </c>
      <c r="AI96" s="133">
        <v>4110.4097350361499</v>
      </c>
      <c r="AJ96" s="131">
        <v>1644163.89401446</v>
      </c>
      <c r="AK96" s="112" t="s">
        <v>164</v>
      </c>
      <c r="AL96" s="133">
        <v>5817.8477347350099</v>
      </c>
      <c r="AM96" s="131">
        <v>2327139.0938940039</v>
      </c>
      <c r="AN96" s="112" t="s">
        <v>165</v>
      </c>
      <c r="AO96" s="133">
        <v>4458.263044178022</v>
      </c>
      <c r="AP96" s="131">
        <v>1783305.217671209</v>
      </c>
      <c r="AQ96" s="13"/>
      <c r="AR96" s="13"/>
      <c r="AS96" s="13"/>
      <c r="AT96" s="13"/>
    </row>
    <row r="97" spans="2:46">
      <c r="B97" s="13"/>
      <c r="C97" s="129" t="s">
        <v>200</v>
      </c>
      <c r="D97" s="130">
        <v>0.83</v>
      </c>
      <c r="E97" s="65" t="s">
        <v>62</v>
      </c>
      <c r="F97" s="107">
        <v>3791.98</v>
      </c>
      <c r="G97" s="131">
        <v>3147343.4</v>
      </c>
      <c r="H97" s="131">
        <v>188840.60399999999</v>
      </c>
      <c r="I97" s="65" t="s">
        <v>126</v>
      </c>
      <c r="J97" s="107">
        <v>4101</v>
      </c>
      <c r="K97" s="131">
        <v>3403830</v>
      </c>
      <c r="L97" s="131">
        <v>102114.9</v>
      </c>
      <c r="M97" s="65" t="s">
        <v>127</v>
      </c>
      <c r="N97" s="107">
        <v>2616</v>
      </c>
      <c r="O97" s="131">
        <v>2171279.9999999995</v>
      </c>
      <c r="P97" s="132">
        <v>130276.79999999997</v>
      </c>
      <c r="Q97" s="65" t="s">
        <v>128</v>
      </c>
      <c r="R97" s="107">
        <v>969</v>
      </c>
      <c r="S97" s="131">
        <v>804270</v>
      </c>
      <c r="T97" s="132">
        <v>48256.2</v>
      </c>
      <c r="U97" s="65" t="s">
        <v>129</v>
      </c>
      <c r="V97" s="107">
        <v>1084.65434582428</v>
      </c>
      <c r="W97" s="131">
        <v>900263.10703415226</v>
      </c>
      <c r="X97" s="132">
        <v>54015.786422049132</v>
      </c>
      <c r="Y97" s="110" t="s">
        <v>160</v>
      </c>
      <c r="Z97" s="133">
        <v>3957</v>
      </c>
      <c r="AA97" s="134">
        <v>3284310</v>
      </c>
      <c r="AB97" s="112" t="s">
        <v>161</v>
      </c>
      <c r="AC97" s="133">
        <v>746.1155933539593</v>
      </c>
      <c r="AD97" s="131">
        <v>619275.94248378614</v>
      </c>
      <c r="AE97" s="135" t="s">
        <v>162</v>
      </c>
      <c r="AF97" s="133">
        <v>1216.1255445766867</v>
      </c>
      <c r="AG97" s="131">
        <v>1009384.20199865</v>
      </c>
      <c r="AH97" s="112" t="s">
        <v>163</v>
      </c>
      <c r="AI97" s="133">
        <v>678.44893029495154</v>
      </c>
      <c r="AJ97" s="131">
        <v>563112.6121448098</v>
      </c>
      <c r="AK97" s="112" t="s">
        <v>164</v>
      </c>
      <c r="AL97" s="133">
        <v>2957.4100429584801</v>
      </c>
      <c r="AM97" s="131">
        <v>2454650.3356555379</v>
      </c>
      <c r="AN97" s="112" t="s">
        <v>165</v>
      </c>
      <c r="AO97" s="133">
        <v>1435.8251232115242</v>
      </c>
      <c r="AP97" s="131">
        <v>1191734.852265565</v>
      </c>
      <c r="AQ97" s="13"/>
      <c r="AR97" s="13"/>
      <c r="AS97" s="13"/>
      <c r="AT97" s="13"/>
    </row>
    <row r="98" spans="2:46">
      <c r="B98" s="13"/>
      <c r="C98" s="129" t="s">
        <v>201</v>
      </c>
      <c r="D98" s="130">
        <v>0.83</v>
      </c>
      <c r="E98" s="65" t="s">
        <v>62</v>
      </c>
      <c r="F98" s="107"/>
      <c r="G98" s="131">
        <v>0</v>
      </c>
      <c r="H98" s="131">
        <v>0</v>
      </c>
      <c r="I98" s="65" t="s">
        <v>126</v>
      </c>
      <c r="J98" s="107">
        <v>1298</v>
      </c>
      <c r="K98" s="131">
        <v>1077340</v>
      </c>
      <c r="L98" s="131">
        <v>32320.199999999997</v>
      </c>
      <c r="M98" s="65" t="s">
        <v>127</v>
      </c>
      <c r="N98" s="107">
        <v>1186</v>
      </c>
      <c r="O98" s="131">
        <v>984380</v>
      </c>
      <c r="P98" s="132">
        <v>59062.799999999996</v>
      </c>
      <c r="Q98" s="65" t="s">
        <v>128</v>
      </c>
      <c r="R98" s="107">
        <v>1521</v>
      </c>
      <c r="S98" s="131">
        <v>1262429.9999999998</v>
      </c>
      <c r="T98" s="132">
        <v>75745.799999999988</v>
      </c>
      <c r="U98" s="65" t="s">
        <v>129</v>
      </c>
      <c r="V98" s="107">
        <v>1152.9308199265199</v>
      </c>
      <c r="W98" s="131">
        <v>956932.58053901151</v>
      </c>
      <c r="X98" s="132">
        <v>57415.954832340685</v>
      </c>
      <c r="Y98" s="110" t="s">
        <v>160</v>
      </c>
      <c r="Z98" s="133"/>
      <c r="AA98" s="134">
        <v>0</v>
      </c>
      <c r="AB98" s="112" t="s">
        <v>161</v>
      </c>
      <c r="AC98" s="133">
        <v>538.52561905475011</v>
      </c>
      <c r="AD98" s="131">
        <v>446976.26381544257</v>
      </c>
      <c r="AE98" s="135" t="s">
        <v>162</v>
      </c>
      <c r="AF98" s="133">
        <v>473.8681918180942</v>
      </c>
      <c r="AG98" s="131">
        <v>393310.59920901817</v>
      </c>
      <c r="AH98" s="112" t="s">
        <v>163</v>
      </c>
      <c r="AI98" s="133">
        <v>380.8954997842547</v>
      </c>
      <c r="AJ98" s="131">
        <v>316143.26482093142</v>
      </c>
      <c r="AK98" s="112" t="s">
        <v>164</v>
      </c>
      <c r="AL98" s="133">
        <v>352.73804657790595</v>
      </c>
      <c r="AM98" s="131">
        <v>292772.57865966193</v>
      </c>
      <c r="AN98" s="112" t="s">
        <v>165</v>
      </c>
      <c r="AO98" s="133">
        <v>706.67391748197292</v>
      </c>
      <c r="AP98" s="131">
        <v>586539.35151003744</v>
      </c>
      <c r="AQ98" s="13"/>
      <c r="AR98" s="13"/>
      <c r="AS98" s="13"/>
      <c r="AT98" s="13"/>
    </row>
    <row r="99" spans="2:46">
      <c r="B99" s="13"/>
      <c r="C99" s="129" t="s">
        <v>202</v>
      </c>
      <c r="D99" s="130">
        <v>0.4</v>
      </c>
      <c r="E99" s="65" t="s">
        <v>62</v>
      </c>
      <c r="F99" s="107">
        <v>17589.919999999998</v>
      </c>
      <c r="G99" s="131">
        <v>7035968</v>
      </c>
      <c r="H99" s="131">
        <v>422158.07999999996</v>
      </c>
      <c r="I99" s="65" t="s">
        <v>126</v>
      </c>
      <c r="J99" s="107">
        <v>12822</v>
      </c>
      <c r="K99" s="131">
        <v>5128800</v>
      </c>
      <c r="L99" s="131">
        <v>153864</v>
      </c>
      <c r="M99" s="65" t="s">
        <v>127</v>
      </c>
      <c r="N99" s="107">
        <v>12410</v>
      </c>
      <c r="O99" s="131">
        <v>4964000</v>
      </c>
      <c r="P99" s="132">
        <v>297840</v>
      </c>
      <c r="Q99" s="65" t="s">
        <v>128</v>
      </c>
      <c r="R99" s="107">
        <v>9214</v>
      </c>
      <c r="S99" s="131">
        <v>3685600.0000000005</v>
      </c>
      <c r="T99" s="132">
        <v>221136.00000000003</v>
      </c>
      <c r="U99" s="65" t="s">
        <v>129</v>
      </c>
      <c r="V99" s="107">
        <v>9649.6747382517005</v>
      </c>
      <c r="W99" s="131">
        <v>3859869.8953006808</v>
      </c>
      <c r="X99" s="132">
        <v>231592.19371804083</v>
      </c>
      <c r="Y99" s="110" t="s">
        <v>160</v>
      </c>
      <c r="Z99" s="133">
        <v>26297</v>
      </c>
      <c r="AA99" s="134">
        <v>10518800.000000002</v>
      </c>
      <c r="AB99" s="112" t="s">
        <v>161</v>
      </c>
      <c r="AC99" s="133">
        <v>18885.233010190204</v>
      </c>
      <c r="AD99" s="131">
        <v>7554093.2040760815</v>
      </c>
      <c r="AE99" s="135" t="s">
        <v>162</v>
      </c>
      <c r="AF99" s="133">
        <v>14191.988426137588</v>
      </c>
      <c r="AG99" s="131">
        <v>5676795.3704550359</v>
      </c>
      <c r="AH99" s="112" t="s">
        <v>163</v>
      </c>
      <c r="AI99" s="133">
        <v>27263.212096184332</v>
      </c>
      <c r="AJ99" s="131">
        <v>10905284.838473734</v>
      </c>
      <c r="AK99" s="112" t="s">
        <v>164</v>
      </c>
      <c r="AL99" s="133">
        <v>24080.95428495399</v>
      </c>
      <c r="AM99" s="131">
        <v>9632381.7139815968</v>
      </c>
      <c r="AN99" s="112" t="s">
        <v>165</v>
      </c>
      <c r="AO99" s="133">
        <v>18797.452919738414</v>
      </c>
      <c r="AP99" s="131">
        <v>7518981.1678953664</v>
      </c>
      <c r="AQ99" s="13"/>
      <c r="AR99" s="13"/>
      <c r="AS99" s="13"/>
      <c r="AT99" s="13"/>
    </row>
    <row r="100" spans="2:46">
      <c r="B100" s="13"/>
      <c r="C100" s="129" t="s">
        <v>203</v>
      </c>
      <c r="D100" s="136">
        <v>0.4</v>
      </c>
      <c r="E100" s="65" t="s">
        <v>62</v>
      </c>
      <c r="F100" s="107"/>
      <c r="G100" s="131">
        <v>0</v>
      </c>
      <c r="H100" s="131">
        <v>0</v>
      </c>
      <c r="I100" s="65" t="s">
        <v>126</v>
      </c>
      <c r="J100" s="107">
        <v>951</v>
      </c>
      <c r="K100" s="131">
        <v>380400.00000000006</v>
      </c>
      <c r="L100" s="131">
        <v>11412.000000000002</v>
      </c>
      <c r="M100" s="65" t="s">
        <v>127</v>
      </c>
      <c r="N100" s="107">
        <v>1754</v>
      </c>
      <c r="O100" s="131">
        <v>701600</v>
      </c>
      <c r="P100" s="132">
        <v>42096</v>
      </c>
      <c r="Q100" s="65" t="s">
        <v>128</v>
      </c>
      <c r="R100" s="107">
        <v>2994</v>
      </c>
      <c r="S100" s="131">
        <v>1197600.0000000002</v>
      </c>
      <c r="T100" s="132">
        <v>71856.000000000015</v>
      </c>
      <c r="U100" s="65" t="s">
        <v>129</v>
      </c>
      <c r="V100" s="107">
        <v>2791.5553497566202</v>
      </c>
      <c r="W100" s="131">
        <v>1116622.1399026481</v>
      </c>
      <c r="X100" s="132">
        <v>66997.328394158874</v>
      </c>
      <c r="Y100" s="110" t="s">
        <v>160</v>
      </c>
      <c r="Z100" s="133"/>
      <c r="AA100" s="134">
        <v>0</v>
      </c>
      <c r="AB100" s="112" t="s">
        <v>161</v>
      </c>
      <c r="AC100" s="133">
        <v>759.76646660022072</v>
      </c>
      <c r="AD100" s="131">
        <v>303906.5866400883</v>
      </c>
      <c r="AE100" s="135" t="s">
        <v>162</v>
      </c>
      <c r="AF100" s="133">
        <v>892.84489465336605</v>
      </c>
      <c r="AG100" s="131">
        <v>357137.95786134643</v>
      </c>
      <c r="AH100" s="112" t="s">
        <v>163</v>
      </c>
      <c r="AI100" s="133">
        <v>609.0496600748254</v>
      </c>
      <c r="AJ100" s="131">
        <v>243619.86402993018</v>
      </c>
      <c r="AK100" s="112" t="s">
        <v>164</v>
      </c>
      <c r="AL100" s="133">
        <v>564.4398932026312</v>
      </c>
      <c r="AM100" s="131">
        <v>225775.95728105248</v>
      </c>
      <c r="AN100" s="112" t="s">
        <v>165</v>
      </c>
      <c r="AO100" s="133">
        <v>738.76136082883318</v>
      </c>
      <c r="AP100" s="131">
        <v>295504.54433153331</v>
      </c>
      <c r="AQ100" s="13"/>
      <c r="AR100" s="13"/>
      <c r="AS100" s="13"/>
      <c r="AT100" s="13"/>
    </row>
    <row r="101" spans="2:46">
      <c r="B101" s="13"/>
      <c r="C101" s="116" t="s">
        <v>118</v>
      </c>
      <c r="D101" s="137"/>
      <c r="E101" s="138"/>
      <c r="F101" s="139">
        <v>88730.87</v>
      </c>
      <c r="G101" s="140">
        <v>52776511.899999999</v>
      </c>
      <c r="H101" s="139">
        <v>3166590.7140000002</v>
      </c>
      <c r="I101" s="138"/>
      <c r="J101" s="139">
        <v>53996</v>
      </c>
      <c r="K101" s="140">
        <v>32460200</v>
      </c>
      <c r="L101" s="139">
        <v>1015712.7</v>
      </c>
      <c r="M101" s="138"/>
      <c r="N101" s="139">
        <v>77332</v>
      </c>
      <c r="O101" s="140">
        <v>41021890</v>
      </c>
      <c r="P101" s="140">
        <v>2461313.4</v>
      </c>
      <c r="Q101" s="138"/>
      <c r="R101" s="139">
        <v>58134</v>
      </c>
      <c r="S101" s="140">
        <v>31175490</v>
      </c>
      <c r="T101" s="140">
        <v>1870529.4000000001</v>
      </c>
      <c r="U101" s="138"/>
      <c r="V101" s="139">
        <v>45974.806525117696</v>
      </c>
      <c r="W101" s="140">
        <v>23866716.392889652</v>
      </c>
      <c r="X101" s="140">
        <v>1432002.9835733965</v>
      </c>
      <c r="Y101" s="138"/>
      <c r="Z101" s="138">
        <v>72495</v>
      </c>
      <c r="AA101" s="138"/>
      <c r="AB101" s="138"/>
      <c r="AC101" s="138">
        <v>68728.290519575661</v>
      </c>
      <c r="AD101" s="138"/>
      <c r="AE101" s="141"/>
      <c r="AF101" s="138">
        <v>64058.415735550916</v>
      </c>
      <c r="AG101" s="138"/>
      <c r="AH101" s="138"/>
      <c r="AI101" s="138">
        <v>73979.955927434974</v>
      </c>
      <c r="AJ101" s="139"/>
      <c r="AK101" s="138"/>
      <c r="AL101" s="138">
        <v>81030.337034461816</v>
      </c>
      <c r="AM101" s="139"/>
      <c r="AN101" s="138"/>
      <c r="AO101" s="138">
        <v>68358.373950290232</v>
      </c>
      <c r="AP101" s="139"/>
      <c r="AQ101" s="13"/>
      <c r="AR101" s="13"/>
      <c r="AS101" s="13"/>
      <c r="AT101" s="13"/>
    </row>
    <row r="102" spans="2:46">
      <c r="B102" s="13"/>
      <c r="C102" s="142"/>
      <c r="D102" s="143"/>
      <c r="E102" s="144"/>
      <c r="F102" s="145"/>
      <c r="G102" s="146"/>
      <c r="H102" s="145"/>
      <c r="I102" s="144"/>
      <c r="J102" s="145"/>
      <c r="K102" s="146"/>
      <c r="L102" s="145"/>
      <c r="M102" s="144"/>
      <c r="N102" s="145"/>
      <c r="O102" s="146"/>
      <c r="P102" s="146"/>
      <c r="Q102" s="144"/>
      <c r="R102" s="145"/>
      <c r="S102" s="146"/>
      <c r="T102" s="146"/>
      <c r="U102" s="144"/>
      <c r="V102" s="145"/>
      <c r="W102" s="146"/>
      <c r="X102" s="146"/>
      <c r="Y102" s="144"/>
      <c r="Z102" s="144"/>
      <c r="AA102" s="144"/>
      <c r="AB102" s="144"/>
      <c r="AC102" s="13"/>
      <c r="AD102" s="13"/>
      <c r="AE102" s="14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spans="2:46" ht="18.5">
      <c r="B103" s="13"/>
      <c r="C103" s="147" t="s">
        <v>4</v>
      </c>
      <c r="D103" s="148" t="s">
        <v>204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3"/>
      <c r="Z103" s="13"/>
      <c r="AA103" s="13"/>
      <c r="AB103" s="13"/>
      <c r="AC103" s="13"/>
      <c r="AD103" s="13"/>
      <c r="AE103" s="14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spans="2:46">
      <c r="B104" s="13"/>
      <c r="C104" s="93" t="s">
        <v>205</v>
      </c>
      <c r="D104" s="93">
        <v>1994</v>
      </c>
      <c r="E104" s="93"/>
      <c r="F104" s="93"/>
      <c r="G104" s="93">
        <v>2000</v>
      </c>
      <c r="H104" s="93"/>
      <c r="I104" s="93"/>
      <c r="J104" s="93">
        <v>2006</v>
      </c>
      <c r="K104" s="93"/>
      <c r="L104" s="93"/>
      <c r="M104" s="93">
        <v>2010</v>
      </c>
      <c r="N104" s="93"/>
      <c r="O104" s="93"/>
      <c r="P104" s="93">
        <v>2012</v>
      </c>
      <c r="Q104" s="93"/>
      <c r="R104" s="93"/>
      <c r="S104" s="93">
        <v>2014</v>
      </c>
      <c r="T104" s="93"/>
      <c r="U104" s="93"/>
      <c r="V104" s="93">
        <v>2016</v>
      </c>
      <c r="W104" s="93"/>
      <c r="X104" s="93"/>
      <c r="Y104" s="93">
        <v>2018</v>
      </c>
      <c r="Z104" s="93"/>
      <c r="AA104" s="93"/>
      <c r="AB104" s="93">
        <v>2020</v>
      </c>
      <c r="AC104" s="93"/>
      <c r="AD104" s="93"/>
      <c r="AE104" s="93">
        <v>2021</v>
      </c>
      <c r="AF104" s="93"/>
      <c r="AG104" s="93"/>
      <c r="AH104" s="93">
        <v>2022</v>
      </c>
      <c r="AI104" s="93"/>
      <c r="AJ104" s="93"/>
      <c r="AK104" s="142"/>
      <c r="AL104" s="142"/>
      <c r="AM104" s="142"/>
      <c r="AN104" s="13"/>
      <c r="AO104" s="13"/>
      <c r="AP104" s="13"/>
      <c r="AQ104" s="13"/>
      <c r="AR104" s="13"/>
      <c r="AS104" s="13"/>
      <c r="AT104" s="13"/>
    </row>
    <row r="105" spans="2:46" ht="29">
      <c r="B105" s="13"/>
      <c r="C105" s="93"/>
      <c r="D105" s="63" t="s">
        <v>7</v>
      </c>
      <c r="E105" s="63" t="s">
        <v>206</v>
      </c>
      <c r="F105" s="127" t="s">
        <v>207</v>
      </c>
      <c r="G105" s="63" t="s">
        <v>7</v>
      </c>
      <c r="H105" s="63" t="s">
        <v>206</v>
      </c>
      <c r="I105" s="127" t="s">
        <v>207</v>
      </c>
      <c r="J105" s="63" t="s">
        <v>7</v>
      </c>
      <c r="K105" s="63" t="s">
        <v>206</v>
      </c>
      <c r="L105" s="127" t="s">
        <v>207</v>
      </c>
      <c r="M105" s="63" t="s">
        <v>7</v>
      </c>
      <c r="N105" s="63" t="s">
        <v>206</v>
      </c>
      <c r="O105" s="127" t="s">
        <v>207</v>
      </c>
      <c r="P105" s="63" t="s">
        <v>7</v>
      </c>
      <c r="Q105" s="63" t="s">
        <v>206</v>
      </c>
      <c r="R105" s="127" t="s">
        <v>207</v>
      </c>
      <c r="S105" s="63" t="s">
        <v>7</v>
      </c>
      <c r="T105" s="63" t="s">
        <v>206</v>
      </c>
      <c r="U105" s="127" t="s">
        <v>207</v>
      </c>
      <c r="V105" s="63" t="s">
        <v>7</v>
      </c>
      <c r="W105" s="63" t="s">
        <v>206</v>
      </c>
      <c r="X105" s="127" t="s">
        <v>207</v>
      </c>
      <c r="Y105" s="63" t="s">
        <v>7</v>
      </c>
      <c r="Z105" s="63" t="s">
        <v>206</v>
      </c>
      <c r="AA105" s="127" t="s">
        <v>207</v>
      </c>
      <c r="AB105" s="63" t="s">
        <v>7</v>
      </c>
      <c r="AC105" s="63" t="s">
        <v>206</v>
      </c>
      <c r="AD105" s="127" t="s">
        <v>207</v>
      </c>
      <c r="AE105" s="63" t="s">
        <v>7</v>
      </c>
      <c r="AF105" s="63" t="s">
        <v>206</v>
      </c>
      <c r="AG105" s="127" t="s">
        <v>207</v>
      </c>
      <c r="AH105" s="63" t="s">
        <v>7</v>
      </c>
      <c r="AI105" s="63" t="s">
        <v>206</v>
      </c>
      <c r="AJ105" s="127" t="s">
        <v>207</v>
      </c>
      <c r="AK105" s="149"/>
      <c r="AL105" s="149"/>
      <c r="AM105" s="150"/>
      <c r="AN105" s="13"/>
      <c r="AO105" s="13"/>
      <c r="AP105" s="13"/>
      <c r="AQ105" s="13"/>
      <c r="AR105" s="13"/>
      <c r="AS105" s="13"/>
      <c r="AT105" s="13"/>
    </row>
    <row r="106" spans="2:46">
      <c r="B106" s="13"/>
      <c r="C106" s="129" t="s">
        <v>208</v>
      </c>
      <c r="D106" s="151"/>
      <c r="E106" s="152"/>
      <c r="F106" s="153"/>
      <c r="G106" s="151"/>
      <c r="H106" s="152"/>
      <c r="I106" s="153"/>
      <c r="J106" s="151"/>
      <c r="K106" s="152"/>
      <c r="L106" s="153"/>
      <c r="M106" s="151"/>
      <c r="N106" s="152"/>
      <c r="O106" s="153"/>
      <c r="P106" s="151"/>
      <c r="Q106" s="152"/>
      <c r="R106" s="153"/>
      <c r="S106" s="151"/>
      <c r="T106" s="152"/>
      <c r="U106" s="153"/>
      <c r="V106" s="151"/>
      <c r="W106" s="152"/>
      <c r="X106" s="153"/>
      <c r="Y106" s="151"/>
      <c r="Z106" s="152"/>
      <c r="AA106" s="153"/>
      <c r="AB106" s="151"/>
      <c r="AC106" s="152"/>
      <c r="AD106" s="153"/>
      <c r="AE106" s="151"/>
      <c r="AF106" s="152"/>
      <c r="AG106" s="153"/>
      <c r="AH106" s="151"/>
      <c r="AI106" s="152"/>
      <c r="AJ106" s="153"/>
      <c r="AK106" s="154"/>
      <c r="AL106" s="155"/>
      <c r="AM106" s="156"/>
      <c r="AN106" s="13"/>
      <c r="AO106" s="13"/>
      <c r="AP106" s="13"/>
      <c r="AQ106" s="13"/>
      <c r="AR106" s="13"/>
      <c r="AS106" s="13"/>
      <c r="AT106" s="13"/>
    </row>
    <row r="107" spans="2:46">
      <c r="B107" s="13"/>
      <c r="C107" s="157" t="s">
        <v>209</v>
      </c>
      <c r="D107" s="65" t="s">
        <v>62</v>
      </c>
      <c r="E107" s="158">
        <v>19762.86</v>
      </c>
      <c r="F107" s="153">
        <v>19.76286</v>
      </c>
      <c r="G107" s="151"/>
      <c r="H107" s="158">
        <v>12958</v>
      </c>
      <c r="I107" s="153">
        <v>12.958</v>
      </c>
      <c r="J107" s="151"/>
      <c r="K107" s="158">
        <v>7577</v>
      </c>
      <c r="L107" s="153">
        <v>7.577</v>
      </c>
      <c r="M107" s="159"/>
      <c r="N107" s="158">
        <v>7605</v>
      </c>
      <c r="O107" s="153">
        <v>7.6050000000000004</v>
      </c>
      <c r="P107" s="151"/>
      <c r="Q107" s="158">
        <v>7450</v>
      </c>
      <c r="R107" s="153">
        <v>7.45</v>
      </c>
      <c r="S107" s="151" t="s">
        <v>160</v>
      </c>
      <c r="T107" s="158">
        <v>6814.2370172672854</v>
      </c>
      <c r="U107" s="153">
        <v>6.8142370172672857</v>
      </c>
      <c r="V107" s="151" t="s">
        <v>161</v>
      </c>
      <c r="W107" s="158">
        <v>6745.7733024470172</v>
      </c>
      <c r="X107" s="153">
        <v>6.7457733024470174</v>
      </c>
      <c r="Y107" s="151" t="s">
        <v>162</v>
      </c>
      <c r="Z107" s="158">
        <v>5397.7720778404291</v>
      </c>
      <c r="AA107" s="153">
        <v>5.397772077840429</v>
      </c>
      <c r="AB107" s="151" t="s">
        <v>163</v>
      </c>
      <c r="AC107" s="158">
        <v>14646.734982666992</v>
      </c>
      <c r="AD107" s="153">
        <v>14.646734982666992</v>
      </c>
      <c r="AE107" s="151" t="s">
        <v>164</v>
      </c>
      <c r="AF107" s="158">
        <v>10898.383684924247</v>
      </c>
      <c r="AG107" s="153">
        <v>10.898383684924248</v>
      </c>
      <c r="AH107" s="151" t="s">
        <v>165</v>
      </c>
      <c r="AI107" s="158">
        <v>7431.193201537626</v>
      </c>
      <c r="AJ107" s="153">
        <v>7.4311932015376261</v>
      </c>
      <c r="AK107" s="154"/>
      <c r="AL107" s="160"/>
      <c r="AM107" s="156"/>
      <c r="AN107" s="13"/>
      <c r="AO107" s="13"/>
      <c r="AP107" s="13"/>
      <c r="AQ107" s="13"/>
      <c r="AR107" s="13"/>
      <c r="AS107" s="13"/>
      <c r="AT107" s="13"/>
    </row>
    <row r="108" spans="2:46">
      <c r="B108" s="13"/>
      <c r="C108" s="157" t="s">
        <v>210</v>
      </c>
      <c r="D108" s="65" t="s">
        <v>62</v>
      </c>
      <c r="E108" s="158">
        <v>489692.26</v>
      </c>
      <c r="F108" s="153">
        <v>489.69226000000003</v>
      </c>
      <c r="G108" s="69"/>
      <c r="H108" s="158">
        <v>487825</v>
      </c>
      <c r="I108" s="153">
        <v>487.82499999999999</v>
      </c>
      <c r="J108" s="151"/>
      <c r="K108" s="158">
        <v>647184</v>
      </c>
      <c r="L108" s="153">
        <v>647.18399999999997</v>
      </c>
      <c r="M108" s="151"/>
      <c r="N108" s="158">
        <v>412021</v>
      </c>
      <c r="O108" s="153">
        <v>412.02100000000002</v>
      </c>
      <c r="P108" s="151"/>
      <c r="Q108" s="158">
        <v>1130552.5426280159</v>
      </c>
      <c r="R108" s="153">
        <v>1130.5525426280158</v>
      </c>
      <c r="S108" s="151" t="s">
        <v>160</v>
      </c>
      <c r="T108" s="158">
        <v>1468801.705974001</v>
      </c>
      <c r="U108" s="153">
        <v>1468.8017059740009</v>
      </c>
      <c r="V108" s="151" t="s">
        <v>161</v>
      </c>
      <c r="W108" s="158">
        <v>1028521.5869657231</v>
      </c>
      <c r="X108" s="153">
        <v>1028.5215869657231</v>
      </c>
      <c r="Y108" s="151" t="s">
        <v>162</v>
      </c>
      <c r="Z108" s="158">
        <v>1306660.6873483995</v>
      </c>
      <c r="AA108" s="153">
        <v>1306.6606873483995</v>
      </c>
      <c r="AB108" s="151" t="s">
        <v>163</v>
      </c>
      <c r="AC108" s="158">
        <v>1286416.5315329654</v>
      </c>
      <c r="AD108" s="153">
        <v>1286.4165315329653</v>
      </c>
      <c r="AE108" s="151" t="s">
        <v>164</v>
      </c>
      <c r="AF108" s="158">
        <v>1657355.4253143671</v>
      </c>
      <c r="AG108" s="153">
        <v>1657.355425314367</v>
      </c>
      <c r="AH108" s="151" t="s">
        <v>165</v>
      </c>
      <c r="AI108" s="158">
        <v>1613368.6989196222</v>
      </c>
      <c r="AJ108" s="153">
        <v>1613.3686989196221</v>
      </c>
      <c r="AK108" s="154"/>
      <c r="AL108" s="160"/>
      <c r="AM108" s="156"/>
      <c r="AN108" s="13"/>
      <c r="AO108" s="13"/>
      <c r="AP108" s="13"/>
      <c r="AQ108" s="13"/>
      <c r="AR108" s="13"/>
      <c r="AS108" s="13"/>
      <c r="AT108" s="13"/>
    </row>
    <row r="109" spans="2:46">
      <c r="B109" s="13"/>
      <c r="C109" s="157" t="s">
        <v>211</v>
      </c>
      <c r="D109" s="65"/>
      <c r="E109" s="161">
        <v>0</v>
      </c>
      <c r="F109" s="153"/>
      <c r="G109" s="69"/>
      <c r="H109" s="161">
        <v>27478</v>
      </c>
      <c r="I109" s="153"/>
      <c r="J109" s="65" t="s">
        <v>127</v>
      </c>
      <c r="K109" s="161">
        <v>35854</v>
      </c>
      <c r="L109" s="153"/>
      <c r="M109" s="65" t="s">
        <v>128</v>
      </c>
      <c r="N109" s="161">
        <v>456006</v>
      </c>
      <c r="O109" s="153"/>
      <c r="P109" s="65" t="s">
        <v>129</v>
      </c>
      <c r="Q109" s="161">
        <v>84640.051552251563</v>
      </c>
      <c r="R109" s="153"/>
      <c r="S109" s="65"/>
      <c r="T109" s="161">
        <v>64417.013974605266</v>
      </c>
      <c r="U109" s="153"/>
      <c r="V109" s="65"/>
      <c r="W109" s="161">
        <v>62586.483453487883</v>
      </c>
      <c r="X109" s="153"/>
      <c r="Y109" s="65" t="s">
        <v>162</v>
      </c>
      <c r="Z109" s="161">
        <v>17486.237006771367</v>
      </c>
      <c r="AA109" s="153"/>
      <c r="AB109" s="65" t="s">
        <v>163</v>
      </c>
      <c r="AC109" s="161">
        <v>18467.852500783825</v>
      </c>
      <c r="AD109" s="153"/>
      <c r="AE109" s="65" t="s">
        <v>164</v>
      </c>
      <c r="AF109" s="161">
        <v>42014.182586138399</v>
      </c>
      <c r="AG109" s="153"/>
      <c r="AH109" s="65" t="s">
        <v>165</v>
      </c>
      <c r="AI109" s="161">
        <v>27762.535113432736</v>
      </c>
      <c r="AJ109" s="153"/>
      <c r="AK109" s="162"/>
      <c r="AL109" s="163"/>
      <c r="AM109" s="156"/>
      <c r="AN109" s="13"/>
      <c r="AO109" s="13"/>
      <c r="AP109" s="13"/>
      <c r="AQ109" s="13"/>
      <c r="AR109" s="13"/>
      <c r="AS109" s="13"/>
      <c r="AT109" s="13"/>
    </row>
    <row r="110" spans="2:46">
      <c r="B110" s="13"/>
      <c r="C110" s="157" t="s">
        <v>212</v>
      </c>
      <c r="D110" s="65"/>
      <c r="E110" s="161">
        <v>0</v>
      </c>
      <c r="F110" s="153"/>
      <c r="G110" s="69"/>
      <c r="H110" s="161">
        <v>4603</v>
      </c>
      <c r="I110" s="153"/>
      <c r="J110" s="65" t="s">
        <v>127</v>
      </c>
      <c r="K110" s="161">
        <v>30738</v>
      </c>
      <c r="L110" s="153"/>
      <c r="M110" s="65" t="s">
        <v>128</v>
      </c>
      <c r="N110" s="161">
        <v>11420</v>
      </c>
      <c r="O110" s="153"/>
      <c r="P110" s="65"/>
      <c r="Q110" s="161">
        <v>8773.5849823466633</v>
      </c>
      <c r="R110" s="153"/>
      <c r="S110" s="65"/>
      <c r="T110" s="161">
        <v>22780.467360429673</v>
      </c>
      <c r="U110" s="153"/>
      <c r="V110" s="65"/>
      <c r="W110" s="161">
        <v>22699.186038205236</v>
      </c>
      <c r="X110" s="153"/>
      <c r="Y110" s="65" t="s">
        <v>162</v>
      </c>
      <c r="Z110" s="161">
        <v>42296.133933481062</v>
      </c>
      <c r="AA110" s="153"/>
      <c r="AB110" s="65" t="s">
        <v>163</v>
      </c>
      <c r="AC110" s="161">
        <v>83119.530780318732</v>
      </c>
      <c r="AD110" s="153"/>
      <c r="AE110" s="65" t="s">
        <v>164</v>
      </c>
      <c r="AF110" s="161">
        <v>35898.188749839443</v>
      </c>
      <c r="AG110" s="153"/>
      <c r="AH110" s="65" t="s">
        <v>165</v>
      </c>
      <c r="AI110" s="161">
        <v>33832.959475361924</v>
      </c>
      <c r="AJ110" s="153"/>
      <c r="AK110" s="162"/>
      <c r="AL110" s="163"/>
      <c r="AM110" s="156"/>
      <c r="AN110" s="13"/>
      <c r="AO110" s="13"/>
      <c r="AP110" s="13"/>
      <c r="AQ110" s="13"/>
      <c r="AR110" s="13"/>
      <c r="AS110" s="13"/>
      <c r="AT110" s="13"/>
    </row>
    <row r="111" spans="2:46">
      <c r="B111" s="13"/>
      <c r="C111" s="157" t="s">
        <v>213</v>
      </c>
      <c r="D111" s="65"/>
      <c r="E111" s="161">
        <v>0</v>
      </c>
      <c r="F111" s="153"/>
      <c r="G111" s="69"/>
      <c r="H111" s="161">
        <v>687</v>
      </c>
      <c r="I111" s="153"/>
      <c r="J111" s="65" t="s">
        <v>127</v>
      </c>
      <c r="K111" s="161">
        <v>3898</v>
      </c>
      <c r="L111" s="153"/>
      <c r="M111" s="65" t="s">
        <v>128</v>
      </c>
      <c r="N111" s="161">
        <v>13377</v>
      </c>
      <c r="O111" s="153"/>
      <c r="P111" s="65" t="s">
        <v>129</v>
      </c>
      <c r="Q111" s="161">
        <v>19362.060440054051</v>
      </c>
      <c r="R111" s="153"/>
      <c r="S111" s="65"/>
      <c r="T111" s="161">
        <v>13937.691248165209</v>
      </c>
      <c r="U111" s="153"/>
      <c r="V111" s="65"/>
      <c r="W111" s="161">
        <v>7551.3164893569792</v>
      </c>
      <c r="X111" s="153"/>
      <c r="Y111" s="65" t="s">
        <v>162</v>
      </c>
      <c r="Z111" s="161">
        <v>7556.4412278116242</v>
      </c>
      <c r="AA111" s="153"/>
      <c r="AB111" s="65" t="s">
        <v>163</v>
      </c>
      <c r="AC111" s="161">
        <v>5474.6167005439693</v>
      </c>
      <c r="AD111" s="153"/>
      <c r="AE111" s="65" t="s">
        <v>164</v>
      </c>
      <c r="AF111" s="161">
        <v>6915.1170030414287</v>
      </c>
      <c r="AG111" s="153"/>
      <c r="AH111" s="65" t="s">
        <v>165</v>
      </c>
      <c r="AI111" s="161">
        <v>5618.7013118399227</v>
      </c>
      <c r="AJ111" s="153"/>
      <c r="AK111" s="162"/>
      <c r="AL111" s="163"/>
      <c r="AM111" s="156"/>
      <c r="AN111" s="13"/>
      <c r="AO111" s="13"/>
      <c r="AP111" s="13"/>
      <c r="AQ111" s="13"/>
      <c r="AR111" s="13"/>
      <c r="AS111" s="13"/>
      <c r="AT111" s="13"/>
    </row>
    <row r="112" spans="2:46">
      <c r="B112" s="13"/>
      <c r="C112" s="157" t="s">
        <v>214</v>
      </c>
      <c r="D112" s="65"/>
      <c r="E112" s="161">
        <v>67696.149999999994</v>
      </c>
      <c r="F112" s="153"/>
      <c r="G112" s="69"/>
      <c r="H112" s="161">
        <v>46068</v>
      </c>
      <c r="I112" s="153"/>
      <c r="J112" s="65" t="s">
        <v>127</v>
      </c>
      <c r="K112" s="161">
        <v>34839</v>
      </c>
      <c r="L112" s="153"/>
      <c r="M112" s="65" t="s">
        <v>128</v>
      </c>
      <c r="N112" s="161">
        <v>17125</v>
      </c>
      <c r="O112" s="153"/>
      <c r="P112" s="65" t="s">
        <v>129</v>
      </c>
      <c r="Q112" s="161">
        <v>8682.668399507882</v>
      </c>
      <c r="R112" s="153"/>
      <c r="S112" s="65"/>
      <c r="T112" s="161">
        <v>17057.902897765904</v>
      </c>
      <c r="U112" s="153"/>
      <c r="V112" s="65"/>
      <c r="W112" s="161">
        <v>7912.0672232830302</v>
      </c>
      <c r="X112" s="153"/>
      <c r="Y112" s="65" t="s">
        <v>162</v>
      </c>
      <c r="Z112" s="161">
        <v>7355.1166453500555</v>
      </c>
      <c r="AA112" s="153"/>
      <c r="AB112" s="65" t="s">
        <v>163</v>
      </c>
      <c r="AC112" s="161">
        <v>15911.221471612143</v>
      </c>
      <c r="AD112" s="153"/>
      <c r="AE112" s="65" t="s">
        <v>164</v>
      </c>
      <c r="AF112" s="161">
        <v>22034.519241355527</v>
      </c>
      <c r="AG112" s="153"/>
      <c r="AH112" s="65" t="s">
        <v>165</v>
      </c>
      <c r="AI112" s="161">
        <v>10290.953890283423</v>
      </c>
      <c r="AJ112" s="153"/>
      <c r="AK112" s="162"/>
      <c r="AL112" s="163"/>
      <c r="AM112" s="156"/>
      <c r="AN112" s="13"/>
      <c r="AO112" s="13"/>
      <c r="AP112" s="13"/>
      <c r="AQ112" s="13"/>
      <c r="AR112" s="13"/>
      <c r="AS112" s="13"/>
      <c r="AT112" s="13"/>
    </row>
    <row r="113" spans="2:46">
      <c r="B113" s="13"/>
      <c r="C113" s="157" t="s">
        <v>215</v>
      </c>
      <c r="D113" s="65"/>
      <c r="E113" s="161">
        <v>0</v>
      </c>
      <c r="F113" s="153"/>
      <c r="G113" s="69"/>
      <c r="H113" s="161">
        <v>26145</v>
      </c>
      <c r="I113" s="153"/>
      <c r="J113" s="65" t="s">
        <v>127</v>
      </c>
      <c r="K113" s="161">
        <v>15750</v>
      </c>
      <c r="L113" s="153"/>
      <c r="M113" s="65" t="s">
        <v>128</v>
      </c>
      <c r="N113" s="161">
        <v>20422</v>
      </c>
      <c r="O113" s="153"/>
      <c r="P113" s="65" t="s">
        <v>129</v>
      </c>
      <c r="Q113" s="161">
        <v>4896.7510561045492</v>
      </c>
      <c r="R113" s="153"/>
      <c r="S113" s="65"/>
      <c r="T113" s="161">
        <v>5649.9836027333176</v>
      </c>
      <c r="U113" s="153"/>
      <c r="V113" s="65"/>
      <c r="W113" s="161">
        <v>797.86347094228154</v>
      </c>
      <c r="X113" s="153"/>
      <c r="Y113" s="65" t="s">
        <v>162</v>
      </c>
      <c r="Z113" s="161">
        <v>122.76858541430251</v>
      </c>
      <c r="AA113" s="153"/>
      <c r="AB113" s="65" t="s">
        <v>163</v>
      </c>
      <c r="AC113" s="161">
        <v>147.71108071461154</v>
      </c>
      <c r="AD113" s="153"/>
      <c r="AE113" s="65" t="s">
        <v>164</v>
      </c>
      <c r="AF113" s="161">
        <v>369.62463074679778</v>
      </c>
      <c r="AG113" s="153"/>
      <c r="AH113" s="65" t="s">
        <v>165</v>
      </c>
      <c r="AI113" s="161">
        <v>1123.1756228018371</v>
      </c>
      <c r="AJ113" s="153"/>
      <c r="AK113" s="162"/>
      <c r="AL113" s="163"/>
      <c r="AM113" s="156"/>
      <c r="AN113" s="13"/>
      <c r="AO113" s="13"/>
      <c r="AP113" s="13"/>
      <c r="AQ113" s="13"/>
      <c r="AR113" s="13"/>
      <c r="AS113" s="13"/>
      <c r="AT113" s="13"/>
    </row>
    <row r="114" spans="2:46">
      <c r="B114" s="13"/>
      <c r="C114" s="157" t="s">
        <v>216</v>
      </c>
      <c r="D114" s="65"/>
      <c r="E114" s="161">
        <v>55514.74</v>
      </c>
      <c r="F114" s="153"/>
      <c r="G114" s="69"/>
      <c r="H114" s="161">
        <v>32543</v>
      </c>
      <c r="I114" s="153"/>
      <c r="J114" s="65" t="s">
        <v>127</v>
      </c>
      <c r="K114" s="161">
        <v>50320</v>
      </c>
      <c r="L114" s="153"/>
      <c r="M114" s="65" t="s">
        <v>128</v>
      </c>
      <c r="N114" s="161">
        <v>34557</v>
      </c>
      <c r="O114" s="153"/>
      <c r="P114" s="65" t="s">
        <v>129</v>
      </c>
      <c r="Q114" s="161">
        <v>50270.320970823566</v>
      </c>
      <c r="R114" s="153"/>
      <c r="S114" s="65"/>
      <c r="T114" s="161">
        <v>55358.32771415259</v>
      </c>
      <c r="U114" s="153"/>
      <c r="V114" s="65"/>
      <c r="W114" s="161">
        <v>61955.655529748001</v>
      </c>
      <c r="X114" s="153"/>
      <c r="Y114" s="65" t="s">
        <v>162</v>
      </c>
      <c r="Z114" s="161">
        <v>65948.035781278755</v>
      </c>
      <c r="AA114" s="153"/>
      <c r="AB114" s="65" t="s">
        <v>163</v>
      </c>
      <c r="AC114" s="161">
        <v>52169.960776070111</v>
      </c>
      <c r="AD114" s="153"/>
      <c r="AE114" s="65" t="s">
        <v>164</v>
      </c>
      <c r="AF114" s="161">
        <v>81666.917846271084</v>
      </c>
      <c r="AG114" s="153"/>
      <c r="AH114" s="65" t="s">
        <v>165</v>
      </c>
      <c r="AI114" s="161">
        <v>40052.847999289661</v>
      </c>
      <c r="AJ114" s="153"/>
      <c r="AK114" s="162"/>
      <c r="AL114" s="163"/>
      <c r="AM114" s="156"/>
      <c r="AN114" s="13"/>
      <c r="AO114" s="13"/>
      <c r="AP114" s="13"/>
      <c r="AQ114" s="13"/>
      <c r="AR114" s="13"/>
      <c r="AS114" s="13"/>
      <c r="AT114" s="13"/>
    </row>
    <row r="115" spans="2:46">
      <c r="B115" s="13"/>
      <c r="C115" s="157" t="s">
        <v>217</v>
      </c>
      <c r="D115" s="65"/>
      <c r="E115" s="161">
        <v>0</v>
      </c>
      <c r="F115" s="153"/>
      <c r="G115" s="69"/>
      <c r="H115" s="161">
        <v>10626</v>
      </c>
      <c r="I115" s="153"/>
      <c r="J115" s="65" t="s">
        <v>127</v>
      </c>
      <c r="K115" s="161">
        <v>16458</v>
      </c>
      <c r="L115" s="153"/>
      <c r="M115" s="65" t="s">
        <v>128</v>
      </c>
      <c r="N115" s="161">
        <v>19168</v>
      </c>
      <c r="O115" s="153"/>
      <c r="P115" s="65" t="s">
        <v>129</v>
      </c>
      <c r="Q115" s="161">
        <v>22354.112553666298</v>
      </c>
      <c r="R115" s="153"/>
      <c r="S115" s="65"/>
      <c r="T115" s="161">
        <v>19700.830833515938</v>
      </c>
      <c r="U115" s="153"/>
      <c r="V115" s="65"/>
      <c r="W115" s="161">
        <v>7050.7048990252815</v>
      </c>
      <c r="X115" s="153"/>
      <c r="Y115" s="65"/>
      <c r="Z115" s="161">
        <v>1840.4696256115521</v>
      </c>
      <c r="AA115" s="153"/>
      <c r="AB115" s="65"/>
      <c r="AC115" s="161">
        <v>1571.4790680192204</v>
      </c>
      <c r="AD115" s="153"/>
      <c r="AE115" s="65"/>
      <c r="AF115" s="161">
        <v>3151.1676502740311</v>
      </c>
      <c r="AG115" s="153"/>
      <c r="AH115" s="65"/>
      <c r="AI115" s="161">
        <v>4347.1244016152741</v>
      </c>
      <c r="AJ115" s="153"/>
      <c r="AK115" s="162"/>
      <c r="AL115" s="163"/>
      <c r="AM115" s="156"/>
      <c r="AN115" s="13"/>
      <c r="AO115" s="13"/>
      <c r="AP115" s="13"/>
      <c r="AQ115" s="13"/>
      <c r="AR115" s="13"/>
      <c r="AS115" s="13"/>
      <c r="AT115" s="13"/>
    </row>
    <row r="116" spans="2:46">
      <c r="B116" s="13"/>
      <c r="C116" s="157" t="s">
        <v>218</v>
      </c>
      <c r="D116" s="65"/>
      <c r="E116" s="161"/>
      <c r="F116" s="153"/>
      <c r="G116" s="69"/>
      <c r="H116" s="161"/>
      <c r="I116" s="153"/>
      <c r="J116" s="65" t="s">
        <v>127</v>
      </c>
      <c r="K116" s="161"/>
      <c r="L116" s="153"/>
      <c r="M116" s="65" t="s">
        <v>128</v>
      </c>
      <c r="N116" s="161"/>
      <c r="O116" s="153"/>
      <c r="P116" s="65" t="s">
        <v>129</v>
      </c>
      <c r="Q116" s="161"/>
      <c r="R116" s="153"/>
      <c r="S116" s="65"/>
      <c r="T116" s="161"/>
      <c r="U116" s="153"/>
      <c r="V116" s="65"/>
      <c r="W116" s="161"/>
      <c r="X116" s="153"/>
      <c r="Y116" s="65"/>
      <c r="Z116" s="161"/>
      <c r="AA116" s="153"/>
      <c r="AB116" s="65"/>
      <c r="AC116" s="161"/>
      <c r="AD116" s="153"/>
      <c r="AE116" s="65"/>
      <c r="AF116" s="161"/>
      <c r="AG116" s="153"/>
      <c r="AH116" s="65"/>
      <c r="AI116" s="161"/>
      <c r="AJ116" s="153"/>
      <c r="AK116" s="162"/>
      <c r="AL116" s="163"/>
      <c r="AM116" s="156"/>
      <c r="AN116" s="13"/>
      <c r="AO116" s="13"/>
      <c r="AP116" s="13"/>
      <c r="AQ116" s="13"/>
      <c r="AR116" s="13"/>
      <c r="AS116" s="13"/>
      <c r="AT116" s="13"/>
    </row>
    <row r="117" spans="2:46">
      <c r="B117" s="13"/>
      <c r="C117" s="157" t="s">
        <v>219</v>
      </c>
      <c r="D117" s="65" t="s">
        <v>62</v>
      </c>
      <c r="E117" s="158">
        <v>1290518.29</v>
      </c>
      <c r="F117" s="153">
        <v>1290.51829</v>
      </c>
      <c r="G117" s="69"/>
      <c r="H117" s="158">
        <v>1246634</v>
      </c>
      <c r="I117" s="153">
        <v>1246.634</v>
      </c>
      <c r="J117" s="151"/>
      <c r="K117" s="158">
        <v>1501238</v>
      </c>
      <c r="L117" s="153">
        <v>1501.2380000000001</v>
      </c>
      <c r="M117" s="151"/>
      <c r="N117" s="158">
        <v>1706193</v>
      </c>
      <c r="O117" s="153">
        <v>1706.193</v>
      </c>
      <c r="P117" s="151"/>
      <c r="Q117" s="158">
        <v>1565535.2792101367</v>
      </c>
      <c r="R117" s="153">
        <v>1565.5352792101367</v>
      </c>
      <c r="S117" s="151" t="s">
        <v>160</v>
      </c>
      <c r="T117" s="158">
        <v>1379953.5910790721</v>
      </c>
      <c r="U117" s="153">
        <v>1379.9535910790721</v>
      </c>
      <c r="V117" s="151" t="s">
        <v>161</v>
      </c>
      <c r="W117" s="158">
        <v>1534537.14876418</v>
      </c>
      <c r="X117" s="153">
        <v>1534.5371487641801</v>
      </c>
      <c r="Y117" s="151" t="s">
        <v>162</v>
      </c>
      <c r="Z117" s="158">
        <v>1350092.7077205775</v>
      </c>
      <c r="AA117" s="153">
        <v>1350.0927077205774</v>
      </c>
      <c r="AB117" s="151" t="s">
        <v>163</v>
      </c>
      <c r="AC117" s="158">
        <v>1336501.83729319</v>
      </c>
      <c r="AD117" s="153">
        <v>1336.50183729319</v>
      </c>
      <c r="AE117" s="151" t="s">
        <v>164</v>
      </c>
      <c r="AF117" s="158">
        <v>1504213.618028248</v>
      </c>
      <c r="AG117" s="153">
        <v>1504.213618028248</v>
      </c>
      <c r="AH117" s="151" t="s">
        <v>165</v>
      </c>
      <c r="AI117" s="158">
        <v>1561271.303037768</v>
      </c>
      <c r="AJ117" s="153">
        <v>1561.2713030377679</v>
      </c>
      <c r="AK117" s="154"/>
      <c r="AL117" s="160"/>
      <c r="AM117" s="156"/>
      <c r="AN117" s="13"/>
      <c r="AO117" s="13"/>
      <c r="AP117" s="13"/>
      <c r="AQ117" s="13"/>
      <c r="AR117" s="13"/>
      <c r="AS117" s="13"/>
      <c r="AT117" s="13"/>
    </row>
    <row r="118" spans="2:46">
      <c r="B118" s="13"/>
      <c r="C118" s="64" t="s">
        <v>220</v>
      </c>
      <c r="D118" s="65"/>
      <c r="E118" s="161"/>
      <c r="F118" s="153"/>
      <c r="G118" s="79"/>
      <c r="H118" s="107">
        <v>0</v>
      </c>
      <c r="I118" s="153"/>
      <c r="J118" s="65"/>
      <c r="K118" s="161">
        <v>0</v>
      </c>
      <c r="L118" s="153"/>
      <c r="M118" s="65"/>
      <c r="N118" s="161">
        <v>0</v>
      </c>
      <c r="O118" s="153"/>
      <c r="P118" s="65"/>
      <c r="Q118" s="161">
        <v>0</v>
      </c>
      <c r="R118" s="153"/>
      <c r="S118" s="65"/>
      <c r="T118" s="161"/>
      <c r="U118" s="153"/>
      <c r="V118" s="65"/>
      <c r="W118" s="161"/>
      <c r="X118" s="153"/>
      <c r="Y118" s="65"/>
      <c r="Z118" s="161"/>
      <c r="AA118" s="153"/>
      <c r="AB118" s="65"/>
      <c r="AC118" s="161"/>
      <c r="AD118" s="153"/>
      <c r="AE118" s="65"/>
      <c r="AF118" s="161"/>
      <c r="AG118" s="153"/>
      <c r="AH118" s="65"/>
      <c r="AI118" s="161"/>
      <c r="AJ118" s="153"/>
      <c r="AK118" s="162"/>
      <c r="AL118" s="163"/>
      <c r="AM118" s="156"/>
      <c r="AN118" s="13"/>
      <c r="AO118" s="13"/>
      <c r="AP118" s="13"/>
      <c r="AQ118" s="13"/>
      <c r="AR118" s="13"/>
      <c r="AS118" s="13"/>
      <c r="AT118" s="13"/>
    </row>
    <row r="119" spans="2:46">
      <c r="B119" s="13"/>
      <c r="C119" s="129" t="s">
        <v>221</v>
      </c>
      <c r="D119" s="151"/>
      <c r="E119" s="161"/>
      <c r="F119" s="153"/>
      <c r="G119" s="164"/>
      <c r="H119" s="107">
        <v>0</v>
      </c>
      <c r="I119" s="153"/>
      <c r="J119" s="151"/>
      <c r="K119" s="161">
        <v>0</v>
      </c>
      <c r="L119" s="153"/>
      <c r="M119" s="151"/>
      <c r="N119" s="161">
        <v>0</v>
      </c>
      <c r="O119" s="153"/>
      <c r="P119" s="151"/>
      <c r="Q119" s="161">
        <v>0</v>
      </c>
      <c r="R119" s="153"/>
      <c r="S119" s="151"/>
      <c r="T119" s="161"/>
      <c r="U119" s="153"/>
      <c r="V119" s="151"/>
      <c r="W119" s="161"/>
      <c r="X119" s="153"/>
      <c r="Y119" s="151"/>
      <c r="Z119" s="161"/>
      <c r="AA119" s="153"/>
      <c r="AB119" s="151"/>
      <c r="AC119" s="161"/>
      <c r="AD119" s="153"/>
      <c r="AE119" s="151"/>
      <c r="AF119" s="161"/>
      <c r="AG119" s="153"/>
      <c r="AH119" s="151"/>
      <c r="AI119" s="161"/>
      <c r="AJ119" s="153"/>
      <c r="AK119" s="154"/>
      <c r="AL119" s="163"/>
      <c r="AM119" s="156"/>
      <c r="AN119" s="13"/>
      <c r="AO119" s="13"/>
      <c r="AP119" s="13"/>
      <c r="AQ119" s="13"/>
      <c r="AR119" s="13"/>
      <c r="AS119" s="13"/>
      <c r="AT119" s="13"/>
    </row>
    <row r="120" spans="2:46">
      <c r="B120" s="13"/>
      <c r="C120" s="129" t="s">
        <v>222</v>
      </c>
      <c r="D120" s="65" t="s">
        <v>62</v>
      </c>
      <c r="E120" s="152">
        <v>3960043.61</v>
      </c>
      <c r="F120" s="153">
        <v>3960.0436099999997</v>
      </c>
      <c r="G120" s="69"/>
      <c r="H120" s="161"/>
      <c r="I120" s="153">
        <v>0</v>
      </c>
      <c r="J120" s="65" t="s">
        <v>223</v>
      </c>
      <c r="K120" s="152">
        <v>6995613</v>
      </c>
      <c r="L120" s="153">
        <v>6995.6130000000003</v>
      </c>
      <c r="M120" s="65" t="s">
        <v>224</v>
      </c>
      <c r="N120" s="161">
        <v>8347182</v>
      </c>
      <c r="O120" s="153">
        <v>8347.1820000000007</v>
      </c>
      <c r="P120" s="65" t="s">
        <v>225</v>
      </c>
      <c r="Q120" s="161">
        <v>7378921.7062084796</v>
      </c>
      <c r="R120" s="153">
        <v>7378.9217062084799</v>
      </c>
      <c r="S120" s="65" t="s">
        <v>160</v>
      </c>
      <c r="T120" s="107">
        <v>8251306</v>
      </c>
      <c r="U120" s="165">
        <v>8251.3060000000005</v>
      </c>
      <c r="V120" s="36" t="s">
        <v>161</v>
      </c>
      <c r="W120" s="107">
        <v>8661609.2698886879</v>
      </c>
      <c r="X120" s="165">
        <v>8661.6092698886878</v>
      </c>
      <c r="Y120" s="36" t="s">
        <v>162</v>
      </c>
      <c r="Z120" s="107">
        <v>7840634.5575351408</v>
      </c>
      <c r="AA120" s="165">
        <v>7840.6345575351406</v>
      </c>
      <c r="AB120" s="36" t="s">
        <v>163</v>
      </c>
      <c r="AC120" s="107">
        <v>11390244.840796789</v>
      </c>
      <c r="AD120" s="153">
        <v>11390.24484079679</v>
      </c>
      <c r="AE120" s="151" t="s">
        <v>164</v>
      </c>
      <c r="AF120" s="107">
        <v>11671699.775208281</v>
      </c>
      <c r="AG120" s="153">
        <v>11671.699775208281</v>
      </c>
      <c r="AH120" s="151" t="s">
        <v>165</v>
      </c>
      <c r="AI120" s="107">
        <v>8113293.4027375858</v>
      </c>
      <c r="AJ120" s="153">
        <v>8113.2934027375859</v>
      </c>
      <c r="AK120" s="154"/>
      <c r="AL120" s="163"/>
      <c r="AM120" s="156"/>
      <c r="AN120" s="13"/>
      <c r="AO120" s="13"/>
      <c r="AP120" s="13"/>
      <c r="AQ120" s="13"/>
      <c r="AR120" s="13"/>
      <c r="AS120" s="13"/>
      <c r="AT120" s="13"/>
    </row>
    <row r="121" spans="2:46">
      <c r="B121" s="13"/>
      <c r="C121" s="129" t="s">
        <v>226</v>
      </c>
      <c r="D121" s="151"/>
      <c r="E121" s="161"/>
      <c r="F121" s="153"/>
      <c r="G121" s="151"/>
      <c r="H121" s="161"/>
      <c r="I121" s="153"/>
      <c r="J121" s="151"/>
      <c r="K121" s="161"/>
      <c r="L121" s="153"/>
      <c r="M121" s="151"/>
      <c r="N121" s="161">
        <v>0</v>
      </c>
      <c r="O121" s="153"/>
      <c r="P121" s="151"/>
      <c r="Q121" s="161">
        <v>0</v>
      </c>
      <c r="R121" s="153"/>
      <c r="S121" s="151"/>
      <c r="T121" s="161"/>
      <c r="U121" s="153"/>
      <c r="V121" s="151"/>
      <c r="W121" s="161"/>
      <c r="X121" s="153"/>
      <c r="Y121" s="151"/>
      <c r="Z121" s="161"/>
      <c r="AA121" s="153"/>
      <c r="AB121" s="151"/>
      <c r="AC121" s="161"/>
      <c r="AD121" s="153"/>
      <c r="AE121" s="151"/>
      <c r="AF121" s="161"/>
      <c r="AG121" s="153"/>
      <c r="AH121" s="151"/>
      <c r="AI121" s="161"/>
      <c r="AJ121" s="153"/>
      <c r="AK121" s="154"/>
      <c r="AL121" s="163"/>
      <c r="AM121" s="156"/>
      <c r="AN121" s="13"/>
      <c r="AO121" s="13"/>
      <c r="AP121" s="13"/>
      <c r="AQ121" s="13"/>
      <c r="AR121" s="13"/>
      <c r="AS121" s="13"/>
      <c r="AT121" s="13"/>
    </row>
    <row r="122" spans="2:46">
      <c r="B122" s="13"/>
      <c r="C122" s="64" t="s">
        <v>227</v>
      </c>
      <c r="D122" s="166"/>
      <c r="E122" s="152"/>
      <c r="F122" s="153"/>
      <c r="G122" s="166"/>
      <c r="H122" s="152"/>
      <c r="I122" s="153"/>
      <c r="J122" s="166"/>
      <c r="K122" s="152"/>
      <c r="L122" s="153"/>
      <c r="M122" s="166"/>
      <c r="N122" s="161"/>
      <c r="O122" s="153"/>
      <c r="P122" s="166"/>
      <c r="Q122" s="152">
        <v>0</v>
      </c>
      <c r="R122" s="153"/>
      <c r="S122" s="166"/>
      <c r="T122" s="152"/>
      <c r="U122" s="153"/>
      <c r="V122" s="166"/>
      <c r="W122" s="152"/>
      <c r="X122" s="153"/>
      <c r="Y122" s="166"/>
      <c r="Z122" s="152"/>
      <c r="AA122" s="153"/>
      <c r="AB122" s="166"/>
      <c r="AC122" s="152"/>
      <c r="AD122" s="153"/>
      <c r="AE122" s="166"/>
      <c r="AF122" s="152"/>
      <c r="AG122" s="153"/>
      <c r="AH122" s="166"/>
      <c r="AI122" s="152"/>
      <c r="AJ122" s="153"/>
      <c r="AK122" s="167"/>
      <c r="AL122" s="155"/>
      <c r="AM122" s="156"/>
      <c r="AN122" s="13"/>
      <c r="AO122" s="13"/>
      <c r="AP122" s="13"/>
      <c r="AQ122" s="13"/>
      <c r="AR122" s="13"/>
      <c r="AS122" s="13"/>
      <c r="AT122" s="13"/>
    </row>
    <row r="123" spans="2:46">
      <c r="B123" s="13"/>
      <c r="C123" s="168"/>
      <c r="D123" s="167"/>
      <c r="E123" s="155"/>
      <c r="F123" s="156"/>
      <c r="G123" s="167"/>
      <c r="H123" s="155"/>
      <c r="I123" s="156"/>
      <c r="J123" s="167"/>
      <c r="K123" s="155"/>
      <c r="L123" s="156"/>
      <c r="M123" s="167"/>
      <c r="N123" s="163"/>
      <c r="O123" s="156"/>
      <c r="P123" s="167"/>
      <c r="Q123" s="155"/>
      <c r="R123" s="156"/>
      <c r="S123" s="167"/>
      <c r="T123" s="155"/>
      <c r="U123" s="156"/>
      <c r="V123" s="167"/>
      <c r="W123" s="155"/>
      <c r="X123" s="155"/>
      <c r="Y123" s="13"/>
      <c r="Z123" s="13"/>
      <c r="AA123" s="13"/>
      <c r="AB123" s="13"/>
      <c r="AC123" s="13"/>
      <c r="AD123" s="13"/>
      <c r="AE123" s="14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spans="2:46">
      <c r="B124" s="13"/>
      <c r="Z124" s="13"/>
      <c r="AA124" s="13"/>
      <c r="AB124" s="13"/>
      <c r="AC124" s="13"/>
      <c r="AD124" s="13"/>
      <c r="AE124" s="14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spans="2:46" ht="18.5">
      <c r="C125" s="63" t="s">
        <v>4</v>
      </c>
      <c r="D125" s="169" t="s">
        <v>228</v>
      </c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1"/>
      <c r="Q125" s="25"/>
      <c r="R125" s="25"/>
      <c r="S125" s="25"/>
      <c r="T125" s="25"/>
      <c r="U125" s="25"/>
      <c r="V125" s="25"/>
      <c r="W125" s="25"/>
      <c r="AE125" s="1"/>
    </row>
    <row r="126" spans="2:46">
      <c r="C126" s="93" t="s">
        <v>155</v>
      </c>
      <c r="D126" s="93">
        <v>1994</v>
      </c>
      <c r="E126" s="93"/>
      <c r="F126" s="93">
        <v>2000</v>
      </c>
      <c r="G126" s="93"/>
      <c r="H126" s="93">
        <v>2006</v>
      </c>
      <c r="I126" s="93"/>
      <c r="J126" s="93">
        <v>2010</v>
      </c>
      <c r="K126" s="93"/>
      <c r="L126" s="93">
        <v>2012</v>
      </c>
      <c r="M126" s="93"/>
      <c r="N126" s="93">
        <v>2014</v>
      </c>
      <c r="O126" s="93"/>
      <c r="P126" s="93">
        <v>2016</v>
      </c>
      <c r="Q126" s="93"/>
      <c r="R126" s="93">
        <v>2018</v>
      </c>
      <c r="S126" s="93"/>
      <c r="T126" s="93">
        <v>2020</v>
      </c>
      <c r="U126" s="93"/>
      <c r="V126" s="93">
        <v>2021</v>
      </c>
      <c r="W126" s="93"/>
      <c r="X126" s="93">
        <v>2022</v>
      </c>
      <c r="Y126" s="93"/>
      <c r="AE126" s="1"/>
    </row>
    <row r="127" spans="2:46" ht="15" thickBot="1">
      <c r="C127" s="93"/>
      <c r="D127" s="30" t="s">
        <v>7</v>
      </c>
      <c r="E127" s="30" t="s">
        <v>229</v>
      </c>
      <c r="F127" s="30" t="s">
        <v>7</v>
      </c>
      <c r="G127" s="30" t="s">
        <v>229</v>
      </c>
      <c r="H127" s="30" t="s">
        <v>7</v>
      </c>
      <c r="I127" s="30" t="s">
        <v>229</v>
      </c>
      <c r="J127" s="30" t="s">
        <v>7</v>
      </c>
      <c r="K127" s="30" t="s">
        <v>229</v>
      </c>
      <c r="L127" s="30" t="s">
        <v>7</v>
      </c>
      <c r="M127" s="30" t="s">
        <v>229</v>
      </c>
      <c r="N127" s="30" t="s">
        <v>7</v>
      </c>
      <c r="O127" s="30" t="s">
        <v>229</v>
      </c>
      <c r="P127" s="30" t="s">
        <v>7</v>
      </c>
      <c r="Q127" s="30" t="s">
        <v>229</v>
      </c>
      <c r="R127" s="30" t="s">
        <v>7</v>
      </c>
      <c r="S127" s="30" t="s">
        <v>229</v>
      </c>
      <c r="T127" s="30" t="s">
        <v>7</v>
      </c>
      <c r="U127" s="30" t="s">
        <v>229</v>
      </c>
      <c r="V127" s="30" t="s">
        <v>7</v>
      </c>
      <c r="W127" s="30" t="s">
        <v>229</v>
      </c>
      <c r="X127" s="30" t="s">
        <v>7</v>
      </c>
      <c r="Y127" s="30" t="s">
        <v>229</v>
      </c>
      <c r="AE127" s="1"/>
    </row>
    <row r="128" spans="2:46" ht="15.5" thickTop="1" thickBot="1">
      <c r="C128" s="172" t="s">
        <v>209</v>
      </c>
      <c r="D128" s="34" t="s">
        <v>230</v>
      </c>
      <c r="E128" s="35">
        <v>19539.812610303696</v>
      </c>
      <c r="F128" s="34" t="s">
        <v>231</v>
      </c>
      <c r="G128" s="35">
        <v>14258.73042466335</v>
      </c>
      <c r="H128" s="34" t="s">
        <v>232</v>
      </c>
      <c r="I128" s="35">
        <v>9747</v>
      </c>
      <c r="J128" s="36" t="s">
        <v>233</v>
      </c>
      <c r="K128" s="37">
        <v>8533</v>
      </c>
      <c r="L128" s="36" t="s">
        <v>234</v>
      </c>
      <c r="M128" s="37">
        <v>9590.5072978239277</v>
      </c>
      <c r="N128" s="110" t="s">
        <v>160</v>
      </c>
      <c r="O128" s="38">
        <v>6166.6427755981613</v>
      </c>
      <c r="P128" s="110" t="s">
        <v>161</v>
      </c>
      <c r="Q128" s="38">
        <v>4618.6799316729894</v>
      </c>
      <c r="R128" s="110" t="s">
        <v>162</v>
      </c>
      <c r="S128" s="38">
        <v>3335.5846240137944</v>
      </c>
      <c r="T128" s="110" t="s">
        <v>163</v>
      </c>
      <c r="U128" s="38">
        <v>6880.3692589903058</v>
      </c>
      <c r="V128" s="110" t="s">
        <v>164</v>
      </c>
      <c r="W128" s="38">
        <v>6201.7978961125164</v>
      </c>
      <c r="X128" s="110" t="s">
        <v>165</v>
      </c>
      <c r="Y128" s="38">
        <v>4510.3429403837754</v>
      </c>
      <c r="AE128" s="1"/>
    </row>
    <row r="129" spans="2:33" ht="15.5" thickTop="1" thickBot="1">
      <c r="C129" s="172" t="s">
        <v>210</v>
      </c>
      <c r="D129" s="34" t="s">
        <v>230</v>
      </c>
      <c r="E129" s="35">
        <v>394292.26407307386</v>
      </c>
      <c r="F129" s="34" t="s">
        <v>231</v>
      </c>
      <c r="G129" s="35">
        <v>394372.86664735159</v>
      </c>
      <c r="H129" s="34" t="s">
        <v>232</v>
      </c>
      <c r="I129" s="35">
        <v>438807</v>
      </c>
      <c r="J129" s="36" t="s">
        <v>233</v>
      </c>
      <c r="K129" s="37">
        <v>440346</v>
      </c>
      <c r="L129" s="36" t="s">
        <v>234</v>
      </c>
      <c r="M129" s="37">
        <v>532002.95078599919</v>
      </c>
      <c r="N129" s="36" t="s">
        <v>160</v>
      </c>
      <c r="O129" s="38">
        <v>513356.03528638819</v>
      </c>
      <c r="P129" s="36" t="s">
        <v>161</v>
      </c>
      <c r="Q129" s="38">
        <v>425736.71265897393</v>
      </c>
      <c r="R129" s="36" t="s">
        <v>162</v>
      </c>
      <c r="S129" s="38">
        <v>461546.98060501728</v>
      </c>
      <c r="T129" s="36" t="s">
        <v>163</v>
      </c>
      <c r="U129" s="38">
        <v>444681.13122688094</v>
      </c>
      <c r="V129" s="36" t="s">
        <v>164</v>
      </c>
      <c r="W129" s="38">
        <v>453717.57926273666</v>
      </c>
      <c r="X129" s="36" t="s">
        <v>165</v>
      </c>
      <c r="Y129" s="38">
        <v>433216.27766822086</v>
      </c>
      <c r="AE129" s="1"/>
    </row>
    <row r="130" spans="2:33" ht="15.5" thickTop="1" thickBot="1">
      <c r="C130" s="172" t="s">
        <v>219</v>
      </c>
      <c r="D130" s="34" t="s">
        <v>230</v>
      </c>
      <c r="E130" s="35">
        <v>336355.80714679806</v>
      </c>
      <c r="F130" s="34" t="s">
        <v>231</v>
      </c>
      <c r="G130" s="35">
        <v>328970.97579231358</v>
      </c>
      <c r="H130" s="34" t="s">
        <v>232</v>
      </c>
      <c r="I130" s="35">
        <v>357558</v>
      </c>
      <c r="J130" s="36" t="s">
        <v>233</v>
      </c>
      <c r="K130" s="37">
        <v>393137</v>
      </c>
      <c r="L130" s="36" t="s">
        <v>234</v>
      </c>
      <c r="M130" s="37">
        <v>411458.6373792708</v>
      </c>
      <c r="N130" s="110" t="s">
        <v>160</v>
      </c>
      <c r="O130" s="38">
        <v>375819.90640568204</v>
      </c>
      <c r="P130" s="110" t="s">
        <v>161</v>
      </c>
      <c r="Q130" s="38">
        <v>385039.49453025428</v>
      </c>
      <c r="R130" s="110" t="s">
        <v>162</v>
      </c>
      <c r="S130" s="38">
        <v>301852.99847142101</v>
      </c>
      <c r="T130" s="110" t="s">
        <v>163</v>
      </c>
      <c r="U130" s="38">
        <v>315023.03738631884</v>
      </c>
      <c r="V130" s="110" t="s">
        <v>164</v>
      </c>
      <c r="W130" s="38">
        <v>342967.0842437534</v>
      </c>
      <c r="X130" s="110" t="s">
        <v>165</v>
      </c>
      <c r="Y130" s="38">
        <v>343061.40916261711</v>
      </c>
      <c r="AE130" s="1"/>
    </row>
    <row r="131" spans="2:33" ht="15.5" thickTop="1" thickBot="1">
      <c r="C131" s="172" t="s">
        <v>235</v>
      </c>
      <c r="D131" s="34" t="s">
        <v>230</v>
      </c>
      <c r="E131" s="35">
        <v>50163.301078376768</v>
      </c>
      <c r="F131" s="34" t="s">
        <v>231</v>
      </c>
      <c r="G131" s="35">
        <v>43301.894081075079</v>
      </c>
      <c r="H131" s="34" t="s">
        <v>232</v>
      </c>
      <c r="I131" s="35">
        <v>37379</v>
      </c>
      <c r="J131" s="36" t="s">
        <v>233</v>
      </c>
      <c r="K131" s="37">
        <v>26374</v>
      </c>
      <c r="L131" s="36" t="s">
        <v>234</v>
      </c>
      <c r="M131" s="37">
        <v>20824.367949442192</v>
      </c>
      <c r="N131" s="36" t="s">
        <v>160</v>
      </c>
      <c r="O131" s="38">
        <v>16346.285231764312</v>
      </c>
      <c r="P131" s="36" t="s">
        <v>161</v>
      </c>
      <c r="Q131" s="38">
        <v>18987.735606563092</v>
      </c>
      <c r="R131" s="36" t="s">
        <v>162</v>
      </c>
      <c r="S131" s="38">
        <v>10124.285951074651</v>
      </c>
      <c r="T131" s="36" t="s">
        <v>163</v>
      </c>
      <c r="U131" s="38">
        <v>11633.793181206403</v>
      </c>
      <c r="V131" s="36" t="s">
        <v>164</v>
      </c>
      <c r="W131" s="38">
        <v>10527.177668291644</v>
      </c>
      <c r="X131" s="36" t="s">
        <v>165</v>
      </c>
      <c r="Y131" s="38">
        <v>8443.2796816703794</v>
      </c>
      <c r="AE131" s="1"/>
    </row>
    <row r="132" spans="2:33" ht="15.5" thickTop="1" thickBot="1">
      <c r="C132" s="172" t="s">
        <v>236</v>
      </c>
      <c r="D132" s="34" t="s">
        <v>230</v>
      </c>
      <c r="E132" s="35">
        <v>21826.505525480075</v>
      </c>
      <c r="F132" s="34" t="s">
        <v>231</v>
      </c>
      <c r="G132" s="35">
        <v>22777.625505661654</v>
      </c>
      <c r="H132" s="34" t="s">
        <v>232</v>
      </c>
      <c r="I132" s="35">
        <v>20245</v>
      </c>
      <c r="J132" s="36" t="s">
        <v>233</v>
      </c>
      <c r="K132" s="37">
        <v>16813</v>
      </c>
      <c r="L132" s="36" t="s">
        <v>234</v>
      </c>
      <c r="M132" s="37">
        <v>16930.596620258686</v>
      </c>
      <c r="N132" s="110" t="s">
        <v>160</v>
      </c>
      <c r="O132" s="38">
        <v>19290.083221496308</v>
      </c>
      <c r="P132" s="110" t="s">
        <v>161</v>
      </c>
      <c r="Q132" s="38">
        <v>18520.116796440467</v>
      </c>
      <c r="R132" s="110" t="s">
        <v>162</v>
      </c>
      <c r="S132" s="38">
        <v>14261.933188276513</v>
      </c>
      <c r="T132" s="110" t="s">
        <v>163</v>
      </c>
      <c r="U132" s="38">
        <v>15410.466982303009</v>
      </c>
      <c r="V132" s="110" t="s">
        <v>164</v>
      </c>
      <c r="W132" s="38">
        <v>18630.860138269738</v>
      </c>
      <c r="X132" s="110" t="s">
        <v>165</v>
      </c>
      <c r="Y132" s="38">
        <v>18022.39436985166</v>
      </c>
      <c r="AE132" s="1"/>
    </row>
    <row r="133" spans="2:33" ht="15.5" thickTop="1" thickBot="1">
      <c r="C133" s="172" t="s">
        <v>237</v>
      </c>
      <c r="D133" s="34" t="s">
        <v>230</v>
      </c>
      <c r="E133" s="35">
        <v>91351.635482757047</v>
      </c>
      <c r="F133" s="34" t="s">
        <v>231</v>
      </c>
      <c r="G133" s="35">
        <v>91293.799432956133</v>
      </c>
      <c r="H133" s="34" t="s">
        <v>232</v>
      </c>
      <c r="I133" s="35">
        <v>91236</v>
      </c>
      <c r="J133" s="36" t="s">
        <v>233</v>
      </c>
      <c r="K133" s="37">
        <v>106928</v>
      </c>
      <c r="L133" s="36" t="s">
        <v>234</v>
      </c>
      <c r="M133" s="37">
        <v>106926</v>
      </c>
      <c r="N133" s="36" t="s">
        <v>160</v>
      </c>
      <c r="O133" s="38">
        <v>113292.64707066678</v>
      </c>
      <c r="P133" s="36" t="s">
        <v>161</v>
      </c>
      <c r="Q133" s="38">
        <v>125586.7731640117</v>
      </c>
      <c r="R133" s="36" t="s">
        <v>162</v>
      </c>
      <c r="S133" s="38">
        <v>132771.42796349645</v>
      </c>
      <c r="T133" s="36" t="s">
        <v>163</v>
      </c>
      <c r="U133" s="38">
        <v>142009.54980639604</v>
      </c>
      <c r="V133" s="36" t="s">
        <v>164</v>
      </c>
      <c r="W133" s="38">
        <v>130676.90585999908</v>
      </c>
      <c r="X133" s="36" t="s">
        <v>165</v>
      </c>
      <c r="Y133" s="38">
        <v>141030.74797643116</v>
      </c>
      <c r="AE133" s="1"/>
    </row>
    <row r="134" spans="2:33" ht="15.5" thickTop="1" thickBot="1">
      <c r="C134" s="172" t="s">
        <v>238</v>
      </c>
      <c r="D134" s="34" t="s">
        <v>230</v>
      </c>
      <c r="E134" s="35">
        <v>13016.114147347333</v>
      </c>
      <c r="F134" s="34" t="s">
        <v>231</v>
      </c>
      <c r="G134" s="35">
        <v>8757.3883023579347</v>
      </c>
      <c r="H134" s="34" t="s">
        <v>232</v>
      </c>
      <c r="I134" s="35">
        <v>10909</v>
      </c>
      <c r="J134" s="36" t="s">
        <v>233</v>
      </c>
      <c r="K134" s="37">
        <v>8724</v>
      </c>
      <c r="L134" s="36" t="s">
        <v>234</v>
      </c>
      <c r="M134" s="37">
        <v>6894.5359102947314</v>
      </c>
      <c r="N134" s="110" t="s">
        <v>160</v>
      </c>
      <c r="O134" s="38">
        <v>10360.525526432917</v>
      </c>
      <c r="P134" s="110" t="s">
        <v>161</v>
      </c>
      <c r="Q134" s="38">
        <v>9223.2097445812688</v>
      </c>
      <c r="R134" s="110" t="s">
        <v>162</v>
      </c>
      <c r="S134" s="38">
        <v>7088.3814460411922</v>
      </c>
      <c r="T134" s="110" t="s">
        <v>163</v>
      </c>
      <c r="U134" s="38">
        <v>7326.397076089057</v>
      </c>
      <c r="V134" s="110" t="s">
        <v>164</v>
      </c>
      <c r="W134" s="38">
        <v>7891.0260172971202</v>
      </c>
      <c r="X134" s="110" t="s">
        <v>165</v>
      </c>
      <c r="Y134" s="38">
        <v>4814.5371418934983</v>
      </c>
      <c r="AE134" s="1"/>
    </row>
    <row r="135" spans="2:33" ht="15.5" thickTop="1" thickBot="1">
      <c r="C135" s="172" t="s">
        <v>239</v>
      </c>
      <c r="D135" s="34" t="s">
        <v>230</v>
      </c>
      <c r="E135" s="35">
        <v>99132.079086397222</v>
      </c>
      <c r="F135" s="34" t="s">
        <v>231</v>
      </c>
      <c r="G135" s="35">
        <v>64983.715620427305</v>
      </c>
      <c r="H135" s="34" t="s">
        <v>232</v>
      </c>
      <c r="I135" s="35">
        <v>75954</v>
      </c>
      <c r="J135" s="36" t="s">
        <v>233</v>
      </c>
      <c r="K135" s="37">
        <v>74550</v>
      </c>
      <c r="L135" s="36" t="s">
        <v>234</v>
      </c>
      <c r="M135" s="37">
        <v>71645.091152410663</v>
      </c>
      <c r="N135" s="36" t="s">
        <v>160</v>
      </c>
      <c r="O135" s="38">
        <v>49079.091193096654</v>
      </c>
      <c r="P135" s="36" t="s">
        <v>161</v>
      </c>
      <c r="Q135" s="38">
        <v>43217.239481102268</v>
      </c>
      <c r="R135" s="36" t="s">
        <v>162</v>
      </c>
      <c r="S135" s="38">
        <v>31095.522170580276</v>
      </c>
      <c r="T135" s="36" t="s">
        <v>163</v>
      </c>
      <c r="U135" s="38">
        <v>26684.313846431789</v>
      </c>
      <c r="V135" s="36" t="s">
        <v>164</v>
      </c>
      <c r="W135" s="38">
        <v>40864.310345189049</v>
      </c>
      <c r="X135" s="36" t="s">
        <v>165</v>
      </c>
      <c r="Y135" s="38">
        <v>36105.37820460699</v>
      </c>
      <c r="AE135" s="1"/>
    </row>
    <row r="136" spans="2:33" ht="15.5" thickTop="1" thickBot="1">
      <c r="C136" s="172" t="s">
        <v>240</v>
      </c>
      <c r="D136" s="34" t="s">
        <v>230</v>
      </c>
      <c r="E136" s="35">
        <v>34494.999568335479</v>
      </c>
      <c r="F136" s="34" t="s">
        <v>231</v>
      </c>
      <c r="G136" s="35">
        <v>29363.536270748707</v>
      </c>
      <c r="H136" s="34" t="s">
        <v>232</v>
      </c>
      <c r="I136" s="35">
        <v>25519</v>
      </c>
      <c r="J136" s="36" t="s">
        <v>233</v>
      </c>
      <c r="K136" s="37">
        <v>19936</v>
      </c>
      <c r="L136" s="36" t="s">
        <v>234</v>
      </c>
      <c r="M136" s="37">
        <v>35037.261473175837</v>
      </c>
      <c r="N136" s="110" t="s">
        <v>160</v>
      </c>
      <c r="O136" s="38">
        <v>20037.050648302669</v>
      </c>
      <c r="P136" s="110" t="s">
        <v>161</v>
      </c>
      <c r="Q136" s="38">
        <v>10173.014318588597</v>
      </c>
      <c r="R136" s="110" t="s">
        <v>162</v>
      </c>
      <c r="S136" s="38">
        <v>7453.7086174472588</v>
      </c>
      <c r="T136" s="110" t="s">
        <v>163</v>
      </c>
      <c r="U136" s="38">
        <v>7937.905965065218</v>
      </c>
      <c r="V136" s="110" t="s">
        <v>164</v>
      </c>
      <c r="W136" s="38">
        <v>10654.494265107794</v>
      </c>
      <c r="X136" s="110" t="s">
        <v>165</v>
      </c>
      <c r="Y136" s="38">
        <v>9946.7021844656738</v>
      </c>
      <c r="AE136" s="1"/>
    </row>
    <row r="137" spans="2:33" ht="15.5" thickTop="1" thickBot="1">
      <c r="C137" s="172" t="s">
        <v>241</v>
      </c>
      <c r="D137" s="34" t="s">
        <v>230</v>
      </c>
      <c r="E137" s="35">
        <v>69196.785891546402</v>
      </c>
      <c r="F137" s="34" t="s">
        <v>231</v>
      </c>
      <c r="G137" s="35">
        <v>45238.329824302666</v>
      </c>
      <c r="H137" s="34" t="s">
        <v>232</v>
      </c>
      <c r="I137" s="35">
        <v>51713</v>
      </c>
      <c r="J137" s="36" t="s">
        <v>233</v>
      </c>
      <c r="K137" s="37">
        <v>44245</v>
      </c>
      <c r="L137" s="36" t="s">
        <v>234</v>
      </c>
      <c r="M137" s="37">
        <v>35767.932418505043</v>
      </c>
      <c r="N137" s="36" t="s">
        <v>160</v>
      </c>
      <c r="O137" s="38">
        <v>34013.559388765134</v>
      </c>
      <c r="P137" s="36" t="s">
        <v>161</v>
      </c>
      <c r="Q137" s="38">
        <v>32741.96352711775</v>
      </c>
      <c r="R137" s="36" t="s">
        <v>162</v>
      </c>
      <c r="S137" s="38">
        <v>23974.450005879065</v>
      </c>
      <c r="T137" s="36" t="s">
        <v>163</v>
      </c>
      <c r="U137" s="38">
        <v>25923.854114429316</v>
      </c>
      <c r="V137" s="36" t="s">
        <v>164</v>
      </c>
      <c r="W137" s="38">
        <v>20950.407232307691</v>
      </c>
      <c r="X137" s="36" t="s">
        <v>165</v>
      </c>
      <c r="Y137" s="38">
        <v>19390.374781008315</v>
      </c>
      <c r="AE137" s="1"/>
    </row>
    <row r="138" spans="2:33" ht="15.5" thickTop="1" thickBot="1">
      <c r="B138" s="19"/>
      <c r="C138" s="173"/>
      <c r="D138" s="174"/>
      <c r="E138" s="175"/>
      <c r="F138" s="174"/>
      <c r="G138" s="176"/>
      <c r="H138" s="174"/>
      <c r="I138" s="176"/>
      <c r="J138" s="176"/>
      <c r="K138" s="175"/>
      <c r="L138" s="176"/>
      <c r="M138" s="175"/>
      <c r="N138" s="110"/>
      <c r="O138" s="177"/>
      <c r="AE138" s="1"/>
    </row>
    <row r="139" spans="2:33" ht="19" thickTop="1">
      <c r="C139" s="63" t="s">
        <v>4</v>
      </c>
      <c r="D139" s="169" t="s">
        <v>242</v>
      </c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1"/>
      <c r="Q139" s="25"/>
      <c r="R139" s="25"/>
      <c r="S139" s="25"/>
      <c r="T139" s="25"/>
      <c r="U139" s="25"/>
      <c r="V139" s="25"/>
      <c r="W139" s="25"/>
      <c r="AE139" s="1"/>
    </row>
    <row r="140" spans="2:33">
      <c r="C140" s="93" t="s">
        <v>155</v>
      </c>
      <c r="D140" s="93">
        <v>1994</v>
      </c>
      <c r="E140" s="93"/>
      <c r="F140" s="93">
        <v>2000</v>
      </c>
      <c r="G140" s="93"/>
      <c r="H140" s="93">
        <v>2006</v>
      </c>
      <c r="I140" s="93"/>
      <c r="J140" s="93">
        <v>2010</v>
      </c>
      <c r="K140" s="93"/>
      <c r="L140" s="93">
        <v>2012</v>
      </c>
      <c r="M140" s="93"/>
      <c r="N140" s="93">
        <v>2014</v>
      </c>
      <c r="O140" s="93"/>
      <c r="P140" s="93">
        <v>2016</v>
      </c>
      <c r="Q140" s="93"/>
      <c r="R140" s="93">
        <v>2018</v>
      </c>
      <c r="S140" s="93"/>
      <c r="T140" s="93">
        <v>2020</v>
      </c>
      <c r="U140" s="93"/>
      <c r="V140" s="93">
        <v>2021</v>
      </c>
      <c r="W140" s="93"/>
      <c r="X140" s="93">
        <v>2022</v>
      </c>
      <c r="Y140" s="93"/>
      <c r="Z140" s="178"/>
      <c r="AA140" s="178"/>
      <c r="AB140" s="178"/>
      <c r="AC140" s="178"/>
      <c r="AD140" s="178"/>
      <c r="AE140" s="1"/>
    </row>
    <row r="141" spans="2:33" ht="15" thickBot="1">
      <c r="C141" s="93"/>
      <c r="D141" s="30" t="s">
        <v>7</v>
      </c>
      <c r="E141" s="30" t="s">
        <v>243</v>
      </c>
      <c r="F141" s="30" t="s">
        <v>7</v>
      </c>
      <c r="G141" s="30" t="s">
        <v>243</v>
      </c>
      <c r="H141" s="30" t="s">
        <v>7</v>
      </c>
      <c r="I141" s="30" t="s">
        <v>243</v>
      </c>
      <c r="J141" s="30" t="s">
        <v>7</v>
      </c>
      <c r="K141" s="30" t="s">
        <v>243</v>
      </c>
      <c r="L141" s="30" t="s">
        <v>7</v>
      </c>
      <c r="M141" s="30" t="s">
        <v>243</v>
      </c>
      <c r="N141" s="30" t="s">
        <v>7</v>
      </c>
      <c r="O141" s="30" t="s">
        <v>243</v>
      </c>
      <c r="P141" s="30" t="s">
        <v>7</v>
      </c>
      <c r="Q141" s="30" t="s">
        <v>243</v>
      </c>
      <c r="R141" s="30" t="s">
        <v>7</v>
      </c>
      <c r="S141" s="30" t="s">
        <v>243</v>
      </c>
      <c r="T141" s="30" t="s">
        <v>7</v>
      </c>
      <c r="U141" s="30" t="s">
        <v>243</v>
      </c>
      <c r="V141" s="30" t="s">
        <v>7</v>
      </c>
      <c r="W141" s="30" t="s">
        <v>243</v>
      </c>
      <c r="X141" s="30" t="s">
        <v>7</v>
      </c>
      <c r="Y141" s="30" t="s">
        <v>243</v>
      </c>
      <c r="Z141" s="179"/>
      <c r="AA141" s="179"/>
      <c r="AB141" s="179"/>
      <c r="AC141" s="179"/>
      <c r="AD141" s="179"/>
      <c r="AE141" s="1"/>
    </row>
    <row r="142" spans="2:33" ht="15.5" thickTop="1" thickBot="1">
      <c r="C142" s="172" t="s">
        <v>209</v>
      </c>
      <c r="D142" s="34" t="s">
        <v>230</v>
      </c>
      <c r="E142" s="35">
        <v>19763</v>
      </c>
      <c r="F142" s="34" t="s">
        <v>231</v>
      </c>
      <c r="G142" s="35">
        <v>12958</v>
      </c>
      <c r="H142" s="34" t="s">
        <v>232</v>
      </c>
      <c r="I142" s="35">
        <v>7577</v>
      </c>
      <c r="J142" s="36" t="s">
        <v>233</v>
      </c>
      <c r="K142" s="37">
        <v>7605</v>
      </c>
      <c r="L142" s="36" t="s">
        <v>234</v>
      </c>
      <c r="M142" s="37">
        <v>7450.2201290729899</v>
      </c>
      <c r="N142" s="110" t="s">
        <v>244</v>
      </c>
      <c r="O142" s="38">
        <v>6814</v>
      </c>
      <c r="P142" s="110" t="s">
        <v>245</v>
      </c>
      <c r="Q142" s="38">
        <v>6745.7733024470172</v>
      </c>
      <c r="R142" s="110" t="s">
        <v>246</v>
      </c>
      <c r="S142" s="38">
        <v>5397.7720778404291</v>
      </c>
      <c r="T142" s="110" t="s">
        <v>163</v>
      </c>
      <c r="U142" s="38">
        <v>14646.734982666992</v>
      </c>
      <c r="V142" s="110" t="s">
        <v>164</v>
      </c>
      <c r="W142" s="38">
        <v>10898.383684924247</v>
      </c>
      <c r="X142" s="110" t="s">
        <v>165</v>
      </c>
      <c r="Y142" s="38">
        <v>7431.193201537626</v>
      </c>
      <c r="Z142" s="179"/>
      <c r="AA142" s="179"/>
      <c r="AB142" s="179"/>
      <c r="AC142" s="179"/>
      <c r="AD142" s="179"/>
      <c r="AE142" s="1"/>
    </row>
    <row r="143" spans="2:33" ht="15.5" thickTop="1" thickBot="1">
      <c r="C143" s="172" t="s">
        <v>210</v>
      </c>
      <c r="D143" s="34" t="s">
        <v>230</v>
      </c>
      <c r="E143" s="35">
        <v>612903.15</v>
      </c>
      <c r="F143" s="34" t="s">
        <v>231</v>
      </c>
      <c r="G143" s="35">
        <v>635975</v>
      </c>
      <c r="H143" s="34" t="s">
        <v>232</v>
      </c>
      <c r="I143" s="35">
        <v>835042</v>
      </c>
      <c r="J143" s="36" t="s">
        <v>233</v>
      </c>
      <c r="K143" s="37">
        <v>984096</v>
      </c>
      <c r="L143" s="36" t="s">
        <v>234</v>
      </c>
      <c r="M143" s="37">
        <v>1329532.0925827788</v>
      </c>
      <c r="N143" s="36" t="s">
        <v>247</v>
      </c>
      <c r="O143" s="38">
        <v>1667704</v>
      </c>
      <c r="P143" s="36" t="s">
        <v>248</v>
      </c>
      <c r="Q143" s="38">
        <v>1028521.5869657231</v>
      </c>
      <c r="R143" s="36" t="s">
        <v>249</v>
      </c>
      <c r="S143" s="38">
        <v>1449265.8901541184</v>
      </c>
      <c r="T143" s="36" t="s">
        <v>163</v>
      </c>
      <c r="U143" s="38">
        <v>1463278.9039110278</v>
      </c>
      <c r="V143" s="36" t="s">
        <v>164</v>
      </c>
      <c r="W143" s="38">
        <v>1849405.1430220339</v>
      </c>
      <c r="X143" s="36" t="s">
        <v>165</v>
      </c>
      <c r="Y143" s="38">
        <v>1736396.9967342468</v>
      </c>
      <c r="Z143" s="179"/>
      <c r="AA143" s="179"/>
      <c r="AB143" s="179"/>
      <c r="AC143" s="179"/>
      <c r="AD143" s="179"/>
      <c r="AE143" s="1"/>
    </row>
    <row r="144" spans="2:33" ht="15.5" thickTop="1" thickBot="1">
      <c r="C144" s="172" t="s">
        <v>219</v>
      </c>
      <c r="D144" s="34" t="s">
        <v>230</v>
      </c>
      <c r="E144" s="35">
        <v>1290518</v>
      </c>
      <c r="F144" s="34" t="s">
        <v>231</v>
      </c>
      <c r="G144" s="35">
        <v>1246634</v>
      </c>
      <c r="H144" s="34" t="s">
        <v>232</v>
      </c>
      <c r="I144" s="35">
        <v>1501238</v>
      </c>
      <c r="J144" s="36" t="s">
        <v>233</v>
      </c>
      <c r="K144" s="37">
        <v>1706193</v>
      </c>
      <c r="L144" s="36" t="s">
        <v>234</v>
      </c>
      <c r="M144" s="37">
        <v>1565535.2792101367</v>
      </c>
      <c r="N144" s="36" t="s">
        <v>130</v>
      </c>
      <c r="O144" s="38">
        <v>1379954</v>
      </c>
      <c r="P144" s="36" t="s">
        <v>250</v>
      </c>
      <c r="Q144" s="38">
        <v>1534537.14876418</v>
      </c>
      <c r="R144" s="36" t="s">
        <v>251</v>
      </c>
      <c r="S144" s="38">
        <v>1350092.7077205775</v>
      </c>
      <c r="T144" s="36" t="s">
        <v>163</v>
      </c>
      <c r="U144" s="38">
        <v>1336501.83729319</v>
      </c>
      <c r="V144" s="36" t="s">
        <v>164</v>
      </c>
      <c r="W144" s="38">
        <v>1504213.618028248</v>
      </c>
      <c r="X144" s="36" t="s">
        <v>165</v>
      </c>
      <c r="Y144" s="38">
        <v>1561271.303037768</v>
      </c>
      <c r="Z144" s="179"/>
      <c r="AA144" s="179"/>
      <c r="AB144" s="179"/>
      <c r="AC144" s="179"/>
      <c r="AD144" s="179"/>
      <c r="AE144" s="1"/>
      <c r="AG144" s="179"/>
    </row>
    <row r="145" spans="2:46" ht="15.5" thickTop="1" thickBot="1">
      <c r="C145" s="172" t="s">
        <v>235</v>
      </c>
      <c r="D145" s="34" t="s">
        <v>230</v>
      </c>
      <c r="E145" s="35">
        <v>31020.503785449047</v>
      </c>
      <c r="F145" s="34" t="s">
        <v>231</v>
      </c>
      <c r="G145" s="35">
        <v>26964.023581864683</v>
      </c>
      <c r="H145" s="34" t="s">
        <v>232</v>
      </c>
      <c r="I145" s="35">
        <v>23438</v>
      </c>
      <c r="J145" s="36" t="s">
        <v>233</v>
      </c>
      <c r="K145" s="37">
        <v>18733</v>
      </c>
      <c r="L145" s="36" t="s">
        <v>234</v>
      </c>
      <c r="M145" s="37">
        <v>10961.921772403583</v>
      </c>
      <c r="N145" s="36" t="s">
        <v>252</v>
      </c>
      <c r="O145" s="38">
        <v>14490</v>
      </c>
      <c r="P145" s="36" t="s">
        <v>253</v>
      </c>
      <c r="Q145" s="38">
        <v>25414.101790070996</v>
      </c>
      <c r="R145" s="36" t="s">
        <v>254</v>
      </c>
      <c r="S145" s="38">
        <v>13673.51656460859</v>
      </c>
      <c r="T145" s="36" t="s">
        <v>163</v>
      </c>
      <c r="U145" s="38">
        <v>14107.492032845475</v>
      </c>
      <c r="V145" s="36" t="s">
        <v>164</v>
      </c>
      <c r="W145" s="38">
        <v>14680.862720701358</v>
      </c>
      <c r="X145" s="36" t="s">
        <v>165</v>
      </c>
      <c r="Y145" s="38">
        <v>11155.094684484813</v>
      </c>
      <c r="Z145" s="179"/>
      <c r="AA145" s="179"/>
      <c r="AB145" s="179"/>
      <c r="AC145" s="179"/>
      <c r="AD145" s="179"/>
      <c r="AE145" s="1"/>
      <c r="AG145" s="179"/>
    </row>
    <row r="146" spans="2:46" ht="15.5" thickTop="1" thickBot="1">
      <c r="C146" s="172" t="s">
        <v>236</v>
      </c>
      <c r="D146" s="34" t="s">
        <v>230</v>
      </c>
      <c r="E146" s="35">
        <v>75682.83</v>
      </c>
      <c r="F146" s="34" t="s">
        <v>231</v>
      </c>
      <c r="G146" s="35">
        <v>84971</v>
      </c>
      <c r="H146" s="34" t="s">
        <v>232</v>
      </c>
      <c r="I146" s="35">
        <v>69398</v>
      </c>
      <c r="J146" s="36" t="s">
        <v>233</v>
      </c>
      <c r="K146" s="37">
        <v>53857</v>
      </c>
      <c r="L146" s="36" t="s">
        <v>234</v>
      </c>
      <c r="M146" s="37">
        <v>70945.162935544184</v>
      </c>
      <c r="N146" s="36" t="s">
        <v>255</v>
      </c>
      <c r="O146" s="38">
        <v>111294</v>
      </c>
      <c r="P146" s="36" t="s">
        <v>245</v>
      </c>
      <c r="Q146" s="38">
        <v>64899.34863066642</v>
      </c>
      <c r="R146" s="36" t="s">
        <v>256</v>
      </c>
      <c r="S146" s="38">
        <v>76892.484807727305</v>
      </c>
      <c r="T146" s="36" t="s">
        <v>163</v>
      </c>
      <c r="U146" s="38">
        <v>64272.997694183177</v>
      </c>
      <c r="V146" s="36" t="s">
        <v>164</v>
      </c>
      <c r="W146" s="38">
        <v>96210.495188572691</v>
      </c>
      <c r="X146" s="36" t="s">
        <v>165</v>
      </c>
      <c r="Y146" s="38">
        <v>146299.77519304145</v>
      </c>
      <c r="Z146" s="179"/>
      <c r="AA146" s="179"/>
      <c r="AB146" s="179"/>
      <c r="AC146" s="179"/>
      <c r="AD146" s="179"/>
      <c r="AE146" s="1"/>
      <c r="AG146" s="179"/>
    </row>
    <row r="147" spans="2:46" ht="15.5" thickTop="1" thickBot="1">
      <c r="C147" s="172" t="s">
        <v>257</v>
      </c>
      <c r="D147" s="34" t="s">
        <v>230</v>
      </c>
      <c r="E147" s="35">
        <v>6971275.1704009334</v>
      </c>
      <c r="F147" s="34" t="s">
        <v>231</v>
      </c>
      <c r="G147" s="35">
        <v>6983433.4827958364</v>
      </c>
      <c r="H147" s="34" t="s">
        <v>232</v>
      </c>
      <c r="I147" s="35">
        <v>6995613</v>
      </c>
      <c r="J147" s="36" t="s">
        <v>233</v>
      </c>
      <c r="K147" s="37">
        <v>8347182</v>
      </c>
      <c r="L147" s="36" t="s">
        <v>234</v>
      </c>
      <c r="M147" s="37">
        <v>7378921.7062084824</v>
      </c>
      <c r="N147" s="36" t="s">
        <v>258</v>
      </c>
      <c r="O147" s="38">
        <v>8251306</v>
      </c>
      <c r="P147" s="36" t="s">
        <v>259</v>
      </c>
      <c r="Q147" s="38">
        <v>8661609.2698886879</v>
      </c>
      <c r="R147" s="36" t="s">
        <v>260</v>
      </c>
      <c r="S147" s="38">
        <v>7840634.5575351408</v>
      </c>
      <c r="T147" s="36" t="s">
        <v>163</v>
      </c>
      <c r="U147" s="38">
        <v>11390244.840796789</v>
      </c>
      <c r="V147" s="36" t="s">
        <v>164</v>
      </c>
      <c r="W147" s="38">
        <v>11671699.775208281</v>
      </c>
      <c r="X147" s="36" t="s">
        <v>165</v>
      </c>
      <c r="Y147" s="38">
        <v>8113293.4027375858</v>
      </c>
      <c r="Z147" s="179"/>
      <c r="AA147" s="179"/>
      <c r="AB147" s="179"/>
      <c r="AC147" s="179"/>
      <c r="AD147" s="179"/>
      <c r="AE147" s="1"/>
      <c r="AG147" s="179"/>
    </row>
    <row r="148" spans="2:46" ht="15.5" thickTop="1" thickBot="1">
      <c r="C148" s="172" t="s">
        <v>238</v>
      </c>
      <c r="D148" s="34" t="s">
        <v>230</v>
      </c>
      <c r="E148" s="35">
        <v>15919</v>
      </c>
      <c r="F148" s="34" t="s">
        <v>231</v>
      </c>
      <c r="G148" s="35">
        <v>8326</v>
      </c>
      <c r="H148" s="34" t="s">
        <v>232</v>
      </c>
      <c r="I148" s="35">
        <v>15280</v>
      </c>
      <c r="J148" s="36" t="s">
        <v>233</v>
      </c>
      <c r="K148" s="37">
        <v>10788</v>
      </c>
      <c r="L148" s="36" t="s">
        <v>234</v>
      </c>
      <c r="M148" s="37">
        <v>5389.5476255891281</v>
      </c>
      <c r="N148" s="36" t="s">
        <v>160</v>
      </c>
      <c r="O148" s="38">
        <v>11835</v>
      </c>
      <c r="P148" s="36" t="s">
        <v>161</v>
      </c>
      <c r="Q148" s="38">
        <v>9779.3506798688632</v>
      </c>
      <c r="R148" s="36" t="s">
        <v>162</v>
      </c>
      <c r="S148" s="38">
        <v>14578.329171940029</v>
      </c>
      <c r="T148" s="36" t="s">
        <v>163</v>
      </c>
      <c r="U148" s="38">
        <v>21022.912575532609</v>
      </c>
      <c r="V148" s="36" t="s">
        <v>164</v>
      </c>
      <c r="W148" s="38">
        <v>17680.254642827644</v>
      </c>
      <c r="X148" s="36" t="s">
        <v>165</v>
      </c>
      <c r="Y148" s="38">
        <v>7733.8829193849169</v>
      </c>
      <c r="Z148" s="179"/>
      <c r="AA148" s="179"/>
      <c r="AB148" s="179"/>
      <c r="AC148" s="179"/>
      <c r="AD148" s="179"/>
      <c r="AE148" s="1"/>
      <c r="AG148" s="179"/>
    </row>
    <row r="149" spans="2:46" ht="15.5" thickTop="1" thickBot="1">
      <c r="C149" s="172" t="s">
        <v>239</v>
      </c>
      <c r="D149" s="34" t="s">
        <v>230</v>
      </c>
      <c r="E149" s="35">
        <v>51430</v>
      </c>
      <c r="F149" s="34" t="s">
        <v>231</v>
      </c>
      <c r="G149" s="35">
        <v>26498</v>
      </c>
      <c r="H149" s="34" t="s">
        <v>232</v>
      </c>
      <c r="I149" s="35">
        <v>44086</v>
      </c>
      <c r="J149" s="36" t="s">
        <v>233</v>
      </c>
      <c r="K149" s="37">
        <v>32655</v>
      </c>
      <c r="L149" s="36" t="s">
        <v>234</v>
      </c>
      <c r="M149" s="37">
        <v>25906.443645770181</v>
      </c>
      <c r="N149" s="36" t="s">
        <v>160</v>
      </c>
      <c r="O149" s="38">
        <v>30406</v>
      </c>
      <c r="P149" s="36" t="s">
        <v>161</v>
      </c>
      <c r="Q149" s="38">
        <v>18242.685538813577</v>
      </c>
      <c r="R149" s="36" t="s">
        <v>162</v>
      </c>
      <c r="S149" s="38">
        <v>32705.259506425144</v>
      </c>
      <c r="T149" s="36" t="s">
        <v>163</v>
      </c>
      <c r="U149" s="38">
        <v>24025.437165563984</v>
      </c>
      <c r="V149" s="36" t="s">
        <v>164</v>
      </c>
      <c r="W149" s="38">
        <v>35394.540123941159</v>
      </c>
      <c r="X149" s="36" t="s">
        <v>165</v>
      </c>
      <c r="Y149" s="38">
        <v>38945.777709644564</v>
      </c>
      <c r="Z149" s="179"/>
      <c r="AA149" s="179"/>
      <c r="AB149" s="179"/>
      <c r="AC149" s="179"/>
      <c r="AD149" s="179"/>
      <c r="AE149" s="1"/>
      <c r="AG149" s="179"/>
    </row>
    <row r="150" spans="2:46" ht="15.5" thickTop="1" thickBot="1">
      <c r="C150" s="172" t="s">
        <v>240</v>
      </c>
      <c r="D150" s="34" t="s">
        <v>230</v>
      </c>
      <c r="E150" s="35">
        <v>21382</v>
      </c>
      <c r="F150" s="34" t="s">
        <v>231</v>
      </c>
      <c r="G150" s="35">
        <v>19172</v>
      </c>
      <c r="H150" s="34" t="s">
        <v>232</v>
      </c>
      <c r="I150" s="35">
        <v>17967</v>
      </c>
      <c r="J150" s="36" t="s">
        <v>233</v>
      </c>
      <c r="K150" s="37">
        <v>14699</v>
      </c>
      <c r="L150" s="36" t="s">
        <v>234</v>
      </c>
      <c r="M150" s="37">
        <v>14678.815253759138</v>
      </c>
      <c r="N150" s="36" t="s">
        <v>160</v>
      </c>
      <c r="O150" s="38">
        <v>30254</v>
      </c>
      <c r="P150" s="36" t="s">
        <v>161</v>
      </c>
      <c r="Q150" s="38">
        <v>19631.348603544164</v>
      </c>
      <c r="R150" s="36" t="s">
        <v>162</v>
      </c>
      <c r="S150" s="38">
        <v>16774.827057185736</v>
      </c>
      <c r="T150" s="36" t="s">
        <v>163</v>
      </c>
      <c r="U150" s="38">
        <v>28931.606186338366</v>
      </c>
      <c r="V150" s="36" t="s">
        <v>164</v>
      </c>
      <c r="W150" s="38">
        <v>27955.542267693007</v>
      </c>
      <c r="X150" s="36" t="s">
        <v>165</v>
      </c>
      <c r="Y150" s="38">
        <v>21678.713321260744</v>
      </c>
      <c r="AA150" s="179"/>
      <c r="AD150" s="179"/>
      <c r="AE150" s="1"/>
      <c r="AG150" s="179"/>
    </row>
    <row r="151" spans="2:46" ht="15.5" thickTop="1" thickBot="1">
      <c r="C151" s="172" t="s">
        <v>241</v>
      </c>
      <c r="D151" s="34" t="s">
        <v>230</v>
      </c>
      <c r="E151" s="35">
        <v>473204.54</v>
      </c>
      <c r="F151" s="34" t="s">
        <v>231</v>
      </c>
      <c r="G151" s="35">
        <v>239715</v>
      </c>
      <c r="H151" s="34" t="s">
        <v>232</v>
      </c>
      <c r="I151" s="35">
        <v>360793</v>
      </c>
      <c r="J151" s="36" t="s">
        <v>233</v>
      </c>
      <c r="K151" s="37">
        <v>386798</v>
      </c>
      <c r="L151" s="36" t="s">
        <v>234</v>
      </c>
      <c r="M151" s="37">
        <v>285100.48751345242</v>
      </c>
      <c r="N151" s="36" t="s">
        <v>261</v>
      </c>
      <c r="O151" s="38">
        <v>421061</v>
      </c>
      <c r="P151" s="36" t="s">
        <v>262</v>
      </c>
      <c r="Q151" s="38">
        <v>418547.12568770739</v>
      </c>
      <c r="R151" s="36" t="s">
        <v>263</v>
      </c>
      <c r="S151" s="38">
        <v>269200.69709234359</v>
      </c>
      <c r="T151" s="36" t="s">
        <v>163</v>
      </c>
      <c r="U151" s="38">
        <v>408313.29949063569</v>
      </c>
      <c r="V151" s="36" t="s">
        <v>164</v>
      </c>
      <c r="W151" s="38">
        <v>244748.54151600323</v>
      </c>
      <c r="X151" s="36" t="s">
        <v>165</v>
      </c>
      <c r="Y151" s="38">
        <v>251433.39284937797</v>
      </c>
      <c r="AA151" s="179"/>
      <c r="AD151" s="179"/>
      <c r="AE151" s="1"/>
    </row>
    <row r="152" spans="2:46" ht="15" thickTop="1">
      <c r="B152" s="13"/>
      <c r="Z152" s="13"/>
      <c r="AA152" s="13"/>
      <c r="AB152" s="13"/>
      <c r="AC152" s="13"/>
      <c r="AD152" s="13"/>
      <c r="AE152" s="14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spans="2:46" ht="18.5">
      <c r="B153" s="13"/>
      <c r="C153" s="180" t="s">
        <v>4</v>
      </c>
      <c r="D153" s="180"/>
      <c r="E153" s="181" t="s">
        <v>264</v>
      </c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3"/>
      <c r="Z153" s="13"/>
      <c r="AA153" s="13"/>
      <c r="AB153" s="13"/>
      <c r="AC153" s="13"/>
      <c r="AD153" s="13"/>
      <c r="AE153" s="14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spans="2:46">
      <c r="B154" s="13"/>
      <c r="C154" s="93" t="s">
        <v>265</v>
      </c>
      <c r="D154" s="125" t="s">
        <v>266</v>
      </c>
      <c r="E154" s="26">
        <v>1994</v>
      </c>
      <c r="F154" s="126"/>
      <c r="G154" s="27"/>
      <c r="H154" s="26">
        <v>2000</v>
      </c>
      <c r="I154" s="126"/>
      <c r="J154" s="27"/>
      <c r="K154" s="26">
        <v>2006</v>
      </c>
      <c r="L154" s="126"/>
      <c r="M154" s="27"/>
      <c r="N154" s="26">
        <v>2010</v>
      </c>
      <c r="O154" s="126"/>
      <c r="P154" s="27"/>
      <c r="Q154" s="26">
        <v>2012</v>
      </c>
      <c r="R154" s="126"/>
      <c r="S154" s="27"/>
      <c r="T154" s="26">
        <v>2014</v>
      </c>
      <c r="U154" s="126"/>
      <c r="V154" s="27"/>
      <c r="W154" s="26">
        <v>2016</v>
      </c>
      <c r="X154" s="126"/>
      <c r="Y154" s="27"/>
      <c r="Z154" s="26">
        <v>2018</v>
      </c>
      <c r="AA154" s="126"/>
      <c r="AB154" s="27"/>
      <c r="AC154" s="26">
        <v>2020</v>
      </c>
      <c r="AD154" s="126"/>
      <c r="AE154" s="27"/>
      <c r="AF154" s="26">
        <v>2021</v>
      </c>
      <c r="AG154" s="126"/>
      <c r="AH154" s="27"/>
      <c r="AI154" s="26">
        <v>2022</v>
      </c>
      <c r="AJ154" s="126"/>
      <c r="AK154" s="27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spans="2:46" ht="58">
      <c r="B155" s="13"/>
      <c r="C155" s="93"/>
      <c r="D155" s="125"/>
      <c r="E155" s="63" t="s">
        <v>7</v>
      </c>
      <c r="F155" s="127" t="s">
        <v>206</v>
      </c>
      <c r="G155" s="127" t="s">
        <v>267</v>
      </c>
      <c r="H155" s="63" t="s">
        <v>7</v>
      </c>
      <c r="I155" s="127" t="s">
        <v>206</v>
      </c>
      <c r="J155" s="127" t="s">
        <v>268</v>
      </c>
      <c r="K155" s="63" t="s">
        <v>7</v>
      </c>
      <c r="L155" s="127" t="s">
        <v>206</v>
      </c>
      <c r="M155" s="127" t="s">
        <v>269</v>
      </c>
      <c r="N155" s="102" t="s">
        <v>7</v>
      </c>
      <c r="O155" s="127" t="s">
        <v>206</v>
      </c>
      <c r="P155" s="127" t="s">
        <v>270</v>
      </c>
      <c r="Q155" s="63" t="s">
        <v>7</v>
      </c>
      <c r="R155" s="127" t="s">
        <v>206</v>
      </c>
      <c r="S155" s="127" t="s">
        <v>271</v>
      </c>
      <c r="T155" s="63" t="s">
        <v>7</v>
      </c>
      <c r="U155" s="127" t="s">
        <v>206</v>
      </c>
      <c r="V155" s="127" t="s">
        <v>272</v>
      </c>
      <c r="W155" s="63" t="s">
        <v>7</v>
      </c>
      <c r="X155" s="127" t="s">
        <v>206</v>
      </c>
      <c r="Y155" s="127" t="s">
        <v>273</v>
      </c>
      <c r="Z155" s="63" t="s">
        <v>7</v>
      </c>
      <c r="AA155" s="127" t="s">
        <v>206</v>
      </c>
      <c r="AB155" s="127" t="s">
        <v>273</v>
      </c>
      <c r="AC155" s="63" t="s">
        <v>7</v>
      </c>
      <c r="AD155" s="127" t="s">
        <v>206</v>
      </c>
      <c r="AE155" s="127" t="s">
        <v>273</v>
      </c>
      <c r="AF155" s="63" t="s">
        <v>7</v>
      </c>
      <c r="AG155" s="127" t="s">
        <v>206</v>
      </c>
      <c r="AH155" s="127" t="s">
        <v>273</v>
      </c>
      <c r="AI155" s="63" t="s">
        <v>7</v>
      </c>
      <c r="AJ155" s="127" t="s">
        <v>206</v>
      </c>
      <c r="AK155" s="127" t="s">
        <v>273</v>
      </c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spans="2:46">
      <c r="B156" s="13"/>
      <c r="C156" s="129" t="s">
        <v>274</v>
      </c>
      <c r="D156" s="184">
        <v>0.46</v>
      </c>
      <c r="E156" s="185" t="s">
        <v>275</v>
      </c>
      <c r="F156" s="152">
        <v>133340.446</v>
      </c>
      <c r="G156" s="151">
        <v>61336605.159999996</v>
      </c>
      <c r="H156" s="186" t="s">
        <v>276</v>
      </c>
      <c r="I156" s="152">
        <v>172370.375</v>
      </c>
      <c r="J156" s="36">
        <v>79290372.5</v>
      </c>
      <c r="K156" s="187" t="s">
        <v>277</v>
      </c>
      <c r="L156" s="158">
        <v>202338.19500000001</v>
      </c>
      <c r="M156" s="188">
        <v>93075569.700000003</v>
      </c>
      <c r="N156" s="187" t="s">
        <v>278</v>
      </c>
      <c r="O156" s="158">
        <v>276302.72200000001</v>
      </c>
      <c r="P156" s="188">
        <v>127099252.12</v>
      </c>
      <c r="Q156" s="189" t="s">
        <v>279</v>
      </c>
      <c r="R156" s="158">
        <v>295276.24300000002</v>
      </c>
      <c r="S156" s="188">
        <v>135827071.78000003</v>
      </c>
      <c r="T156" s="189" t="s">
        <v>280</v>
      </c>
      <c r="U156" s="158">
        <v>294262.27</v>
      </c>
      <c r="V156" s="188">
        <v>135360644.20000002</v>
      </c>
      <c r="W156" s="34" t="s">
        <v>281</v>
      </c>
      <c r="X156" s="158">
        <v>291746.8</v>
      </c>
      <c r="Y156" s="188">
        <v>134203527.99999999</v>
      </c>
      <c r="Z156" s="190" t="s">
        <v>282</v>
      </c>
      <c r="AA156" s="158">
        <v>284779.59999999998</v>
      </c>
      <c r="AB156" s="188">
        <v>130998616</v>
      </c>
      <c r="AC156" s="34" t="s">
        <v>283</v>
      </c>
      <c r="AD156" s="158">
        <v>289034.59999999998</v>
      </c>
      <c r="AE156" s="188">
        <v>132955916</v>
      </c>
      <c r="AF156" s="34" t="s">
        <v>284</v>
      </c>
      <c r="AG156" s="158">
        <v>299902.59999999998</v>
      </c>
      <c r="AH156" s="188">
        <v>137955196</v>
      </c>
      <c r="AI156" s="34" t="s">
        <v>284</v>
      </c>
      <c r="AJ156" s="158">
        <v>217122.4</v>
      </c>
      <c r="AK156" s="188">
        <v>99876304</v>
      </c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spans="2:46">
      <c r="B157" s="13"/>
      <c r="C157" s="129" t="s">
        <v>285</v>
      </c>
      <c r="D157" s="184">
        <v>0.33500000000000002</v>
      </c>
      <c r="E157" s="185" t="s">
        <v>275</v>
      </c>
      <c r="F157" s="152">
        <v>1249.8</v>
      </c>
      <c r="G157" s="151">
        <v>418683</v>
      </c>
      <c r="H157" s="186" t="s">
        <v>276</v>
      </c>
      <c r="I157" s="152">
        <v>21962.916000000001</v>
      </c>
      <c r="J157" s="36">
        <v>7357576.8600000013</v>
      </c>
      <c r="K157" s="187" t="s">
        <v>277</v>
      </c>
      <c r="L157" s="158">
        <v>37127.913</v>
      </c>
      <c r="M157" s="36">
        <v>12437850.855</v>
      </c>
      <c r="N157" s="187" t="s">
        <v>278</v>
      </c>
      <c r="O157" s="158">
        <v>41292.83</v>
      </c>
      <c r="P157" s="188">
        <v>13833098.050000001</v>
      </c>
      <c r="Q157" s="189" t="s">
        <v>279</v>
      </c>
      <c r="R157" s="158">
        <v>59175.341999999997</v>
      </c>
      <c r="S157" s="188">
        <v>19823739.57</v>
      </c>
      <c r="T157" s="189" t="s">
        <v>280</v>
      </c>
      <c r="U157" s="158">
        <v>73250.965689999997</v>
      </c>
      <c r="V157" s="188">
        <v>24539073.506150004</v>
      </c>
      <c r="W157" s="34" t="s">
        <v>286</v>
      </c>
      <c r="X157" s="158">
        <v>70881.399999999994</v>
      </c>
      <c r="Y157" s="188">
        <v>23745269</v>
      </c>
      <c r="Z157" s="190" t="s">
        <v>286</v>
      </c>
      <c r="AA157" s="158">
        <v>82733.5</v>
      </c>
      <c r="AB157" s="188">
        <v>27715722.5</v>
      </c>
      <c r="AC157" s="34" t="s">
        <v>286</v>
      </c>
      <c r="AD157" s="158">
        <v>82398.600000000006</v>
      </c>
      <c r="AE157" s="188">
        <v>27603531.000000004</v>
      </c>
      <c r="AF157" s="34" t="s">
        <v>286</v>
      </c>
      <c r="AG157" s="158">
        <v>110464.4</v>
      </c>
      <c r="AH157" s="188">
        <v>37005574</v>
      </c>
      <c r="AI157" s="34" t="s">
        <v>286</v>
      </c>
      <c r="AJ157" s="158">
        <v>64455.8</v>
      </c>
      <c r="AK157" s="188">
        <v>21592693.000000004</v>
      </c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spans="2:46">
      <c r="B158" s="13"/>
      <c r="C158" s="129" t="s">
        <v>287</v>
      </c>
      <c r="D158" s="184">
        <v>0.18</v>
      </c>
      <c r="E158" s="185" t="s">
        <v>275</v>
      </c>
      <c r="F158" s="152">
        <v>9103.9459999999999</v>
      </c>
      <c r="G158" s="151">
        <v>1638710.28</v>
      </c>
      <c r="H158" s="186" t="s">
        <v>276</v>
      </c>
      <c r="I158" s="152">
        <v>49911.142</v>
      </c>
      <c r="J158" s="36">
        <v>8984005.5600000005</v>
      </c>
      <c r="K158" s="187" t="s">
        <v>277</v>
      </c>
      <c r="L158" s="158">
        <v>67206.725999999995</v>
      </c>
      <c r="M158" s="36">
        <v>12097210.679999998</v>
      </c>
      <c r="N158" s="187" t="s">
        <v>278</v>
      </c>
      <c r="O158" s="158">
        <v>40327.279000000002</v>
      </c>
      <c r="P158" s="188">
        <v>7258910.2199999997</v>
      </c>
      <c r="Q158" s="189" t="s">
        <v>279</v>
      </c>
      <c r="R158" s="158">
        <v>46845.392</v>
      </c>
      <c r="S158" s="188">
        <v>8432170.5600000005</v>
      </c>
      <c r="T158" s="189" t="s">
        <v>280</v>
      </c>
      <c r="U158" s="158">
        <v>82597.100000000006</v>
      </c>
      <c r="V158" s="188">
        <v>14867478.000000002</v>
      </c>
      <c r="W158" s="34" t="s">
        <v>282</v>
      </c>
      <c r="X158" s="158">
        <v>73024.600000000006</v>
      </c>
      <c r="Y158" s="188">
        <v>13144428</v>
      </c>
      <c r="Z158" s="190" t="s">
        <v>282</v>
      </c>
      <c r="AA158" s="158">
        <v>83578.2</v>
      </c>
      <c r="AB158" s="188">
        <v>15044076</v>
      </c>
      <c r="AC158" s="34" t="s">
        <v>283</v>
      </c>
      <c r="AD158" s="158">
        <v>85915.7</v>
      </c>
      <c r="AE158" s="188">
        <v>15464826</v>
      </c>
      <c r="AF158" s="34" t="s">
        <v>284</v>
      </c>
      <c r="AG158" s="158">
        <v>103156.1</v>
      </c>
      <c r="AH158" s="188">
        <v>18568098</v>
      </c>
      <c r="AI158" s="34" t="s">
        <v>284</v>
      </c>
      <c r="AJ158" s="158">
        <v>49337.5</v>
      </c>
      <c r="AK158" s="188">
        <v>8880750</v>
      </c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spans="2:46">
      <c r="B159" s="13"/>
      <c r="C159" s="129" t="s">
        <v>288</v>
      </c>
      <c r="D159" s="184">
        <v>0.20499999999999999</v>
      </c>
      <c r="E159" s="185" t="s">
        <v>275</v>
      </c>
      <c r="F159" s="152">
        <v>4412.1000000000004</v>
      </c>
      <c r="G159" s="151">
        <v>904480.5</v>
      </c>
      <c r="H159" s="186" t="s">
        <v>276</v>
      </c>
      <c r="I159" s="152">
        <v>7929.6570000000002</v>
      </c>
      <c r="J159" s="36">
        <v>1625579.6849999998</v>
      </c>
      <c r="K159" s="187" t="s">
        <v>277</v>
      </c>
      <c r="L159" s="158">
        <v>17375.05</v>
      </c>
      <c r="M159" s="36">
        <v>3561885.25</v>
      </c>
      <c r="N159" s="187" t="s">
        <v>278</v>
      </c>
      <c r="O159" s="158">
        <v>20116.666000000001</v>
      </c>
      <c r="P159" s="188">
        <v>4123916.5300000003</v>
      </c>
      <c r="Q159" s="189" t="s">
        <v>279</v>
      </c>
      <c r="R159" s="158">
        <v>26566.925999999999</v>
      </c>
      <c r="S159" s="188">
        <v>5446219.8300000001</v>
      </c>
      <c r="T159" s="189" t="s">
        <v>280</v>
      </c>
      <c r="U159" s="158">
        <v>40198.78</v>
      </c>
      <c r="V159" s="188">
        <v>8240749.8999999985</v>
      </c>
      <c r="W159" s="34" t="s">
        <v>289</v>
      </c>
      <c r="X159" s="158">
        <v>63338.1</v>
      </c>
      <c r="Y159" s="188">
        <v>12984310.5</v>
      </c>
      <c r="Z159" s="190" t="s">
        <v>289</v>
      </c>
      <c r="AA159" s="158">
        <v>87770.2</v>
      </c>
      <c r="AB159" s="188">
        <v>17992891</v>
      </c>
      <c r="AC159" s="34" t="s">
        <v>289</v>
      </c>
      <c r="AD159" s="158">
        <v>110798.5</v>
      </c>
      <c r="AE159" s="188">
        <v>22713692.499999996</v>
      </c>
      <c r="AF159" s="34" t="s">
        <v>289</v>
      </c>
      <c r="AG159" s="158">
        <v>134440.5</v>
      </c>
      <c r="AH159" s="188">
        <v>27560302.499999996</v>
      </c>
      <c r="AI159" s="34" t="s">
        <v>289</v>
      </c>
      <c r="AJ159" s="158">
        <v>106303.3</v>
      </c>
      <c r="AK159" s="188">
        <v>21792176.499999996</v>
      </c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spans="2:46">
      <c r="B160" s="13"/>
      <c r="C160" s="129" t="s">
        <v>290</v>
      </c>
      <c r="D160" s="184">
        <v>0.155</v>
      </c>
      <c r="E160" s="185" t="s">
        <v>275</v>
      </c>
      <c r="F160" s="152">
        <v>124.818</v>
      </c>
      <c r="G160" s="151">
        <v>19346.789999999997</v>
      </c>
      <c r="H160" s="186" t="s">
        <v>276</v>
      </c>
      <c r="I160" s="152">
        <v>3755.3870000000002</v>
      </c>
      <c r="J160" s="36">
        <v>582084.9850000001</v>
      </c>
      <c r="K160" s="187" t="s">
        <v>277</v>
      </c>
      <c r="L160" s="158">
        <v>9570.4419999999991</v>
      </c>
      <c r="M160" s="36">
        <v>1483418.5099999998</v>
      </c>
      <c r="N160" s="187" t="s">
        <v>278</v>
      </c>
      <c r="O160" s="158">
        <v>10857.824000000001</v>
      </c>
      <c r="P160" s="188">
        <v>1682962.72</v>
      </c>
      <c r="Q160" s="189" t="s">
        <v>279</v>
      </c>
      <c r="R160" s="158">
        <v>11461.591</v>
      </c>
      <c r="S160" s="188">
        <v>1776546.605</v>
      </c>
      <c r="T160" s="189" t="s">
        <v>280</v>
      </c>
      <c r="U160" s="158">
        <v>15206.7</v>
      </c>
      <c r="V160" s="188">
        <v>2357038.5</v>
      </c>
      <c r="W160" s="34" t="s">
        <v>283</v>
      </c>
      <c r="X160" s="158">
        <v>14991</v>
      </c>
      <c r="Y160" s="188">
        <v>2323605</v>
      </c>
      <c r="Z160" s="190" t="s">
        <v>283</v>
      </c>
      <c r="AA160" s="158">
        <v>19582.5</v>
      </c>
      <c r="AB160" s="188">
        <v>3035287.5</v>
      </c>
      <c r="AC160" s="34" t="s">
        <v>283</v>
      </c>
      <c r="AD160" s="158">
        <v>25766.400000000001</v>
      </c>
      <c r="AE160" s="188">
        <v>3993792.0000000005</v>
      </c>
      <c r="AF160" s="34" t="s">
        <v>283</v>
      </c>
      <c r="AG160" s="158">
        <v>34776.300000000003</v>
      </c>
      <c r="AH160" s="188">
        <v>5390326.5</v>
      </c>
      <c r="AI160" s="34" t="s">
        <v>283</v>
      </c>
      <c r="AJ160" s="158">
        <v>20417.599999999999</v>
      </c>
      <c r="AK160" s="188">
        <v>3164727.9999999995</v>
      </c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spans="2:46">
      <c r="B161" s="13"/>
      <c r="C161" s="129" t="s">
        <v>291</v>
      </c>
      <c r="D161" s="184">
        <v>0.11</v>
      </c>
      <c r="E161" s="185" t="s">
        <v>275</v>
      </c>
      <c r="F161" s="152">
        <v>8310.0400000000009</v>
      </c>
      <c r="G161" s="151">
        <v>914104.4</v>
      </c>
      <c r="H161" s="186" t="s">
        <v>276</v>
      </c>
      <c r="I161" s="152">
        <v>572.54999999999995</v>
      </c>
      <c r="J161" s="36">
        <v>62980.499999999993</v>
      </c>
      <c r="K161" s="187" t="s">
        <v>277</v>
      </c>
      <c r="L161" s="158">
        <v>477.62200000000001</v>
      </c>
      <c r="M161" s="36">
        <v>52538.420000000006</v>
      </c>
      <c r="N161" s="187" t="s">
        <v>278</v>
      </c>
      <c r="O161" s="158">
        <v>30717.427</v>
      </c>
      <c r="P161" s="188">
        <v>3378916.9699999997</v>
      </c>
      <c r="Q161" s="189" t="s">
        <v>279</v>
      </c>
      <c r="R161" s="158">
        <v>11429.986000000001</v>
      </c>
      <c r="S161" s="188">
        <v>1257298.4600000002</v>
      </c>
      <c r="T161" s="189" t="s">
        <v>280</v>
      </c>
      <c r="U161" s="158">
        <v>10258.34</v>
      </c>
      <c r="V161" s="188">
        <v>1128417.4000000001</v>
      </c>
      <c r="W161" s="34" t="s">
        <v>284</v>
      </c>
      <c r="X161" s="158">
        <v>4610</v>
      </c>
      <c r="Y161" s="188">
        <v>507100</v>
      </c>
      <c r="Z161" s="190" t="s">
        <v>284</v>
      </c>
      <c r="AA161" s="158">
        <v>5509.5</v>
      </c>
      <c r="AB161" s="188">
        <v>606045</v>
      </c>
      <c r="AC161" s="34" t="s">
        <v>284</v>
      </c>
      <c r="AD161" s="158">
        <v>3325.4</v>
      </c>
      <c r="AE161" s="188">
        <v>365794.00000000006</v>
      </c>
      <c r="AF161" s="34" t="s">
        <v>284</v>
      </c>
      <c r="AG161" s="158">
        <v>5120.8</v>
      </c>
      <c r="AH161" s="188">
        <v>563288</v>
      </c>
      <c r="AI161" s="34" t="s">
        <v>284</v>
      </c>
      <c r="AJ161" s="158">
        <v>9073.7999999999993</v>
      </c>
      <c r="AK161" s="188">
        <v>998117.99999999988</v>
      </c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spans="2:46">
      <c r="B162" s="13"/>
      <c r="C162" s="129" t="s">
        <v>292</v>
      </c>
      <c r="D162" s="184">
        <v>0.13</v>
      </c>
      <c r="E162" s="185" t="s">
        <v>275</v>
      </c>
      <c r="F162" s="152">
        <v>289.815</v>
      </c>
      <c r="G162" s="151">
        <v>37675.949999999997</v>
      </c>
      <c r="H162" s="186" t="s">
        <v>276</v>
      </c>
      <c r="I162" s="152">
        <v>6088.027</v>
      </c>
      <c r="J162" s="36">
        <v>791443.51</v>
      </c>
      <c r="K162" s="187" t="s">
        <v>277</v>
      </c>
      <c r="L162" s="158">
        <v>9151.52</v>
      </c>
      <c r="M162" s="36">
        <v>1189697.6000000001</v>
      </c>
      <c r="N162" s="187" t="s">
        <v>278</v>
      </c>
      <c r="O162" s="158">
        <v>7281.076</v>
      </c>
      <c r="P162" s="188">
        <v>946539.88</v>
      </c>
      <c r="Q162" s="189" t="s">
        <v>279</v>
      </c>
      <c r="R162" s="158">
        <v>7580.9809999999998</v>
      </c>
      <c r="S162" s="188">
        <v>985527.52999999991</v>
      </c>
      <c r="T162" s="189" t="s">
        <v>280</v>
      </c>
      <c r="U162" s="158">
        <v>9560.81</v>
      </c>
      <c r="V162" s="188">
        <v>1242905.2999999998</v>
      </c>
      <c r="W162" s="34" t="s">
        <v>284</v>
      </c>
      <c r="X162" s="158">
        <v>6391</v>
      </c>
      <c r="Y162" s="188">
        <v>830830</v>
      </c>
      <c r="Z162" s="190" t="s">
        <v>284</v>
      </c>
      <c r="AA162" s="158">
        <v>14755.6</v>
      </c>
      <c r="AB162" s="188">
        <v>1918228</v>
      </c>
      <c r="AC162" s="34" t="s">
        <v>284</v>
      </c>
      <c r="AD162" s="158">
        <v>5055.5</v>
      </c>
      <c r="AE162" s="188">
        <v>657215</v>
      </c>
      <c r="AF162" s="34" t="s">
        <v>284</v>
      </c>
      <c r="AG162" s="158">
        <v>1394</v>
      </c>
      <c r="AH162" s="188">
        <v>181220</v>
      </c>
      <c r="AI162" s="34" t="s">
        <v>284</v>
      </c>
      <c r="AJ162" s="158">
        <v>9363.7000000000007</v>
      </c>
      <c r="AK162" s="188">
        <v>1217281.0000000002</v>
      </c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spans="2:46">
      <c r="B163" s="13"/>
      <c r="C163" s="129" t="s">
        <v>293</v>
      </c>
      <c r="D163" s="184">
        <v>0.16</v>
      </c>
      <c r="E163" s="185" t="s">
        <v>275</v>
      </c>
      <c r="F163" s="152">
        <v>2100.1350000000002</v>
      </c>
      <c r="G163" s="151">
        <v>336021.60000000003</v>
      </c>
      <c r="H163" s="186" t="s">
        <v>276</v>
      </c>
      <c r="I163" s="152">
        <v>5071.2049999999999</v>
      </c>
      <c r="J163" s="36">
        <v>811392.79999999993</v>
      </c>
      <c r="K163" s="187" t="s">
        <v>277</v>
      </c>
      <c r="L163" s="158">
        <v>0</v>
      </c>
      <c r="M163" s="36">
        <v>0</v>
      </c>
      <c r="N163" s="187" t="s">
        <v>278</v>
      </c>
      <c r="O163" s="158">
        <v>368.39100000000002</v>
      </c>
      <c r="P163" s="188">
        <v>58942.560000000005</v>
      </c>
      <c r="Q163" s="189" t="s">
        <v>279</v>
      </c>
      <c r="R163" s="158">
        <v>659.64300000000003</v>
      </c>
      <c r="S163" s="188">
        <v>105542.88</v>
      </c>
      <c r="T163" s="189" t="s">
        <v>280</v>
      </c>
      <c r="U163" s="158">
        <v>1220.4000000000001</v>
      </c>
      <c r="V163" s="188">
        <v>195264</v>
      </c>
      <c r="W163" s="34" t="s">
        <v>294</v>
      </c>
      <c r="X163" s="158">
        <v>648.9</v>
      </c>
      <c r="Y163" s="188">
        <v>103824</v>
      </c>
      <c r="Z163" s="190" t="s">
        <v>294</v>
      </c>
      <c r="AA163" s="158">
        <v>827.1</v>
      </c>
      <c r="AB163" s="188">
        <v>132336</v>
      </c>
      <c r="AC163" s="34" t="s">
        <v>294</v>
      </c>
      <c r="AD163" s="158">
        <v>561.79999999999995</v>
      </c>
      <c r="AE163" s="188">
        <v>89887.999999999985</v>
      </c>
      <c r="AF163" s="34" t="s">
        <v>294</v>
      </c>
      <c r="AG163" s="158">
        <v>537</v>
      </c>
      <c r="AH163" s="188">
        <v>85920</v>
      </c>
      <c r="AI163" s="34" t="s">
        <v>294</v>
      </c>
      <c r="AJ163" s="158">
        <v>538.20000000000005</v>
      </c>
      <c r="AK163" s="188">
        <v>86112.000000000015</v>
      </c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spans="2:46">
      <c r="B164" s="13"/>
      <c r="C164" s="129" t="s">
        <v>295</v>
      </c>
      <c r="D164" s="137"/>
      <c r="E164" s="138"/>
      <c r="F164" s="138">
        <v>158931.1</v>
      </c>
      <c r="G164" s="191">
        <v>65605627.68</v>
      </c>
      <c r="H164" s="138"/>
      <c r="I164" s="191">
        <v>267661.25899999996</v>
      </c>
      <c r="J164" s="140">
        <v>99505436.400000006</v>
      </c>
      <c r="K164" s="139"/>
      <c r="L164" s="140">
        <v>343247.46799999999</v>
      </c>
      <c r="M164" s="140">
        <v>123898171.015</v>
      </c>
      <c r="N164" s="139"/>
      <c r="O164" s="139">
        <v>427264.21500000008</v>
      </c>
      <c r="P164" s="140">
        <v>158382539.05000001</v>
      </c>
      <c r="Q164" s="139"/>
      <c r="R164" s="139">
        <v>458996.10399999999</v>
      </c>
      <c r="S164" s="140">
        <v>173654117.21500003</v>
      </c>
      <c r="T164" s="139"/>
      <c r="U164" s="139">
        <v>526555.36569000012</v>
      </c>
      <c r="V164" s="139">
        <v>187931570.80615005</v>
      </c>
      <c r="W164" s="139"/>
      <c r="X164" s="139">
        <v>525631.79999999993</v>
      </c>
      <c r="Y164" s="139">
        <v>187842894.5</v>
      </c>
      <c r="Z164" s="192"/>
      <c r="AA164" s="139">
        <v>579536.19999999995</v>
      </c>
      <c r="AB164" s="139">
        <v>197443202</v>
      </c>
      <c r="AC164" s="139"/>
      <c r="AD164" s="139">
        <v>602856.5</v>
      </c>
      <c r="AE164" s="139">
        <v>203844654.5</v>
      </c>
      <c r="AF164" s="139"/>
      <c r="AG164" s="139">
        <v>689791.70000000007</v>
      </c>
      <c r="AH164" s="139">
        <v>227309925</v>
      </c>
      <c r="AI164" s="139"/>
      <c r="AJ164" s="139">
        <v>476612.3</v>
      </c>
      <c r="AK164" s="139">
        <v>157608162.5</v>
      </c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spans="2:46">
      <c r="B165" s="13"/>
      <c r="C165" s="87" t="s">
        <v>296</v>
      </c>
      <c r="D165" s="184">
        <v>0.12</v>
      </c>
      <c r="E165" s="34" t="s">
        <v>297</v>
      </c>
      <c r="F165" s="158">
        <v>159891679.09267399</v>
      </c>
      <c r="G165" s="188">
        <v>19187001.491120879</v>
      </c>
      <c r="H165" s="34" t="s">
        <v>297</v>
      </c>
      <c r="I165" s="158">
        <v>218679411.7040405</v>
      </c>
      <c r="J165" s="188">
        <v>26241529.404484857</v>
      </c>
      <c r="K165" s="34" t="s">
        <v>297</v>
      </c>
      <c r="L165" s="158">
        <v>228596304.43454576</v>
      </c>
      <c r="M165" s="188">
        <v>27431556.532145489</v>
      </c>
      <c r="N165" s="34" t="s">
        <v>297</v>
      </c>
      <c r="O165" s="158">
        <v>239871451.14408082</v>
      </c>
      <c r="P165" s="188">
        <v>28784574.137289695</v>
      </c>
      <c r="Q165" s="34" t="s">
        <v>297</v>
      </c>
      <c r="R165" s="158">
        <v>265201842.79805201</v>
      </c>
      <c r="S165" s="188">
        <v>31824221.135766242</v>
      </c>
      <c r="T165" s="189" t="s">
        <v>298</v>
      </c>
      <c r="U165" s="158">
        <v>276525461.06727999</v>
      </c>
      <c r="V165" s="188">
        <v>33183055.328073598</v>
      </c>
      <c r="W165" s="189" t="s">
        <v>299</v>
      </c>
      <c r="X165" s="158">
        <v>239161.55319867999</v>
      </c>
      <c r="Y165" s="188">
        <v>28699386.383841597</v>
      </c>
      <c r="Z165" s="193" t="s">
        <v>132</v>
      </c>
      <c r="AA165" s="158">
        <v>265823.01960027998</v>
      </c>
      <c r="AB165" s="188">
        <v>31898762.352033596</v>
      </c>
      <c r="AC165" s="189" t="s">
        <v>133</v>
      </c>
      <c r="AD165" s="158">
        <v>454945.60804575979</v>
      </c>
      <c r="AE165" s="188">
        <v>54593472.965491168</v>
      </c>
      <c r="AF165" s="189" t="s">
        <v>134</v>
      </c>
      <c r="AG165" s="158">
        <v>429066.89727342012</v>
      </c>
      <c r="AH165" s="188">
        <v>51488027.672810413</v>
      </c>
      <c r="AI165" s="189" t="s">
        <v>134</v>
      </c>
      <c r="AJ165" s="158">
        <v>374311.54261214007</v>
      </c>
      <c r="AK165" s="188">
        <v>44917385.113456801</v>
      </c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spans="2:46">
      <c r="B166" s="13"/>
      <c r="E166" s="93">
        <v>1994</v>
      </c>
      <c r="F166" s="93"/>
      <c r="G166" s="93"/>
      <c r="H166" s="93">
        <v>2000</v>
      </c>
      <c r="I166" s="93"/>
      <c r="J166" s="93"/>
      <c r="K166" s="93">
        <v>2006</v>
      </c>
      <c r="L166" s="93"/>
      <c r="M166" s="93"/>
      <c r="N166" s="93">
        <v>2010</v>
      </c>
      <c r="O166" s="93"/>
      <c r="P166" s="93"/>
      <c r="Q166" s="93">
        <v>2012</v>
      </c>
      <c r="R166" s="93"/>
      <c r="S166" s="93"/>
      <c r="T166" s="93">
        <v>2014</v>
      </c>
      <c r="U166" s="93"/>
      <c r="V166" s="93"/>
      <c r="W166" s="26">
        <v>2016</v>
      </c>
      <c r="X166" s="126"/>
      <c r="Y166" s="27"/>
      <c r="Z166" s="26">
        <v>2018</v>
      </c>
      <c r="AA166" s="126"/>
      <c r="AB166" s="27"/>
      <c r="AC166" s="26">
        <v>2020</v>
      </c>
      <c r="AD166" s="126"/>
      <c r="AE166" s="27"/>
      <c r="AF166" s="26">
        <v>2021</v>
      </c>
      <c r="AG166" s="126"/>
      <c r="AH166" s="27"/>
      <c r="AI166" s="26">
        <v>2022</v>
      </c>
      <c r="AJ166" s="126"/>
      <c r="AK166" s="27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spans="2:46">
      <c r="B167" s="13"/>
      <c r="C167" s="129" t="s">
        <v>300</v>
      </c>
      <c r="D167" s="194"/>
      <c r="E167" s="185"/>
      <c r="F167" s="152"/>
      <c r="G167" s="151"/>
      <c r="H167" s="186"/>
      <c r="I167" s="152"/>
      <c r="J167" s="151"/>
      <c r="K167" s="186"/>
      <c r="L167" s="152"/>
      <c r="M167" s="195"/>
      <c r="N167" s="186"/>
      <c r="O167" s="152"/>
      <c r="P167" s="195"/>
      <c r="Q167" s="185"/>
      <c r="R167" s="152"/>
      <c r="S167" s="195"/>
      <c r="T167" s="65" t="s">
        <v>301</v>
      </c>
      <c r="U167" s="152"/>
      <c r="V167" s="195">
        <v>243898.4097048087</v>
      </c>
      <c r="W167" s="185"/>
      <c r="X167" s="152"/>
      <c r="Y167" s="195"/>
      <c r="Z167" s="185"/>
      <c r="AA167" s="152"/>
      <c r="AB167" s="195"/>
      <c r="AC167" s="185"/>
      <c r="AD167" s="152"/>
      <c r="AE167" s="195"/>
      <c r="AF167" s="185"/>
      <c r="AG167" s="152"/>
      <c r="AH167" s="195"/>
      <c r="AI167" s="185"/>
      <c r="AJ167" s="152"/>
      <c r="AK167" s="195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spans="2:46">
      <c r="B168" s="13"/>
      <c r="C168" s="129" t="s">
        <v>302</v>
      </c>
      <c r="D168" s="196">
        <v>0.86</v>
      </c>
      <c r="E168" s="65" t="s">
        <v>303</v>
      </c>
      <c r="F168" s="152">
        <v>11951.5889968298</v>
      </c>
      <c r="G168" s="195">
        <v>10278.366537273627</v>
      </c>
      <c r="H168" s="65" t="s">
        <v>303</v>
      </c>
      <c r="I168" s="152">
        <v>12739.7713981419</v>
      </c>
      <c r="J168" s="195">
        <v>10956.203402402034</v>
      </c>
      <c r="K168" s="65" t="s">
        <v>303</v>
      </c>
      <c r="L168" s="152">
        <v>14223.870694830301</v>
      </c>
      <c r="M168" s="195">
        <v>12232.528797554058</v>
      </c>
      <c r="N168" s="65" t="s">
        <v>303</v>
      </c>
      <c r="O168" s="152">
        <v>16385.7957121974</v>
      </c>
      <c r="P168" s="195">
        <v>14091.784312489763</v>
      </c>
      <c r="Q168" s="65" t="s">
        <v>303</v>
      </c>
      <c r="R168" s="152">
        <v>16814.3184618091</v>
      </c>
      <c r="S168" s="195">
        <v>14460.313877155826</v>
      </c>
      <c r="T168" s="65" t="s">
        <v>301</v>
      </c>
      <c r="U168" s="152">
        <v>17346.970818265199</v>
      </c>
      <c r="V168" s="195">
        <v>14918.394903708071</v>
      </c>
      <c r="W168" s="65" t="s">
        <v>304</v>
      </c>
      <c r="X168" s="152">
        <v>14332.149540099999</v>
      </c>
      <c r="Y168" s="195">
        <v>12325648.604486</v>
      </c>
      <c r="Z168" s="65" t="s">
        <v>305</v>
      </c>
      <c r="AA168" s="152">
        <v>12609.489835832841</v>
      </c>
      <c r="AB168" s="195">
        <v>10844161.258816242</v>
      </c>
      <c r="AC168" s="65" t="s">
        <v>305</v>
      </c>
      <c r="AD168" s="152">
        <v>7937.6792150000047</v>
      </c>
      <c r="AE168" s="188">
        <v>6826404.1249000039</v>
      </c>
      <c r="AF168" s="65" t="s">
        <v>305</v>
      </c>
      <c r="AG168" s="152">
        <v>10098.209922800001</v>
      </c>
      <c r="AH168" s="195">
        <v>8684460.5336080007</v>
      </c>
      <c r="AI168" s="65" t="s">
        <v>305</v>
      </c>
      <c r="AJ168" s="152">
        <v>8701.0810875799998</v>
      </c>
      <c r="AK168" s="195">
        <v>7482929.7353187995</v>
      </c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spans="2:46">
      <c r="B169" s="13"/>
      <c r="C169" s="129" t="s">
        <v>306</v>
      </c>
      <c r="D169" s="194"/>
      <c r="E169" s="65" t="s">
        <v>307</v>
      </c>
      <c r="F169" s="152">
        <v>1314.6747896512779</v>
      </c>
      <c r="G169" s="195">
        <v>157760.97475815334</v>
      </c>
      <c r="H169" s="65" t="s">
        <v>307</v>
      </c>
      <c r="I169" s="152">
        <v>1401.3748537956089</v>
      </c>
      <c r="J169" s="195">
        <v>168164.98245547307</v>
      </c>
      <c r="K169" s="65" t="s">
        <v>307</v>
      </c>
      <c r="L169" s="152">
        <v>1564.6257764313332</v>
      </c>
      <c r="M169" s="195">
        <v>187755.09317175997</v>
      </c>
      <c r="N169" s="65" t="s">
        <v>307</v>
      </c>
      <c r="O169" s="152">
        <v>1802.4375283417139</v>
      </c>
      <c r="P169" s="195">
        <v>216292.50340100567</v>
      </c>
      <c r="Q169" s="65" t="s">
        <v>307</v>
      </c>
      <c r="R169" s="152">
        <v>1849.5750307990011</v>
      </c>
      <c r="S169" s="195">
        <v>221949.00369588012</v>
      </c>
      <c r="T169" s="65" t="s">
        <v>301</v>
      </c>
      <c r="U169" s="152">
        <v>1908.166790009172</v>
      </c>
      <c r="V169" s="195">
        <v>228980.01480110062</v>
      </c>
      <c r="W169" s="65" t="s">
        <v>304</v>
      </c>
      <c r="X169" s="152">
        <v>1613.6093992000001</v>
      </c>
      <c r="Y169" s="195">
        <v>193633.12790399999</v>
      </c>
      <c r="Z169" s="65" t="s">
        <v>308</v>
      </c>
      <c r="AA169" s="152">
        <v>1419.6608304489387</v>
      </c>
      <c r="AB169" s="195">
        <v>170359.29965387261</v>
      </c>
      <c r="AC169" s="65" t="s">
        <v>308</v>
      </c>
      <c r="AD169" s="152">
        <v>1525.3190140800002</v>
      </c>
      <c r="AE169" s="188">
        <v>183038.2816896</v>
      </c>
      <c r="AF169" s="65" t="s">
        <v>308</v>
      </c>
      <c r="AG169" s="152">
        <v>505.15132400000027</v>
      </c>
      <c r="AH169" s="195">
        <v>60618.158880000032</v>
      </c>
      <c r="AI169" s="65" t="s">
        <v>308</v>
      </c>
      <c r="AJ169" s="152">
        <v>162.351752</v>
      </c>
      <c r="AK169" s="195">
        <v>19482.21024</v>
      </c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spans="2:46">
      <c r="B170" s="13"/>
      <c r="C170" s="87"/>
      <c r="E170" s="197"/>
      <c r="F170" s="198">
        <v>6.5519054454764207E-3</v>
      </c>
      <c r="G170" s="199"/>
      <c r="H170" s="197"/>
      <c r="I170" s="198">
        <v>6.5182128472035675E-3</v>
      </c>
      <c r="J170" s="199"/>
      <c r="K170" s="197"/>
      <c r="L170" s="198">
        <v>6.8790819295921268E-3</v>
      </c>
      <c r="M170" s="197"/>
      <c r="N170" s="197"/>
      <c r="O170" s="198">
        <v>7.239951011980687E-3</v>
      </c>
      <c r="P170" s="200"/>
      <c r="Q170" s="197"/>
      <c r="R170" s="198">
        <v>7.0620309089897857E-3</v>
      </c>
      <c r="S170" s="200"/>
      <c r="T170" s="197"/>
      <c r="U170" s="198">
        <v>6.8374222819112904E-3</v>
      </c>
      <c r="V170" s="200"/>
      <c r="W170" s="197"/>
      <c r="X170" s="198">
        <v>2.4271966568135964E-2</v>
      </c>
      <c r="Y170" s="200"/>
      <c r="Z170" s="197"/>
      <c r="AA170" s="198">
        <v>2.1354585708184673E-2</v>
      </c>
      <c r="AB170" s="200"/>
      <c r="AC170" s="197"/>
      <c r="AD170" s="198">
        <v>2.2943899641292988E-2</v>
      </c>
      <c r="AE170" s="200"/>
      <c r="AF170" s="197"/>
      <c r="AG170" s="198">
        <v>1.136101583516471E-2</v>
      </c>
      <c r="AH170" s="200"/>
      <c r="AI170" s="197"/>
      <c r="AJ170" s="201">
        <v>5.3806392306077104E-3</v>
      </c>
      <c r="AK170" s="202" t="s">
        <v>309</v>
      </c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spans="2:46">
      <c r="B171" s="13"/>
      <c r="C171" s="203"/>
      <c r="E171" s="204"/>
      <c r="F171" s="155">
        <v>0.11</v>
      </c>
      <c r="G171" s="154"/>
      <c r="H171" s="205"/>
      <c r="I171" s="155">
        <v>0.11</v>
      </c>
      <c r="J171" s="154"/>
      <c r="K171" s="205"/>
      <c r="L171" s="155">
        <v>0.11</v>
      </c>
      <c r="M171" s="206"/>
      <c r="N171" s="205"/>
      <c r="O171" s="155">
        <v>0.11</v>
      </c>
      <c r="P171" s="206"/>
      <c r="Q171" s="204"/>
      <c r="R171" s="155">
        <v>0.11</v>
      </c>
      <c r="S171" s="206"/>
      <c r="T171" s="162"/>
      <c r="U171" s="155">
        <v>0.11</v>
      </c>
      <c r="V171" s="206"/>
      <c r="W171" s="204"/>
      <c r="X171" s="155">
        <v>0.11258669850501306</v>
      </c>
      <c r="Y171" s="206"/>
      <c r="Z171" s="204"/>
      <c r="AA171" s="155">
        <v>0.11258669850501306</v>
      </c>
      <c r="AB171" s="206"/>
      <c r="AC171" s="204"/>
      <c r="AD171" s="155">
        <v>0.19216183632081929</v>
      </c>
      <c r="AE171" s="206"/>
      <c r="AF171" s="204"/>
      <c r="AG171" s="155">
        <v>5.0023848569384216E-2</v>
      </c>
      <c r="AH171" s="206"/>
      <c r="AI171" s="204"/>
      <c r="AJ171" s="155">
        <v>1.8658802321902541E-2</v>
      </c>
      <c r="AK171" s="206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spans="2:46">
      <c r="B172" s="13"/>
      <c r="C172" s="13"/>
      <c r="D172" s="13"/>
      <c r="E172" s="207">
        <v>1994</v>
      </c>
      <c r="F172" s="207"/>
      <c r="G172" s="207"/>
      <c r="H172" s="207">
        <v>2000</v>
      </c>
      <c r="I172" s="207"/>
      <c r="J172" s="207"/>
      <c r="K172" s="207">
        <v>2006</v>
      </c>
      <c r="L172" s="207"/>
      <c r="M172" s="207"/>
      <c r="N172" s="207">
        <v>2010</v>
      </c>
      <c r="O172" s="207"/>
      <c r="P172" s="207"/>
      <c r="Q172" s="207">
        <v>2012</v>
      </c>
      <c r="R172" s="207"/>
      <c r="S172" s="207"/>
      <c r="T172" s="207">
        <v>2014</v>
      </c>
      <c r="U172" s="207"/>
      <c r="V172" s="207"/>
      <c r="W172" s="208">
        <v>2016</v>
      </c>
      <c r="X172" s="209"/>
      <c r="Y172" s="210"/>
      <c r="Z172" s="208">
        <v>2018</v>
      </c>
      <c r="AA172" s="209"/>
      <c r="AB172" s="210"/>
      <c r="AC172" s="208">
        <v>2020</v>
      </c>
      <c r="AD172" s="209"/>
      <c r="AE172" s="210"/>
      <c r="AF172" s="208">
        <v>2021</v>
      </c>
      <c r="AG172" s="209"/>
      <c r="AH172" s="210"/>
      <c r="AI172" s="208">
        <v>2022</v>
      </c>
      <c r="AJ172" s="209"/>
      <c r="AK172" s="210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spans="2:46">
      <c r="B173" s="13"/>
      <c r="C173" s="129" t="s">
        <v>310</v>
      </c>
      <c r="D173" s="13"/>
      <c r="E173" s="65" t="s">
        <v>311</v>
      </c>
      <c r="F173" s="152">
        <v>1650.1759000000002</v>
      </c>
      <c r="G173" s="151"/>
      <c r="H173" s="65" t="s">
        <v>311</v>
      </c>
      <c r="I173" s="152">
        <v>1650.1759000000002</v>
      </c>
      <c r="J173" s="151"/>
      <c r="K173" s="65" t="s">
        <v>312</v>
      </c>
      <c r="L173" s="152">
        <v>1650.1759000000002</v>
      </c>
      <c r="M173" s="195"/>
      <c r="N173" s="65" t="s">
        <v>312</v>
      </c>
      <c r="O173" s="152">
        <v>1650.1759000000002</v>
      </c>
      <c r="P173" s="195"/>
      <c r="Q173" s="65" t="s">
        <v>313</v>
      </c>
      <c r="R173" s="152">
        <v>1650.1759000000002</v>
      </c>
      <c r="S173" s="195"/>
      <c r="T173" s="65" t="s">
        <v>314</v>
      </c>
      <c r="U173" s="152">
        <v>1650.1759000000002</v>
      </c>
      <c r="V173" s="195"/>
      <c r="W173" s="65" t="s">
        <v>314</v>
      </c>
      <c r="X173" s="152">
        <v>1650.1759000000002</v>
      </c>
      <c r="Y173" s="195"/>
      <c r="Z173" s="65" t="s">
        <v>315</v>
      </c>
      <c r="AA173" s="152">
        <v>1650.1759000000002</v>
      </c>
      <c r="AB173" s="195"/>
      <c r="AC173" s="65" t="s">
        <v>316</v>
      </c>
      <c r="AD173" s="152">
        <v>1647.6126999999999</v>
      </c>
      <c r="AE173" s="195"/>
      <c r="AF173" s="65" t="s">
        <v>317</v>
      </c>
      <c r="AG173" s="152">
        <v>1647.6126999999999</v>
      </c>
      <c r="AH173" s="195"/>
      <c r="AI173" s="65" t="s">
        <v>318</v>
      </c>
      <c r="AJ173" s="152">
        <v>1647.6126999999999</v>
      </c>
      <c r="AK173" s="195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spans="2:46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4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spans="2:46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4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spans="2:46" ht="18.5">
      <c r="B176" s="13"/>
      <c r="C176" s="63" t="s">
        <v>4</v>
      </c>
      <c r="D176" s="169" t="s">
        <v>319</v>
      </c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1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4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spans="2:46">
      <c r="B177" s="13"/>
      <c r="C177" s="93" t="s">
        <v>320</v>
      </c>
      <c r="D177" s="93">
        <v>1994</v>
      </c>
      <c r="E177" s="93"/>
      <c r="F177" s="93">
        <v>2000</v>
      </c>
      <c r="G177" s="93"/>
      <c r="H177" s="93">
        <v>2006</v>
      </c>
      <c r="I177" s="93"/>
      <c r="J177" s="93">
        <v>2010</v>
      </c>
      <c r="K177" s="93"/>
      <c r="L177" s="93">
        <v>2012</v>
      </c>
      <c r="M177" s="93"/>
      <c r="N177" s="93">
        <v>2014</v>
      </c>
      <c r="O177" s="93"/>
      <c r="P177" s="93">
        <v>2016</v>
      </c>
      <c r="Q177" s="93"/>
      <c r="R177" s="93">
        <v>2018</v>
      </c>
      <c r="S177" s="93"/>
      <c r="T177" s="93">
        <v>2020</v>
      </c>
      <c r="U177" s="93"/>
      <c r="V177" s="93">
        <v>2021</v>
      </c>
      <c r="W177" s="93"/>
      <c r="X177" s="93">
        <v>2022</v>
      </c>
      <c r="Y177" s="93"/>
      <c r="Z177" s="13"/>
      <c r="AA177" s="13"/>
      <c r="AB177" s="13"/>
      <c r="AC177" s="13"/>
      <c r="AD177" s="13"/>
      <c r="AE177" s="14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spans="2:46" ht="15" thickBot="1">
      <c r="B178" s="13"/>
      <c r="C178" s="93"/>
      <c r="D178" s="30" t="s">
        <v>7</v>
      </c>
      <c r="E178" s="30" t="s">
        <v>321</v>
      </c>
      <c r="F178" s="30" t="s">
        <v>7</v>
      </c>
      <c r="G178" s="30" t="s">
        <v>321</v>
      </c>
      <c r="H178" s="30" t="s">
        <v>7</v>
      </c>
      <c r="I178" s="30" t="s">
        <v>321</v>
      </c>
      <c r="J178" s="30" t="s">
        <v>7</v>
      </c>
      <c r="K178" s="30" t="s">
        <v>321</v>
      </c>
      <c r="L178" s="30" t="s">
        <v>7</v>
      </c>
      <c r="M178" s="30" t="s">
        <v>321</v>
      </c>
      <c r="N178" s="30" t="s">
        <v>7</v>
      </c>
      <c r="O178" s="30" t="s">
        <v>321</v>
      </c>
      <c r="P178" s="30" t="s">
        <v>7</v>
      </c>
      <c r="Q178" s="30" t="s">
        <v>321</v>
      </c>
      <c r="R178" s="30" t="s">
        <v>7</v>
      </c>
      <c r="S178" s="30" t="s">
        <v>321</v>
      </c>
      <c r="T178" s="30" t="s">
        <v>7</v>
      </c>
      <c r="U178" s="30" t="s">
        <v>321</v>
      </c>
      <c r="V178" s="30" t="s">
        <v>7</v>
      </c>
      <c r="W178" s="30" t="s">
        <v>321</v>
      </c>
      <c r="X178" s="30" t="s">
        <v>7</v>
      </c>
      <c r="Y178" s="30" t="s">
        <v>321</v>
      </c>
      <c r="Z178" s="13"/>
      <c r="AA178" s="13"/>
      <c r="AB178" s="13"/>
      <c r="AC178" s="13"/>
      <c r="AD178" s="13"/>
      <c r="AE178" s="14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spans="2:46" ht="15.5" thickTop="1" thickBot="1">
      <c r="B179" s="13"/>
      <c r="C179" s="172" t="s">
        <v>322</v>
      </c>
      <c r="D179" s="34" t="s">
        <v>323</v>
      </c>
      <c r="E179" s="35">
        <v>26032.489995054297</v>
      </c>
      <c r="F179" s="34" t="s">
        <v>323</v>
      </c>
      <c r="G179" s="35">
        <v>27912.681897853712</v>
      </c>
      <c r="H179" s="34" t="s">
        <v>323</v>
      </c>
      <c r="I179" s="35">
        <v>29928.670322308335</v>
      </c>
      <c r="J179" s="34" t="s">
        <v>323</v>
      </c>
      <c r="K179" s="37">
        <v>31352.9199095845</v>
      </c>
      <c r="L179" s="34" t="s">
        <v>323</v>
      </c>
      <c r="M179" s="37">
        <v>39358.841306094364</v>
      </c>
      <c r="N179" s="110" t="s">
        <v>324</v>
      </c>
      <c r="O179" s="38">
        <v>42725.56</v>
      </c>
      <c r="P179" s="110" t="s">
        <v>325</v>
      </c>
      <c r="Q179" s="38">
        <v>41309.129037349107</v>
      </c>
      <c r="R179" s="110" t="s">
        <v>326</v>
      </c>
      <c r="S179" s="38">
        <v>43920.160980973364</v>
      </c>
      <c r="T179" s="211" t="s">
        <v>327</v>
      </c>
      <c r="U179" s="44">
        <v>38826.145802493986</v>
      </c>
      <c r="V179" s="211" t="s">
        <v>328</v>
      </c>
      <c r="W179" s="44">
        <v>42241.63734154671</v>
      </c>
      <c r="X179" s="211" t="s">
        <v>329</v>
      </c>
      <c r="Y179" s="44">
        <v>45554.409203429874</v>
      </c>
      <c r="Z179" s="13"/>
      <c r="AA179" s="13"/>
      <c r="AB179" s="13"/>
      <c r="AC179" s="13"/>
      <c r="AD179" s="13"/>
      <c r="AE179" s="14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spans="2:46" ht="15.5" thickTop="1" thickBot="1">
      <c r="B180" s="13"/>
      <c r="C180" s="172" t="s">
        <v>330</v>
      </c>
      <c r="D180" s="34" t="s">
        <v>331</v>
      </c>
      <c r="E180" s="35">
        <v>760.7</v>
      </c>
      <c r="F180" s="34" t="s">
        <v>331</v>
      </c>
      <c r="G180" s="35">
        <v>842</v>
      </c>
      <c r="H180" s="34" t="s">
        <v>331</v>
      </c>
      <c r="I180" s="35">
        <v>1462.1100000000001</v>
      </c>
      <c r="J180" s="34" t="s">
        <v>331</v>
      </c>
      <c r="K180" s="37">
        <v>10444.02</v>
      </c>
      <c r="L180" s="34" t="s">
        <v>331</v>
      </c>
      <c r="M180" s="37">
        <v>7972.09</v>
      </c>
      <c r="N180" s="34" t="s">
        <v>331</v>
      </c>
      <c r="O180" s="38">
        <v>9287.1</v>
      </c>
      <c r="P180" s="34" t="s">
        <v>331</v>
      </c>
      <c r="Q180" s="38">
        <v>9287.1</v>
      </c>
      <c r="R180" s="34" t="s">
        <v>331</v>
      </c>
      <c r="S180" s="38">
        <v>8829.7199999999993</v>
      </c>
      <c r="T180" s="212" t="s">
        <v>332</v>
      </c>
      <c r="U180" s="38">
        <v>7440.3</v>
      </c>
      <c r="V180" s="212" t="s">
        <v>332</v>
      </c>
      <c r="W180" s="38">
        <v>11750.5</v>
      </c>
      <c r="X180" s="212" t="s">
        <v>332</v>
      </c>
      <c r="Y180" s="38">
        <v>15702.4</v>
      </c>
      <c r="Z180" s="13"/>
      <c r="AA180" s="13"/>
      <c r="AB180" s="13"/>
      <c r="AC180" s="13"/>
      <c r="AD180" s="13"/>
      <c r="AE180" s="14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spans="2:46" ht="15" thickTop="1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4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spans="2:46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4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</sheetData>
  <mergeCells count="190">
    <mergeCell ref="N177:O177"/>
    <mergeCell ref="P177:Q177"/>
    <mergeCell ref="R177:S177"/>
    <mergeCell ref="T177:U177"/>
    <mergeCell ref="V177:W177"/>
    <mergeCell ref="X177:Y177"/>
    <mergeCell ref="AC172:AE172"/>
    <mergeCell ref="AF172:AH172"/>
    <mergeCell ref="AI172:AK172"/>
    <mergeCell ref="D176:P176"/>
    <mergeCell ref="C177:C178"/>
    <mergeCell ref="D177:E177"/>
    <mergeCell ref="F177:G177"/>
    <mergeCell ref="H177:I177"/>
    <mergeCell ref="J177:K177"/>
    <mergeCell ref="L177:M177"/>
    <mergeCell ref="AF166:AH166"/>
    <mergeCell ref="AI166:AK166"/>
    <mergeCell ref="E172:G172"/>
    <mergeCell ref="H172:J172"/>
    <mergeCell ref="K172:M172"/>
    <mergeCell ref="N172:P172"/>
    <mergeCell ref="Q172:S172"/>
    <mergeCell ref="T172:V172"/>
    <mergeCell ref="W172:Y172"/>
    <mergeCell ref="Z172:AB172"/>
    <mergeCell ref="AI154:AK154"/>
    <mergeCell ref="E166:G166"/>
    <mergeCell ref="H166:J166"/>
    <mergeCell ref="K166:M166"/>
    <mergeCell ref="N166:P166"/>
    <mergeCell ref="Q166:S166"/>
    <mergeCell ref="T166:V166"/>
    <mergeCell ref="W166:Y166"/>
    <mergeCell ref="Z166:AB166"/>
    <mergeCell ref="AC166:AE166"/>
    <mergeCell ref="Q154:S154"/>
    <mergeCell ref="T154:V154"/>
    <mergeCell ref="W154:Y154"/>
    <mergeCell ref="Z154:AB154"/>
    <mergeCell ref="AC154:AE154"/>
    <mergeCell ref="AF154:AH154"/>
    <mergeCell ref="C154:C155"/>
    <mergeCell ref="D154:D155"/>
    <mergeCell ref="E154:G154"/>
    <mergeCell ref="H154:J154"/>
    <mergeCell ref="K154:M154"/>
    <mergeCell ref="N154:P154"/>
    <mergeCell ref="R140:S140"/>
    <mergeCell ref="T140:U140"/>
    <mergeCell ref="V140:W140"/>
    <mergeCell ref="X140:Y140"/>
    <mergeCell ref="C153:D153"/>
    <mergeCell ref="E153:Y153"/>
    <mergeCell ref="X126:Y126"/>
    <mergeCell ref="D139:P139"/>
    <mergeCell ref="C140:C141"/>
    <mergeCell ref="D140:E140"/>
    <mergeCell ref="F140:G140"/>
    <mergeCell ref="H140:I140"/>
    <mergeCell ref="J140:K140"/>
    <mergeCell ref="L140:M140"/>
    <mergeCell ref="N140:O140"/>
    <mergeCell ref="P140:Q140"/>
    <mergeCell ref="L126:M126"/>
    <mergeCell ref="N126:O126"/>
    <mergeCell ref="P126:Q126"/>
    <mergeCell ref="R126:S126"/>
    <mergeCell ref="T126:U126"/>
    <mergeCell ref="V126:W126"/>
    <mergeCell ref="Y104:AA104"/>
    <mergeCell ref="AB104:AD104"/>
    <mergeCell ref="AE104:AG104"/>
    <mergeCell ref="AH104:AJ104"/>
    <mergeCell ref="D125:P125"/>
    <mergeCell ref="C126:C127"/>
    <mergeCell ref="D126:E126"/>
    <mergeCell ref="F126:G126"/>
    <mergeCell ref="H126:I126"/>
    <mergeCell ref="J126:K126"/>
    <mergeCell ref="AN87:AP87"/>
    <mergeCell ref="D103:X103"/>
    <mergeCell ref="C104:C105"/>
    <mergeCell ref="D104:F104"/>
    <mergeCell ref="G104:I104"/>
    <mergeCell ref="J104:L104"/>
    <mergeCell ref="M104:O104"/>
    <mergeCell ref="P104:R104"/>
    <mergeCell ref="S104:U104"/>
    <mergeCell ref="V104:X104"/>
    <mergeCell ref="U87:X87"/>
    <mergeCell ref="Y87:AA87"/>
    <mergeCell ref="AB87:AD87"/>
    <mergeCell ref="AE87:AG87"/>
    <mergeCell ref="AH87:AJ87"/>
    <mergeCell ref="AK87:AM87"/>
    <mergeCell ref="AF62:AH62"/>
    <mergeCell ref="AI62:AK62"/>
    <mergeCell ref="C86:D86"/>
    <mergeCell ref="E86:AB86"/>
    <mergeCell ref="C87:C88"/>
    <mergeCell ref="D87:D88"/>
    <mergeCell ref="E87:H87"/>
    <mergeCell ref="I87:L87"/>
    <mergeCell ref="M87:P87"/>
    <mergeCell ref="Q87:T87"/>
    <mergeCell ref="N62:P62"/>
    <mergeCell ref="Q62:S62"/>
    <mergeCell ref="T62:V62"/>
    <mergeCell ref="W62:Y62"/>
    <mergeCell ref="Z62:AB62"/>
    <mergeCell ref="AC62:AE62"/>
    <mergeCell ref="AF56:AJ57"/>
    <mergeCell ref="AK56:AO57"/>
    <mergeCell ref="AP56:AT57"/>
    <mergeCell ref="C61:D61"/>
    <mergeCell ref="E61:Y61"/>
    <mergeCell ref="C62:C63"/>
    <mergeCell ref="D62:D63"/>
    <mergeCell ref="E62:G62"/>
    <mergeCell ref="H62:J62"/>
    <mergeCell ref="K62:M62"/>
    <mergeCell ref="B56:F57"/>
    <mergeCell ref="G56:K57"/>
    <mergeCell ref="L56:P57"/>
    <mergeCell ref="Q56:U57"/>
    <mergeCell ref="V56:Z57"/>
    <mergeCell ref="AA56:AE57"/>
    <mergeCell ref="W44:Y44"/>
    <mergeCell ref="Z44:AB44"/>
    <mergeCell ref="AC44:AE44"/>
    <mergeCell ref="AF44:AH44"/>
    <mergeCell ref="AI44:AK44"/>
    <mergeCell ref="C48:C50"/>
    <mergeCell ref="AP40:AT41"/>
    <mergeCell ref="E43:Y43"/>
    <mergeCell ref="C44:C45"/>
    <mergeCell ref="D44:D45"/>
    <mergeCell ref="E44:G44"/>
    <mergeCell ref="H44:J44"/>
    <mergeCell ref="K44:M44"/>
    <mergeCell ref="N44:P44"/>
    <mergeCell ref="Q44:S44"/>
    <mergeCell ref="T44:V44"/>
    <mergeCell ref="L40:P41"/>
    <mergeCell ref="Q40:U41"/>
    <mergeCell ref="V40:Z41"/>
    <mergeCell ref="AA40:AE41"/>
    <mergeCell ref="AF40:AJ41"/>
    <mergeCell ref="AK40:AO41"/>
    <mergeCell ref="C34:D34"/>
    <mergeCell ref="C35:D35"/>
    <mergeCell ref="C36:D36"/>
    <mergeCell ref="C38:D38"/>
    <mergeCell ref="B40:F41"/>
    <mergeCell ref="G40:K41"/>
    <mergeCell ref="B14:B25"/>
    <mergeCell ref="B26:B38"/>
    <mergeCell ref="C26:D26"/>
    <mergeCell ref="C27:D27"/>
    <mergeCell ref="C28:D28"/>
    <mergeCell ref="C29:D29"/>
    <mergeCell ref="C30:D30"/>
    <mergeCell ref="C31:D31"/>
    <mergeCell ref="C32:D32"/>
    <mergeCell ref="C33:D33"/>
    <mergeCell ref="O12:P12"/>
    <mergeCell ref="Q12:R12"/>
    <mergeCell ref="S12:T12"/>
    <mergeCell ref="U12:V12"/>
    <mergeCell ref="W12:X12"/>
    <mergeCell ref="Y12:Z12"/>
    <mergeCell ref="C12:D13"/>
    <mergeCell ref="E12:F12"/>
    <mergeCell ref="G12:H12"/>
    <mergeCell ref="I12:J12"/>
    <mergeCell ref="K12:L12"/>
    <mergeCell ref="M12:N12"/>
    <mergeCell ref="V7:W8"/>
    <mergeCell ref="X7:AB8"/>
    <mergeCell ref="AC7:AG8"/>
    <mergeCell ref="AH7:AL8"/>
    <mergeCell ref="AM7:AQ8"/>
    <mergeCell ref="C11:D11"/>
    <mergeCell ref="B1:F1"/>
    <mergeCell ref="C2:F5"/>
    <mergeCell ref="B7:F8"/>
    <mergeCell ref="G7:K8"/>
    <mergeCell ref="L7:P8"/>
    <mergeCell ref="Q7:U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5409BE-276F-49FD-8730-8B034E2F6930}"/>
</file>

<file path=customXml/itemProps2.xml><?xml version="1.0" encoding="utf-8"?>
<ds:datastoreItem xmlns:ds="http://schemas.openxmlformats.org/officeDocument/2006/customXml" ds:itemID="{E9B9EB7D-59D0-40EF-814D-30392E44A2EC}"/>
</file>

<file path=customXml/itemProps3.xml><?xml version="1.0" encoding="utf-8"?>
<ds:datastoreItem xmlns:ds="http://schemas.openxmlformats.org/officeDocument/2006/customXml" ds:itemID="{FA762B2D-A500-4118-A246-011ADEC46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INGEIs_RAW</vt:lpstr>
      <vt:lpstr>INGEIs</vt:lpstr>
      <vt:lpstr>INGEI_SUMM_RAW</vt:lpstr>
      <vt:lpstr>INGEI_SUMM</vt:lpstr>
      <vt:lpstr>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2015-06-05T18:17:20Z</dcterms:created>
  <dcterms:modified xsi:type="dcterms:W3CDTF">2024-12-01T04:02:19Z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